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orianDemir\Desktop\Desktop- August\Mapping\"/>
    </mc:Choice>
  </mc:AlternateContent>
  <xr:revisionPtr revIDLastSave="0" documentId="13_ncr:1_{FF6ACC10-F6FC-4CDF-82E8-4F435E740870}" xr6:coauthVersionLast="47" xr6:coauthVersionMax="47" xr10:uidLastSave="{00000000-0000-0000-0000-000000000000}"/>
  <bookViews>
    <workbookView xWindow="-91815" yWindow="3675" windowWidth="38700" windowHeight="15345" tabRatio="939" firstSheet="12" activeTab="26" xr2:uid="{16C89E25-4AC5-4E6F-80E1-BAC05E2028A6}"/>
  </bookViews>
  <sheets>
    <sheet name="Scope 1 Fuel Activity" sheetId="1" r:id="rId1"/>
    <sheet name=" Scope 1 Fugitive Gas" sheetId="3" r:id="rId2"/>
    <sheet name=" Scope 1 Gas Usage" sheetId="4" r:id="rId3"/>
    <sheet name=" Scope 1 Fuel Spend" sheetId="2" r:id="rId4"/>
    <sheet name="Scope 1 Fuel Distance" sheetId="18" r:id="rId5"/>
    <sheet name="Scope 2 Electricity" sheetId="5" r:id="rId6"/>
    <sheet name="Scope 3 Purchased Goods Spend" sheetId="12" r:id="rId7"/>
    <sheet name="Subcat Scope 3 Cat 1 Goods " sheetId="15" r:id="rId8"/>
    <sheet name="Scope 3 Purchased Service Spend" sheetId="6" r:id="rId9"/>
    <sheet name="Subcat Scope 3 Cat 1 Services" sheetId="16" r:id="rId10"/>
    <sheet name="Scope 3 Category 2 Capital Good" sheetId="19" r:id="rId11"/>
    <sheet name="Scope 3 Category 3 FERA Fuel" sheetId="7" r:id="rId12"/>
    <sheet name="Scope 3 Category 3 FERA Fuel D" sheetId="29" r:id="rId13"/>
    <sheet name="Scope 3 Cat 3 FERA Fuel S" sheetId="27" r:id="rId14"/>
    <sheet name="Scope 3 Category 3 FERA Electri" sheetId="8" r:id="rId15"/>
    <sheet name="Scope 3 Category 4 Transport" sheetId="13" r:id="rId16"/>
    <sheet name="Transportation General" sheetId="14" r:id="rId17"/>
    <sheet name="Scope 3 Cat 5 Waste" sheetId="10" r:id="rId18"/>
    <sheet name="Scope 3 Category 6 Air" sheetId="26" r:id="rId19"/>
    <sheet name="Scope 3 Cat 6 Business Travel" sheetId="22" r:id="rId20"/>
    <sheet name="Scope 3 Cat 7 Employee Commutin" sheetId="9" r:id="rId21"/>
    <sheet name="Scope 3 Cat 8 District E" sheetId="24" r:id="rId22"/>
    <sheet name="Scope 3 Cat 8 District H" sheetId="23" r:id="rId23"/>
    <sheet name="Scope 3 Cat 11 Products Indirec" sheetId="25" r:id="rId24"/>
    <sheet name="Scope 3 Cat 15 Pensions" sheetId="17" r:id="rId25"/>
    <sheet name="Klarakarbon Emission Factors" sheetId="28" r:id="rId26"/>
    <sheet name="All together" sheetId="20" r:id="rId27"/>
    <sheet name="All together 2" sheetId="21" r:id="rId28"/>
  </sheets>
  <definedNames>
    <definedName name="_xlnm._FilterDatabase" localSheetId="26" hidden="1">'All together'!$D$1:$D$2827</definedName>
    <definedName name="_xlnm._FilterDatabase" localSheetId="25" hidden="1">'Klarakarbon Emission Factors'!$C$1:$C$85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4" l="1"/>
  <c r="F2" i="5"/>
  <c r="F21" i="23"/>
  <c r="F32" i="5"/>
  <c r="F22" i="5"/>
  <c r="F19" i="5"/>
  <c r="F18" i="5"/>
  <c r="F17" i="5"/>
  <c r="F15" i="5"/>
  <c r="F14" i="5"/>
  <c r="F12" i="5"/>
  <c r="F11" i="5"/>
  <c r="F9" i="5"/>
  <c r="F7" i="5"/>
  <c r="F6" i="5"/>
  <c r="F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tc={50910F7A-F890-4E52-AF47-25BDB98891C3}</author>
  </authors>
  <commentList>
    <comment ref="F2" authorId="0" shapeId="0" xr:uid="{50910F7A-F890-4E52-AF47-25BDB98891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an activity emission factor, we need spend based exiobase @Florian Demir </t>
      </text>
    </comment>
  </commentList>
</comments>
</file>

<file path=xl/sharedStrings.xml><?xml version="1.0" encoding="utf-8"?>
<sst xmlns="http://schemas.openxmlformats.org/spreadsheetml/2006/main" count="31011" uniqueCount="6069">
  <si>
    <t>ef_name</t>
  </si>
  <si>
    <t>ef_description</t>
  </si>
  <si>
    <t>scope</t>
  </si>
  <si>
    <t>ef_category</t>
  </si>
  <si>
    <t>ef_id</t>
  </si>
  <si>
    <t>ef_value</t>
  </si>
  <si>
    <t>ef_unit</t>
  </si>
  <si>
    <t>ef_source</t>
  </si>
  <si>
    <t>Emission Factor Category</t>
  </si>
  <si>
    <t>Biodiesel HVO100</t>
  </si>
  <si>
    <t>Biodiesel</t>
  </si>
  <si>
    <t>Scope 1 Fuel Usage Activity</t>
  </si>
  <si>
    <t>101A001</t>
  </si>
  <si>
    <t>t CO2e/L</t>
  </si>
  <si>
    <t>DEFRA (2024)</t>
  </si>
  <si>
    <t>Bioethanol</t>
  </si>
  <si>
    <t>101A002</t>
  </si>
  <si>
    <t>CNG</t>
  </si>
  <si>
    <t>101A003</t>
  </si>
  <si>
    <t xml:space="preserve">Diesel </t>
  </si>
  <si>
    <t>101A004</t>
  </si>
  <si>
    <t>LPG</t>
  </si>
  <si>
    <t>101A005</t>
  </si>
  <si>
    <t>Petrol</t>
  </si>
  <si>
    <t>101A006</t>
  </si>
  <si>
    <t>Capital goods</t>
  </si>
  <si>
    <t>Scope 3 Category 2 Capital Goods</t>
  </si>
  <si>
    <t>Placeholder</t>
  </si>
  <si>
    <t>FAKE</t>
  </si>
  <si>
    <t>Carbon dioxide (CO2)</t>
  </si>
  <si>
    <t>Scope 1 Fugitive Gas Emissions  Activity</t>
  </si>
  <si>
    <t>102A001</t>
  </si>
  <si>
    <t>t CO2e/t</t>
  </si>
  <si>
    <t xml:space="preserve">Scope 1 Fugitive Gas Emissions </t>
  </si>
  <si>
    <t>Methane (CH4)</t>
  </si>
  <si>
    <t>102A002</t>
  </si>
  <si>
    <t>Nitrogen trifluoride (NF3)</t>
  </si>
  <si>
    <t>102A003</t>
  </si>
  <si>
    <t>Nitrous oxide (N2O)</t>
  </si>
  <si>
    <t>102A004</t>
  </si>
  <si>
    <t>Sulphur hexafluoride (SF6)</t>
  </si>
  <si>
    <t>102A005</t>
  </si>
  <si>
    <t>Natural Gas</t>
  </si>
  <si>
    <t>natural_gas_m3_en</t>
  </si>
  <si>
    <t>Scope 1 Gas Usage Activity</t>
  </si>
  <si>
    <t>103A001</t>
  </si>
  <si>
    <t>t CO2e/m3</t>
  </si>
  <si>
    <t>Scope 1 Gas Usage</t>
  </si>
  <si>
    <t>Scope 1 Fuel Usage Spend</t>
  </si>
  <si>
    <t>101S001</t>
  </si>
  <si>
    <t>t CO2e/EUR</t>
  </si>
  <si>
    <t>Climatiq (2025)</t>
  </si>
  <si>
    <t>Scope 1 Fuel Spend</t>
  </si>
  <si>
    <t>101S002</t>
  </si>
  <si>
    <t>101S003</t>
  </si>
  <si>
    <t>101S004</t>
  </si>
  <si>
    <t>GOV.UK (2024)</t>
  </si>
  <si>
    <t>101S005</t>
  </si>
  <si>
    <t>101S006</t>
  </si>
  <si>
    <t>Car</t>
  </si>
  <si>
    <t>average_car_commuting</t>
  </si>
  <si>
    <t xml:space="preserve">Scope 1 Category 1 Fuel Usage Distance </t>
  </si>
  <si>
    <t>101D001</t>
  </si>
  <si>
    <t>t CO2e/p-km</t>
  </si>
  <si>
    <t>Electric</t>
  </si>
  <si>
    <t>battery_electrical_average_car_pkm</t>
  </si>
  <si>
    <t>101D002</t>
  </si>
  <si>
    <t>Bicycle</t>
  </si>
  <si>
    <t>bike</t>
  </si>
  <si>
    <t>101D003</t>
  </si>
  <si>
    <t>City bus</t>
  </si>
  <si>
    <t>average_bus_pkm</t>
  </si>
  <si>
    <t>101D004</t>
  </si>
  <si>
    <t>Diesel</t>
  </si>
  <si>
    <t>Diesel_car_commuting</t>
  </si>
  <si>
    <t>101D005</t>
  </si>
  <si>
    <t>Electric Bike, Denmark</t>
  </si>
  <si>
    <t>electric_bike_denmark</t>
  </si>
  <si>
    <t>101D006</t>
  </si>
  <si>
    <t>t CO2/p-km</t>
  </si>
  <si>
    <t>Electric Bike, Europe (average)</t>
  </si>
  <si>
    <t>electric_bike_europe_average</t>
  </si>
  <si>
    <t>101D007</t>
  </si>
  <si>
    <t>Electric Bike, Finland</t>
  </si>
  <si>
    <t>electric_bike_finland</t>
  </si>
  <si>
    <t>101D008</t>
  </si>
  <si>
    <t>Electric Bike, Germany</t>
  </si>
  <si>
    <t>electric_bike_germany</t>
  </si>
  <si>
    <t>101D009</t>
  </si>
  <si>
    <t>Electric Bike, Global</t>
  </si>
  <si>
    <t>electric_bike_global</t>
  </si>
  <si>
    <t>101D010</t>
  </si>
  <si>
    <t>Electric Bike, Norway</t>
  </si>
  <si>
    <t>electric_bike_norway</t>
  </si>
  <si>
    <t>101D011</t>
  </si>
  <si>
    <t>Electric Bike, Sweden</t>
  </si>
  <si>
    <t>electric_bike_sweden</t>
  </si>
  <si>
    <t>101D012</t>
  </si>
  <si>
    <t>Electric Bike, United Kingdom</t>
  </si>
  <si>
    <t>electric_bike_united_kingdom</t>
  </si>
  <si>
    <t>101D013</t>
  </si>
  <si>
    <t>Electric Bike, United States</t>
  </si>
  <si>
    <t>electric_bike_united_states</t>
  </si>
  <si>
    <t>101D014</t>
  </si>
  <si>
    <t>Electric Scooter, Denmark</t>
  </si>
  <si>
    <t>electric_scooter_denmark</t>
  </si>
  <si>
    <t>101D015</t>
  </si>
  <si>
    <t>Electric Scooter, Europe (average)</t>
  </si>
  <si>
    <t>electric_scooter_europe_average</t>
  </si>
  <si>
    <t>101D016</t>
  </si>
  <si>
    <t>Electric Scooter, Finland</t>
  </si>
  <si>
    <t>electric_scooter_finland</t>
  </si>
  <si>
    <t>101D017</t>
  </si>
  <si>
    <t>Electric Scooter, Germany</t>
  </si>
  <si>
    <t>electric_scooter_germany</t>
  </si>
  <si>
    <t>101D018</t>
  </si>
  <si>
    <t>Electric Scooter, Global</t>
  </si>
  <si>
    <t>electric_scooter_global</t>
  </si>
  <si>
    <t>101D019</t>
  </si>
  <si>
    <t>Electric Scooter, Norway</t>
  </si>
  <si>
    <t>electric_scooter_norway</t>
  </si>
  <si>
    <t>101D020</t>
  </si>
  <si>
    <t>Electric Scooter, Sweden</t>
  </si>
  <si>
    <t>electric_scooter_sweden</t>
  </si>
  <si>
    <t>101D021</t>
  </si>
  <si>
    <t>Electric Scooter, United Kingdom</t>
  </si>
  <si>
    <t>electric_scooter_united_kingdom</t>
  </si>
  <si>
    <t>101D022</t>
  </si>
  <si>
    <t>Electric Scooter, United States</t>
  </si>
  <si>
    <t>electric_scooter_united_states</t>
  </si>
  <si>
    <t>101D023</t>
  </si>
  <si>
    <t>Ferry- average (all passengers)</t>
  </si>
  <si>
    <t>ferry_average</t>
  </si>
  <si>
    <t>101D024</t>
  </si>
  <si>
    <t>Ferry- car passenger</t>
  </si>
  <si>
    <t>ferry_carpassenger</t>
  </si>
  <si>
    <t>101D025</t>
  </si>
  <si>
    <t>Ferry- foot passenger</t>
  </si>
  <si>
    <t>ferry_footpassenger</t>
  </si>
  <si>
    <t>101D026</t>
  </si>
  <si>
    <t>Local commuter train</t>
  </si>
  <si>
    <t>commuter_train</t>
  </si>
  <si>
    <t>101D027</t>
  </si>
  <si>
    <t>Motorbike, average</t>
  </si>
  <si>
    <t>motorbike_average</t>
  </si>
  <si>
    <t>101D028</t>
  </si>
  <si>
    <t>Motorbike, large</t>
  </si>
  <si>
    <t>motorbike_large</t>
  </si>
  <si>
    <t>101D029</t>
  </si>
  <si>
    <t>Motorbike, medium</t>
  </si>
  <si>
    <t>motorbike_medium</t>
  </si>
  <si>
    <t>101D030</t>
  </si>
  <si>
    <t>Motorbike, small</t>
  </si>
  <si>
    <t>motorbike_small</t>
  </si>
  <si>
    <t>101D031</t>
  </si>
  <si>
    <t xml:space="preserve">Petrol car </t>
  </si>
  <si>
    <t>Petrol_car_commuting</t>
  </si>
  <si>
    <t>101D032</t>
  </si>
  <si>
    <t>Plug-in Hybrid Average Car, p.km</t>
  </si>
  <si>
    <t>plugin_hybrid_pkm</t>
  </si>
  <si>
    <t>101D033</t>
  </si>
  <si>
    <t>Regional train</t>
  </si>
  <si>
    <t>regional_train</t>
  </si>
  <si>
    <t>101D034</t>
  </si>
  <si>
    <t>Subway/Metro</t>
  </si>
  <si>
    <t>metro</t>
  </si>
  <si>
    <t>101D035</t>
  </si>
  <si>
    <t>Tram</t>
  </si>
  <si>
    <t>tram</t>
  </si>
  <si>
    <t>101D036</t>
  </si>
  <si>
    <t>Walking</t>
  </si>
  <si>
    <t>walking</t>
  </si>
  <si>
    <t>101D037</t>
  </si>
  <si>
    <t>country</t>
  </si>
  <si>
    <t>Denmark</t>
  </si>
  <si>
    <t>Scope 2 Electricity Activity</t>
  </si>
  <si>
    <t>201A001</t>
  </si>
  <si>
    <t>t CO2/kWh</t>
  </si>
  <si>
    <t>AIB (2024)</t>
  </si>
  <si>
    <t>Europe average</t>
  </si>
  <si>
    <t>Europe</t>
  </si>
  <si>
    <t>201A002</t>
  </si>
  <si>
    <t>t CO2e/kWh</t>
  </si>
  <si>
    <t>IEA (2024)</t>
  </si>
  <si>
    <t>European union, without UK average</t>
  </si>
  <si>
    <t>EU_average</t>
  </si>
  <si>
    <t>201A003</t>
  </si>
  <si>
    <t>European</t>
  </si>
  <si>
    <t>Finland</t>
  </si>
  <si>
    <t>201A004</t>
  </si>
  <si>
    <t>France</t>
  </si>
  <si>
    <t>201A005</t>
  </si>
  <si>
    <t>Germany</t>
  </si>
  <si>
    <t>201A006</t>
  </si>
  <si>
    <t>Global average</t>
  </si>
  <si>
    <t>Global</t>
  </si>
  <si>
    <t>201A007</t>
  </si>
  <si>
    <t>Iceland</t>
  </si>
  <si>
    <t>201A008</t>
  </si>
  <si>
    <t>India</t>
  </si>
  <si>
    <t>201A009</t>
  </si>
  <si>
    <t>Ireland</t>
  </si>
  <si>
    <t>201A010</t>
  </si>
  <si>
    <t>Italy</t>
  </si>
  <si>
    <t>201A011</t>
  </si>
  <si>
    <t xml:space="preserve">Nordic </t>
  </si>
  <si>
    <t>nordic_electricity_mix</t>
  </si>
  <si>
    <t>201A012</t>
  </si>
  <si>
    <t>Energimarknadsinspektionen (2024)</t>
  </si>
  <si>
    <t>Nordic</t>
  </si>
  <si>
    <t>Norway</t>
  </si>
  <si>
    <t>201A013</t>
  </si>
  <si>
    <t>Portugal</t>
  </si>
  <si>
    <t>201A014</t>
  </si>
  <si>
    <t>Qatar</t>
  </si>
  <si>
    <t>201A015</t>
  </si>
  <si>
    <t>Spain</t>
  </si>
  <si>
    <t>201A016</t>
  </si>
  <si>
    <t>Sweden</t>
  </si>
  <si>
    <t>201A017</t>
  </si>
  <si>
    <t>Switzerland</t>
  </si>
  <si>
    <t>201A018</t>
  </si>
  <si>
    <t>Türkiye</t>
  </si>
  <si>
    <t>Turkey</t>
  </si>
  <si>
    <t>201A019</t>
  </si>
  <si>
    <t>United Arab Emirates</t>
  </si>
  <si>
    <t>201A020</t>
  </si>
  <si>
    <t>United Kingdom</t>
  </si>
  <si>
    <t>201A021</t>
  </si>
  <si>
    <t>Financial intermediation services</t>
  </si>
  <si>
    <t>Pensions</t>
  </si>
  <si>
    <t>Scope 3 Cat 15 Pensions</t>
  </si>
  <si>
    <t>315A001</t>
  </si>
  <si>
    <t>tonnes CO2e/EUR</t>
  </si>
  <si>
    <t>Exiobase 3.9 (2019)</t>
  </si>
  <si>
    <t>Aluminium and aluminium products</t>
  </si>
  <si>
    <t>aluminium_products_glo</t>
  </si>
  <si>
    <t>Scope 3 Category 1 Purchased Goods Spend</t>
  </si>
  <si>
    <t>300S001</t>
  </si>
  <si>
    <t>Beverages</t>
  </si>
  <si>
    <t>beverages_glo</t>
  </si>
  <si>
    <t>300S002</t>
  </si>
  <si>
    <t>Chemicals</t>
  </si>
  <si>
    <t>chemicals_nec_glo</t>
  </si>
  <si>
    <t>300S004</t>
  </si>
  <si>
    <t>Concrete, cement, plaster and other mineral products</t>
  </si>
  <si>
    <t>other_non_metallic_mineral_products_glo</t>
  </si>
  <si>
    <t>300S005</t>
  </si>
  <si>
    <t>Construction work and installation work</t>
  </si>
  <si>
    <t>construction_work_glo</t>
  </si>
  <si>
    <t>300S006</t>
  </si>
  <si>
    <t>Dairy products</t>
  </si>
  <si>
    <t>dairy_products_glo</t>
  </si>
  <si>
    <t>300S007</t>
  </si>
  <si>
    <t>Electrical machinery and apparatus</t>
  </si>
  <si>
    <t>electrical_machinery_apparatus_glo</t>
  </si>
  <si>
    <t>300S008</t>
  </si>
  <si>
    <t>Furniture</t>
  </si>
  <si>
    <t>furniture_glo</t>
  </si>
  <si>
    <t>300S009</t>
  </si>
  <si>
    <t>Glass and glass products</t>
  </si>
  <si>
    <t>glass_products_glo</t>
  </si>
  <si>
    <t>300S010</t>
  </si>
  <si>
    <t>Machinery and equipment</t>
  </si>
  <si>
    <t>machinery_equipment_glo</t>
  </si>
  <si>
    <t>300S012</t>
  </si>
  <si>
    <t>Medical, precision and optical instruments, watches and clocks</t>
  </si>
  <si>
    <t>wedical_optical_instruments_glo</t>
  </si>
  <si>
    <t>300S013</t>
  </si>
  <si>
    <t>Metal and steel products</t>
  </si>
  <si>
    <t>fabricated_metal_products_glo</t>
  </si>
  <si>
    <t>300S014</t>
  </si>
  <si>
    <t>Office machinery and computers</t>
  </si>
  <si>
    <t>office_machinery_computers_glo</t>
  </si>
  <si>
    <t>300S015</t>
  </si>
  <si>
    <t>Other food products</t>
  </si>
  <si>
    <t>food_products_nec_glo</t>
  </si>
  <si>
    <t>300S016</t>
  </si>
  <si>
    <t>Other manufactured goods</t>
  </si>
  <si>
    <t>furniture_manufactured_goods_glo</t>
  </si>
  <si>
    <t>300S017</t>
  </si>
  <si>
    <t>Paper and paper products</t>
  </si>
  <si>
    <t>paper_products_glo</t>
  </si>
  <si>
    <t>300S018</t>
  </si>
  <si>
    <t>Printed matter, recorded media and publishing activities</t>
  </si>
  <si>
    <t>printed_matter_recorded_media_glo</t>
  </si>
  <si>
    <t>300S019</t>
  </si>
  <si>
    <t>Products of fish</t>
  </si>
  <si>
    <t>fish_products_glo</t>
  </si>
  <si>
    <t>300S020</t>
  </si>
  <si>
    <t>Products of meat</t>
  </si>
  <si>
    <t>meat_products_nec_glo</t>
  </si>
  <si>
    <t>300S021</t>
  </si>
  <si>
    <t>Radio, television and communication equipment and apparatus</t>
  </si>
  <si>
    <t>communication_equipment_glo</t>
  </si>
  <si>
    <t>300S022</t>
  </si>
  <si>
    <t>Recycled raw materials</t>
  </si>
  <si>
    <t>secondary_raw_materials_glo</t>
  </si>
  <si>
    <t>300S023</t>
  </si>
  <si>
    <t>Rubber and plastic products</t>
  </si>
  <si>
    <t>rubber_plastic_products_glo</t>
  </si>
  <si>
    <t>300S024</t>
  </si>
  <si>
    <t>Textiles</t>
  </si>
  <si>
    <t>textiles_glo</t>
  </si>
  <si>
    <t>300S025</t>
  </si>
  <si>
    <t>Vegetables, fruit, nuts</t>
  </si>
  <si>
    <t>vegetables_fruit_nuts_glo</t>
  </si>
  <si>
    <t>300S026</t>
  </si>
  <si>
    <t>Wearing apparel and accessories</t>
  </si>
  <si>
    <t>wearing_apparel_furs_glo</t>
  </si>
  <si>
    <t>300S027</t>
  </si>
  <si>
    <t>Wood and products of wood, cork and straw</t>
  </si>
  <si>
    <t>wood_cork_products_glo</t>
  </si>
  <si>
    <t>300S028</t>
  </si>
  <si>
    <t xml:space="preserve">Diesel EU/Global Spend </t>
  </si>
  <si>
    <t>300S029</t>
  </si>
  <si>
    <t>Climatiq</t>
  </si>
  <si>
    <t>Product type</t>
  </si>
  <si>
    <t>Fruit</t>
  </si>
  <si>
    <t>Stationery</t>
  </si>
  <si>
    <t>cleaning products</t>
  </si>
  <si>
    <t>electrical, electronic, audiovisual and computer parts, accessories and components</t>
  </si>
  <si>
    <t>computer equipment, office equipment, mobile phones</t>
  </si>
  <si>
    <t>other kind of cleaning products, food for supply for the office and events</t>
  </si>
  <si>
    <t>Coffee</t>
  </si>
  <si>
    <t>computer items, mobile phones</t>
  </si>
  <si>
    <t>Distribution and maintenance of safety equipment</t>
  </si>
  <si>
    <t>Access control with camera</t>
  </si>
  <si>
    <t>coffee</t>
  </si>
  <si>
    <t>baby gifts</t>
  </si>
  <si>
    <t>Batteries</t>
  </si>
  <si>
    <t>decoration</t>
  </si>
  <si>
    <t>EPI's</t>
  </si>
  <si>
    <t>Visual communication and advertising</t>
  </si>
  <si>
    <t>Hand paper toals</t>
  </si>
  <si>
    <t>office kitchen supplies</t>
  </si>
  <si>
    <t>Bateries</t>
  </si>
  <si>
    <t>electrical sockets</t>
  </si>
  <si>
    <t>offices supplies</t>
  </si>
  <si>
    <t>kitchen supplies</t>
  </si>
  <si>
    <t>office pharmacy</t>
  </si>
  <si>
    <t>office supplies</t>
  </si>
  <si>
    <t>microwave</t>
  </si>
  <si>
    <t>pens, A4 paper bateries</t>
  </si>
  <si>
    <t>id card protector</t>
  </si>
  <si>
    <t>microwave warranty</t>
  </si>
  <si>
    <t>301S006</t>
  </si>
  <si>
    <t>Other business services; consultancy, legal, HR, accounting, security, and other professional services</t>
  </si>
  <si>
    <t>Fridge</t>
  </si>
  <si>
    <t>Fridge warranty</t>
  </si>
  <si>
    <t>id card protector , coffee machine descalcifier</t>
  </si>
  <si>
    <t>Mandatory complaints book</t>
  </si>
  <si>
    <t>bottled water 18.9L water spring rental coffee machine rental</t>
  </si>
  <si>
    <t>301S013</t>
  </si>
  <si>
    <t>Restaurant and catering services</t>
  </si>
  <si>
    <t>fruit at the office</t>
  </si>
  <si>
    <t>office archive</t>
  </si>
  <si>
    <t>Coffee Machine</t>
  </si>
  <si>
    <t>Office meeting room waters &amp; coke</t>
  </si>
  <si>
    <t>Office supplies</t>
  </si>
  <si>
    <t>office glasses</t>
  </si>
  <si>
    <t>H&amp;S authorization</t>
  </si>
  <si>
    <t>Siemens access cards</t>
  </si>
  <si>
    <t>H&amp;S material</t>
  </si>
  <si>
    <t>Installation of hangers and support, indoor</t>
  </si>
  <si>
    <t>Internal sandwich elements</t>
  </si>
  <si>
    <t>Piles</t>
  </si>
  <si>
    <t>Tate Ceilings; to data hall spaces incl. plenum areas</t>
  </si>
  <si>
    <t>Pad Foundations; incl concrete and reinforcement</t>
  </si>
  <si>
    <t>Preliminaries</t>
  </si>
  <si>
    <t>Structural Steel-frame with fire painted trusses</t>
  </si>
  <si>
    <t>External walls (200mm sandwich panels)</t>
  </si>
  <si>
    <t>TTK Leak Detection with Leak Localisation</t>
  </si>
  <si>
    <t>Diesel for generators</t>
  </si>
  <si>
    <t>Diesel EU/Global Spend</t>
  </si>
  <si>
    <t>Bathroom interiors, toilet partitions, etc. For sanitary equipment, see 315.</t>
  </si>
  <si>
    <t>Sewage including connections and drainage from district generator platform</t>
  </si>
  <si>
    <t>Installation UPS and batteris</t>
  </si>
  <si>
    <t>Carpet flooring</t>
  </si>
  <si>
    <t>Other Fittings, Furnishings and Equipment</t>
  </si>
  <si>
    <t>Cabeling, 20kV rings from MV Building / rooms to pods.</t>
  </si>
  <si>
    <t>MV Switchrooms - 20kV switchgear</t>
  </si>
  <si>
    <t>Groundworks, Ground reinforcements works etc</t>
  </si>
  <si>
    <t>PODs - 2 MW (Exclusive Of Transport)</t>
  </si>
  <si>
    <t>Establishment of construction site area</t>
  </si>
  <si>
    <t>Turnstile</t>
  </si>
  <si>
    <t>Oil separator (Intercepter trap with shut off valve including sand separator and sampling well as per Finnish standards.) Bark oy</t>
  </si>
  <si>
    <t>Tree / vegetation removal (Provisional sum)</t>
  </si>
  <si>
    <t>IT equipment (TV, screens, computer etc)</t>
  </si>
  <si>
    <t>Groundworks for foundations (excavation and backfill)</t>
  </si>
  <si>
    <t>CR Gustav</t>
  </si>
  <si>
    <t>Gantry Steel Work - Chillers</t>
  </si>
  <si>
    <t>Tate Ceilings; to data hall spaces</t>
  </si>
  <si>
    <t>Commissioning Level 1-5 - Mechanical and Electrical Services 8MW</t>
  </si>
  <si>
    <t>Handheld fire extinguishers</t>
  </si>
  <si>
    <t>Office supplies, toilet paper, soap, anti-bac, coffee, tea &amp; biscuits</t>
  </si>
  <si>
    <t>Outside containment, POD,s and Genset</t>
  </si>
  <si>
    <t>Foundations</t>
  </si>
  <si>
    <t>Structural Steel; ground , Data Hall structure (Internal)</t>
  </si>
  <si>
    <t>Foundations, incl concrete and reinforcement - (Existing Hall)</t>
  </si>
  <si>
    <t>Ring Beam to pad founds. BB</t>
  </si>
  <si>
    <t>Planner</t>
  </si>
  <si>
    <t>Internal sandwich wall EI90</t>
  </si>
  <si>
    <t>Demolitions - (Existing Buildings/ Load Bays/Disposal)</t>
  </si>
  <si>
    <t>VO-06: Installation and supply of main distrubtion boards for construction power.</t>
  </si>
  <si>
    <t>Demolition of mechanical and electrical services in existing warehouse</t>
  </si>
  <si>
    <t>Containers incl. Running Costs</t>
  </si>
  <si>
    <t>301S012</t>
  </si>
  <si>
    <t>Renting services of machinery and equipment</t>
  </si>
  <si>
    <t>Site Surveying</t>
  </si>
  <si>
    <t>Grocery delivery</t>
  </si>
  <si>
    <t>Additional allowance of 10% for secondary support steel</t>
  </si>
  <si>
    <t>Barracks Cleaning</t>
  </si>
  <si>
    <t>301S007</t>
  </si>
  <si>
    <t>Other services; parking, dry-cleaning, other personal service activities</t>
  </si>
  <si>
    <t>Door Ironmongery; to single leaf doors</t>
  </si>
  <si>
    <t>VO 43 North side gate</t>
  </si>
  <si>
    <t>Cables from landlord TX to Landlord main distribution board</t>
  </si>
  <si>
    <t>Procurement, installation of Fire alarm system</t>
  </si>
  <si>
    <t>Breakers in the MV switchboard room, for phase 1A, 1B and 1C (no spare for Phase 2 and 3)</t>
  </si>
  <si>
    <t>General contractors administration</t>
  </si>
  <si>
    <t>Procurment BMS/PMS</t>
  </si>
  <si>
    <t>Foundations,; incl concrete and reinforcement - (Extn Build)</t>
  </si>
  <si>
    <t>Commissioning Level 1-5 - Mechanical and Electrical Services 10MW</t>
  </si>
  <si>
    <t>Security Staff; 2 Person</t>
  </si>
  <si>
    <t>Workers/day - cleaning, labour</t>
  </si>
  <si>
    <t>Site Lighting</t>
  </si>
  <si>
    <t>Commerical Manager (1/2 time)</t>
  </si>
  <si>
    <t>Scaffolds</t>
  </si>
  <si>
    <t>Load Bearing Internal Walls &amp; Prefabricated Floor Slabs and Stairs</t>
  </si>
  <si>
    <t>Victaulic Black Steel Pipe and all accessories, including Coupling, Flanges, Bellows, Thermometer, manometer, test point, strainer, Check Valve, Air Vent</t>
  </si>
  <si>
    <t>Generator skids - 3000kVA</t>
  </si>
  <si>
    <t>Chillers</t>
  </si>
  <si>
    <t>Fan Wall</t>
  </si>
  <si>
    <t>Generator Mechanical (Gen Controls / HVAC Cooling)</t>
  </si>
  <si>
    <t>Stairs external straight</t>
  </si>
  <si>
    <t>Fire Suppression</t>
  </si>
  <si>
    <t>Busbar 2000 Amp - From POD to STS, IP68/55, delivering, totalt ca 90m + 90 deg.</t>
  </si>
  <si>
    <t>Hollow core roof elements</t>
  </si>
  <si>
    <t>ATS, smaller than 50A, Delivering and installation Mech. Pumps etc</t>
  </si>
  <si>
    <t>Special Packages Engineer 2</t>
  </si>
  <si>
    <t>Service Lift (Kone Quote)</t>
  </si>
  <si>
    <t>Electrical Engineer 1</t>
  </si>
  <si>
    <t>Roof finish; including membrane/insulation</t>
  </si>
  <si>
    <t>BWIC - Fire stopping penetrations</t>
  </si>
  <si>
    <t>Site Manager 1</t>
  </si>
  <si>
    <t>Design Coordinator</t>
  </si>
  <si>
    <t>Document Controller</t>
  </si>
  <si>
    <t>Transformer, 400kVA Landlord</t>
  </si>
  <si>
    <t>Site clothing (PPE)</t>
  </si>
  <si>
    <t>Safety equipment</t>
  </si>
  <si>
    <t>PODs - 1.7MW Transportation</t>
  </si>
  <si>
    <t>Includes insulation of ducts and air handling equipment, including surface cladding of the insulation (included in duct distribution)</t>
  </si>
  <si>
    <t>Building Sanitary</t>
  </si>
  <si>
    <t>Structural Steel Work</t>
  </si>
  <si>
    <t>Paroc façade (Admin Chiller gantry façade plus level 2 structure)</t>
  </si>
  <si>
    <t>RMU</t>
  </si>
  <si>
    <t>External Façade - Siver metallic RR40.</t>
  </si>
  <si>
    <t>Façade Support Frame to low level roof (Provisional Allowance)</t>
  </si>
  <si>
    <t>Sanitary Underground Pipes</t>
  </si>
  <si>
    <t>Preperation Works (Floor repairs)</t>
  </si>
  <si>
    <t>Concrete RC slabs;450mm tk</t>
  </si>
  <si>
    <t>Boom lift</t>
  </si>
  <si>
    <t>Surveys - Pre construction Costs - Site Structural - Geotechnical- Site preparation</t>
  </si>
  <si>
    <t>IT</t>
  </si>
  <si>
    <t>301S001</t>
  </si>
  <si>
    <t>Computer, software and related services</t>
  </si>
  <si>
    <t>Water</t>
  </si>
  <si>
    <t>Office Supplies</t>
  </si>
  <si>
    <t>Staff Lunches</t>
  </si>
  <si>
    <t>Printer</t>
  </si>
  <si>
    <t>Kitchen</t>
  </si>
  <si>
    <t>FSE Mat Office (paper and similar)</t>
  </si>
  <si>
    <t>Plastic Caps for Pipes 355.6mm (14")</t>
  </si>
  <si>
    <t>18.9L Water Bottle</t>
  </si>
  <si>
    <t>Cups for Water Machine</t>
  </si>
  <si>
    <t>Machine Rental</t>
  </si>
  <si>
    <t>Plastic Caps for 88.9mm Pipes (3)</t>
  </si>
  <si>
    <t>Plastic Caps for 219mm Pipes (8)</t>
  </si>
  <si>
    <t>FSE Cleaning, Hygiene and Comfort</t>
  </si>
  <si>
    <t>Wooden Wedge</t>
  </si>
  <si>
    <t>Palette 1200x800mm</t>
  </si>
  <si>
    <t>Wooden beam 50X50X800mm</t>
  </si>
  <si>
    <t>FSE Conservation and Repair - Equipment</t>
  </si>
  <si>
    <t>Nails 33° 2.8 x 75 mmm Dewalt ref. DNPT28R75Z</t>
  </si>
  <si>
    <t>Band Saw Blade 6000x 41x1.3mm</t>
  </si>
  <si>
    <t>Cut Resistant Gloves No. 9</t>
  </si>
  <si>
    <t>Protective Locksmith Boot 42</t>
  </si>
  <si>
    <t>Locksmith Protection Boot 41</t>
  </si>
  <si>
    <t>Disposable Moldable Tampon Without String</t>
  </si>
  <si>
    <t>Cotton Pants Fx Reflect M w/ DC Logo Piping</t>
  </si>
  <si>
    <t>Cotton Fx Reflective Pants L with DC Logo Piping</t>
  </si>
  <si>
    <t>Cotton Fx Reflect XL Pants with DC Logo Piping</t>
  </si>
  <si>
    <t>XXL Cotton Fx Reflective Pants with DC Logo Piping</t>
  </si>
  <si>
    <t>Iron</t>
  </si>
  <si>
    <t>T-Shirt M w/Dc Pipping Logo</t>
  </si>
  <si>
    <t>T-Shirt L w/Dc Pipping Logo</t>
  </si>
  <si>
    <t>T-Shirt XL with DC Pipping Logo</t>
  </si>
  <si>
    <t>XXL T-Shirt with DC Pipping Logo</t>
  </si>
  <si>
    <t>T-Shirt XXXL w/Dc Pipping Logo</t>
  </si>
  <si>
    <t>Sweat-Shirt M w/Logo DC PIPING</t>
  </si>
  <si>
    <t>Sweat-Shirt L w/DC PIPING Logo</t>
  </si>
  <si>
    <t>Polar Fleece Jacket with DC Piping Logo</t>
  </si>
  <si>
    <t>Sweat-Shirt XL w/DC PIPING Logo</t>
  </si>
  <si>
    <t>XL Polar Jacket with DC Logo Piping</t>
  </si>
  <si>
    <t>Polar Jacket L with DC Logo Piping</t>
  </si>
  <si>
    <t>Long sleeve T-shirt M with DC PIPING logo</t>
  </si>
  <si>
    <t>Long sleeve T-shirt L with DC PIPING logo</t>
  </si>
  <si>
    <t>Long sleeve XL T-shirt with DC PIPING logo</t>
  </si>
  <si>
    <t>XXL long sleeve T-shirt with DC PIPING logo</t>
  </si>
  <si>
    <t>Plastic Caps for Pipes 406.4mm (16)</t>
  </si>
  <si>
    <t>1 Sch80 Pipe, Smls, Plain Ends, CS, ASTM A106-B, Dims to ASME B36.10</t>
  </si>
  <si>
    <t>1/2 Sch80 Pipe, Smls, Plain Ends, CS, ASTM A106-B, Dims to ASME B36.10</t>
  </si>
  <si>
    <t>3/4 Sch80 Pipe, Smls, Plain Ends, CS, ASTM A106-B, Dims to ASME B36.10</t>
  </si>
  <si>
    <t>Seamless Pipe A106 Gr.B Ø 1 1/2'' Sch 80</t>
  </si>
  <si>
    <t>Plastic Caps for Pipes 168.3mm (6)</t>
  </si>
  <si>
    <t>Plastic Caps for 114mm Pipes (4)</t>
  </si>
  <si>
    <t>Plastic Caps for Pipes 273mm (10)</t>
  </si>
  <si>
    <t>Plastic Caps for 60.3mm Pipes (2)</t>
  </si>
  <si>
    <t>Crane Drill Hss Shank Weldo M 38 PC 55mm</t>
  </si>
  <si>
    <t>Crane Drill Hss Shank Weldo M 50 PC 55mm</t>
  </si>
  <si>
    <t>Crane support 980-A2-QR 32-210mm MF</t>
  </si>
  <si>
    <t>Crane support 980-A2-QR 14-30mm MF</t>
  </si>
  <si>
    <t>M 20 HSS-Co Holesaw</t>
  </si>
  <si>
    <t>M 25 HSS-Co Holesaw</t>
  </si>
  <si>
    <t>Crane Drill Hss Shank Weldon M25 PC 55mm</t>
  </si>
  <si>
    <t>DC Piping Article</t>
  </si>
  <si>
    <t>Drugstore and Hardware Items</t>
  </si>
  <si>
    <t>Plastic Caps for Pipes 323.9mm (12")</t>
  </si>
  <si>
    <t>Service connection to CRMA (Alarm Monitoring Reception Center)</t>
  </si>
  <si>
    <t>Alarm System Kit</t>
  </si>
  <si>
    <t>Kit, Bracket ver. B</t>
  </si>
  <si>
    <t>Vibration damper 2000kg (4pc) 120x120x20</t>
  </si>
  <si>
    <t>Plate heat exchanger 1700 kw</t>
  </si>
  <si>
    <t>ADK F80 profile top</t>
  </si>
  <si>
    <t>PARAFUSO FRAMO FLS F 80 M10X21,5 HCP</t>
  </si>
  <si>
    <t>PERFIL 41/41/2,0 L=6MT HCP</t>
  </si>
  <si>
    <t>PORCA RAPIDA PERFIL NT CC 41 M10 HCP</t>
  </si>
  <si>
    <t>Esquadro 150/150</t>
  </si>
  <si>
    <t>Prf Classe 8.8 Din 933 M10x30</t>
  </si>
  <si>
    <t>PERFIL FRAMO TP F 80 L=6MTS FF</t>
  </si>
  <si>
    <t>Base STA F80-E</t>
  </si>
  <si>
    <t>CIM 500 Ethernet Add-on cpl. Packed communication card IP</t>
  </si>
  <si>
    <t>CIU 900 Interface unit cpl. packed - communication vfd</t>
  </si>
  <si>
    <t>DPI/--0-6.0b/1/G/D.900-B/V-5/- B/02B/SD-1 Sensor</t>
  </si>
  <si>
    <t>Hardware - different materials</t>
  </si>
  <si>
    <t>PERFIL FRAMO TP F 100 L=6MTS HCP FF</t>
  </si>
  <si>
    <t>Perfil siFramo TP F80</t>
  </si>
  <si>
    <t>PERFIL FRAMO TP F 100/160 L=6MTS HCP</t>
  </si>
  <si>
    <t>SUPORTE DESLIZANTE LC-HV 90 DN200</t>
  </si>
  <si>
    <t>FIXED POINT XW F 80 SUPPORT</t>
  </si>
  <si>
    <t>Adaptador de Perfil SA F 100 41 HCP</t>
  </si>
  <si>
    <t>Beam Section Holder TPH F 100 80 C HCP</t>
  </si>
  <si>
    <t>ESQUADRO WD F 100 140/140</t>
  </si>
  <si>
    <t>ABRAÇADEIRA STABIL RB-A 220 (214-220) HCP</t>
  </si>
  <si>
    <t>End Support STA F 100 HCP</t>
  </si>
  <si>
    <t>Base STA F100-80</t>
  </si>
  <si>
    <t>Base Roscada GPL F100-M12</t>
  </si>
  <si>
    <t>End Support STA F160 100 E HCP</t>
  </si>
  <si>
    <t>End Support STA F160 Q HCP</t>
  </si>
  <si>
    <t>Fixing Bracket MW S 60 40 90°HCP</t>
  </si>
  <si>
    <t>BASE GPL F 80-M12 HCP</t>
  </si>
  <si>
    <t>Parafuso siFramo FLS F</t>
  </si>
  <si>
    <t>TPE 65-210/2 S-A-F-A-BQQE-JWB</t>
  </si>
  <si>
    <t>VARÃO M10X3000 HCP</t>
  </si>
  <si>
    <t>VARÃO DIN975-4.8 M12X3000 HCP</t>
  </si>
  <si>
    <t>Threaded rod GST M16 3m HCP</t>
  </si>
  <si>
    <t>Perfil MS 41 41 2.0 6m</t>
  </si>
  <si>
    <t>Cantilever Bracket AK 41 21Dq 320 hcp</t>
  </si>
  <si>
    <t>End Support STA F100 100 160 E HCP</t>
  </si>
  <si>
    <t>ABRAÇADEIRA.STABIL D-3G 8 (219-225) C/REV.</t>
  </si>
  <si>
    <t>Topo de perfil ADK F100</t>
  </si>
  <si>
    <t>BASE ROSCADA GPL F 100- M16 HCP</t>
  </si>
  <si>
    <t>ABRAÇADEIRA STABIL D-3G/M 4 (110-116) S/REV HCP</t>
  </si>
  <si>
    <t>End Cap ADK 41 21</t>
  </si>
  <si>
    <t>ABRAÇADEIRA STABIL D-3G 11/4 (40-45) C/ REV</t>
  </si>
  <si>
    <t>Corner Bracket WD F 80 120 120 HCP</t>
  </si>
  <si>
    <t>Channel Nut NT HZ41 M10 hcp</t>
  </si>
  <si>
    <t>Hexagon Nut NT HCP M12</t>
  </si>
  <si>
    <t>M10 nut HCP</t>
  </si>
  <si>
    <t>PORCA DIN934-8 M16 HCP</t>
  </si>
  <si>
    <t>BASE ROSCADA GPL F100-M10</t>
  </si>
  <si>
    <t>Colar para Euro Palete 1200x800</t>
  </si>
  <si>
    <t>Porca M6M M10 FZV 100-pack</t>
  </si>
  <si>
    <t>Perfil siFramo TP F100</t>
  </si>
  <si>
    <t>ABRAÇADEIRA STABIL D-3G 1 1/4 (40-45) S/REV HCP</t>
  </si>
  <si>
    <t>PERFIL 41/41/2,0 L=6000 HCP ZM</t>
  </si>
  <si>
    <t>HGS M12x2000 8.8 FZV</t>
  </si>
  <si>
    <t>Porca M6M M12 FZV 100-pack</t>
  </si>
  <si>
    <t>Anilha M10 FZV</t>
  </si>
  <si>
    <t>Threaded stud GST M10x70 HCP 100un</t>
  </si>
  <si>
    <t>STA F 160 Base</t>
  </si>
  <si>
    <t>Stabil RB-A 109-115 HCP</t>
  </si>
  <si>
    <t>Stabil RB-A 163-169/5 HCP</t>
  </si>
  <si>
    <t>STABIL RB-A 215 - 221 HCP</t>
  </si>
  <si>
    <t>CONSOLE SUPPORT 41/21 Dq L=320 HCP</t>
  </si>
  <si>
    <t>M10X60 HCP OVAL HEAD SOLAR SCREW</t>
  </si>
  <si>
    <t>siFramo 80 Angle Bracket 120/120 HCP</t>
  </si>
  <si>
    <t>MW 60/40/90 HCP SQUARE</t>
  </si>
  <si>
    <t>HZ 41-10 HCP PROFILE RAPID NUT</t>
  </si>
  <si>
    <t>PROFILE 41/62/2.50 L=6MT</t>
  </si>
  <si>
    <t>NBE 80-200/211AASF2AESBQQETW1</t>
  </si>
  <si>
    <t>Stud Bolt, M20 x 90, Class 8.8, Hot Glv., DIN976-1B</t>
  </si>
  <si>
    <t>Stabil RB-A 72-77mm HCP</t>
  </si>
  <si>
    <t>STABIL CLAMP D-3G 6 (167-173) W/O REV HCP</t>
  </si>
  <si>
    <t>Head/Vis/Face Protection Protective Cap</t>
  </si>
  <si>
    <t>Raw material</t>
  </si>
  <si>
    <t>Consumerable General Use</t>
  </si>
  <si>
    <t>Technical Equipment</t>
  </si>
  <si>
    <t>Tightening/fixation</t>
  </si>
  <si>
    <t>PPE and EPCs</t>
  </si>
  <si>
    <t>Ink/oil/mass/lubricant</t>
  </si>
  <si>
    <t>Valves</t>
  </si>
  <si>
    <t>Tools</t>
  </si>
  <si>
    <t>MPS - FITTINGS</t>
  </si>
  <si>
    <t>Office Supplies/Storage Supplies</t>
  </si>
  <si>
    <t>Material hidraulic/pneumatic</t>
  </si>
  <si>
    <t>Flange</t>
  </si>
  <si>
    <t>Nipple e Swages</t>
  </si>
  <si>
    <t>Consumable welding</t>
  </si>
  <si>
    <t>Sold/cut gases</t>
  </si>
  <si>
    <t>Electrical Material</t>
  </si>
  <si>
    <t>Cleaning</t>
  </si>
  <si>
    <t>Specials</t>
  </si>
  <si>
    <t>Gasket</t>
  </si>
  <si>
    <t>Accessories</t>
  </si>
  <si>
    <t>Machines</t>
  </si>
  <si>
    <t>MPS - Other Piping Components</t>
  </si>
  <si>
    <t>Measurement/ Marking</t>
  </si>
  <si>
    <t>Acessórios Máquinas Ferramenta</t>
  </si>
  <si>
    <t>MPS - VALVES</t>
  </si>
  <si>
    <t>Desk/Economato Material</t>
  </si>
  <si>
    <t>Produto Acabado</t>
  </si>
  <si>
    <t>NO DATA PER SHEET</t>
  </si>
  <si>
    <t>office supplies (cartridges, pens etc)</t>
  </si>
  <si>
    <t>Portátil Lenovo ThinkPad T14 G5 Ultra 7-155U SSD512/16 W11P</t>
  </si>
  <si>
    <t>Samsung Galaxy A55 5G A556 128GB/8GB Dual SIM Preto</t>
  </si>
  <si>
    <t>Acess Point TP-Link 300MPS Wi-Fi Range TL-WA860RE</t>
  </si>
  <si>
    <t>Teclado Logitech MX Keys S + Rato Logitech MX Master 3s</t>
  </si>
  <si>
    <t>Docking Station Lenovo Thinkpad USB-C (90W) Preta</t>
  </si>
  <si>
    <t>Monitor Lenovo ThinkVision 27" T27I-30 FHD 60Hz Cinzento</t>
  </si>
  <si>
    <t>Ubiquiti UniFi Switch 24 Portas Gigabit Managed PoE+ SFP - USW-24-POE</t>
  </si>
  <si>
    <t>UniFí Dream Machine Pro Max</t>
  </si>
  <si>
    <t>Acess Point Ubiquiti Unifi nanoHD 5-Pack - UAP-NANOHD-5</t>
  </si>
  <si>
    <t>iiyama TF5539AS-B1AG 55" Touch display</t>
  </si>
  <si>
    <t>Ecrã interactivo MaxHub V6 ViewPro 6</t>
  </si>
  <si>
    <t>MTR MAXHUB XCORE KIT</t>
  </si>
  <si>
    <t>Monitor Curvo Lenovo ThinkVision 34" T34W-30 2K Ultra Wide</t>
  </si>
  <si>
    <t>Lenovo ThinkPad T16 Gen 3 U7-155U SSD 1TB/512GB W11P</t>
  </si>
  <si>
    <t>UPS Phasak Protekt 3160VA-2100W Preto</t>
  </si>
  <si>
    <t>Headset Logitech H390 USB Preto</t>
  </si>
  <si>
    <t>Rato Sem Fios Logitech Marathon M705 1000 DPI Preto</t>
  </si>
  <si>
    <t>MAXHUB MT61N i5</t>
  </si>
  <si>
    <t>Uniform</t>
  </si>
  <si>
    <t>Precision sleeve</t>
  </si>
  <si>
    <t>Master lock</t>
  </si>
  <si>
    <t>Aluminum suitcase</t>
  </si>
  <si>
    <t>Dexter S/F rebar cutter</t>
  </si>
  <si>
    <t>3000G Construction Sledgehammer</t>
  </si>
  <si>
    <t>Cables and accessories</t>
  </si>
  <si>
    <t>Tools &amp; PPE</t>
  </si>
  <si>
    <t>Electrical Components</t>
  </si>
  <si>
    <t>Lighting</t>
  </si>
  <si>
    <t>Electrical products</t>
  </si>
  <si>
    <t>Valves and nipples</t>
  </si>
  <si>
    <t>Consumables</t>
  </si>
  <si>
    <t>Sticks</t>
  </si>
  <si>
    <t>Fire sensors</t>
  </si>
  <si>
    <t>Central Aspiration</t>
  </si>
  <si>
    <t>Seals for cables and pipes</t>
  </si>
  <si>
    <t>STEEL</t>
  </si>
  <si>
    <t>Consumables WOODS</t>
  </si>
  <si>
    <t>PPE</t>
  </si>
  <si>
    <t>Komplett Services AS</t>
  </si>
  <si>
    <t>New PC for Tiina Salmen and Svein Aadne Moe</t>
  </si>
  <si>
    <t>Office equipment for the office</t>
  </si>
  <si>
    <t>iPhone for Tiina Salmen, new employee in SD Nordics – no VAT included</t>
  </si>
  <si>
    <t>Mobile phone for Svein Ådne Moe</t>
  </si>
  <si>
    <t>Computer equipment purchased abroad</t>
  </si>
  <si>
    <t>Civil Engineering Sylwia Wrona,</t>
  </si>
  <si>
    <t>software/licenses (Computer equipment for workstation at the Ensjø office)</t>
  </si>
  <si>
    <t>Software/licenses abroad (Computer equipment for Tiina Salmen for workstation at CTSN Oy)</t>
  </si>
  <si>
    <t>Office equipment (PC – Anders Kampesæter)</t>
  </si>
  <si>
    <t>Office equipment (Computer equipment for Anders Kampesæter)</t>
  </si>
  <si>
    <t>Office equipment (Mobile phone – Anders Kampesæter)</t>
  </si>
  <si>
    <t>Office equipment (4 pcs webcams for the office)</t>
  </si>
  <si>
    <t>Office equipment (Mobile phone Ilkka Savola. Mobile cases and screen protector.)</t>
  </si>
  <si>
    <t>Office equipment (Docking station for PC)</t>
  </si>
  <si>
    <t>FX Cotton Pants Reflect c/Logo DC Pyping</t>
  </si>
  <si>
    <t>FX Cotton Pants Reflect L w/DC Pyping Logo</t>
  </si>
  <si>
    <t>FX Cotton pants reflect xl w/DC Pyping Logo</t>
  </si>
  <si>
    <t>FX Cotton Pants Reflect XXL W/DC PIPING LOGO</t>
  </si>
  <si>
    <t>PREGOS 33 ° 2.8 x 75 mmm Dewalt Ref. DNPT28R75Z</t>
  </si>
  <si>
    <t>Sierra Folha Cinta 6000x 41x1.3mm</t>
  </si>
  <si>
    <t>FSE Mat Desk</t>
  </si>
  <si>
    <t>Agua machine cups</t>
  </si>
  <si>
    <t>Garafao Agua 18.9l</t>
  </si>
  <si>
    <t>Plastic Tubing Plastic Caps 168.3mm (6)</t>
  </si>
  <si>
    <t>Plastic tubing covers 406.4mm (16)</t>
  </si>
  <si>
    <t>Plastic Tubing Caps 114mm (4)</t>
  </si>
  <si>
    <t>Plastic Tubing Plastic Caps 273mm (10)</t>
  </si>
  <si>
    <t>Suporte craneana 980-A2-QR 14-30mm MF</t>
  </si>
  <si>
    <t>SERRA CRANEANA M 20 HSS-CO</t>
  </si>
  <si>
    <t>SERRA CRANEANA M 25 HSS-CO</t>
  </si>
  <si>
    <t>Broca Craneana Hss Haste Weldon M25 PC 55mm</t>
  </si>
  <si>
    <t>T-Shirt M c/Logo Dc Pipping</t>
  </si>
  <si>
    <t>T-Shirt L c/Logo Dc Pipping</t>
  </si>
  <si>
    <t>T-Shirt XL c/Logo Dc Pipping</t>
  </si>
  <si>
    <t>T-Shirt XXL c/Logo Dc Pipping</t>
  </si>
  <si>
    <t>T-Shirt XXXL c/Logo Dc Pipping</t>
  </si>
  <si>
    <t>Sweat-Shirt M c/Logo DC PIPING</t>
  </si>
  <si>
    <t>Sweat-Shirt L c/Logo DC PIPING</t>
  </si>
  <si>
    <t>Polar jacket c/logo dc piging</t>
  </si>
  <si>
    <t>Sweat-Shirt XL c/Logo DC PIPING</t>
  </si>
  <si>
    <t>Polar coat xl w/Logo dc piging</t>
  </si>
  <si>
    <t>Polar jacket l C/Logo dc piging</t>
  </si>
  <si>
    <t>T-Shirt Long Sleeve C/Logo DC Piging</t>
  </si>
  <si>
    <t>T-Shirt Long Sleeve L W/Logo DC Pyping</t>
  </si>
  <si>
    <t>T-Shirt Comprid Sleeve XL w/Logo DC Piging</t>
  </si>
  <si>
    <t>T-Shirt Long Sleeve XXL W/Logo DC Pyping</t>
  </si>
  <si>
    <t>Conection</t>
  </si>
  <si>
    <t>301S008</t>
  </si>
  <si>
    <t>Post and telecommunication services</t>
  </si>
  <si>
    <t>Software plan Licensing</t>
  </si>
  <si>
    <t>Remote support</t>
  </si>
  <si>
    <t>Accountant</t>
  </si>
  <si>
    <t>301S005</t>
  </si>
  <si>
    <t>Insurance and pension funding services</t>
  </si>
  <si>
    <t>english classes</t>
  </si>
  <si>
    <t>301S002</t>
  </si>
  <si>
    <t>Education services</t>
  </si>
  <si>
    <t>Health at work</t>
  </si>
  <si>
    <t>301S004</t>
  </si>
  <si>
    <t>Health and social work services</t>
  </si>
  <si>
    <t>anex D</t>
  </si>
  <si>
    <t>Sage Implementation 25%</t>
  </si>
  <si>
    <t>Rent - Service Charges</t>
  </si>
  <si>
    <t>301S010</t>
  </si>
  <si>
    <t>Real estate services</t>
  </si>
  <si>
    <t>Office Opening</t>
  </si>
  <si>
    <t>Marketing</t>
  </si>
  <si>
    <t>Office Maintenance</t>
  </si>
  <si>
    <t>Taxsaver Ticket - Marta</t>
  </si>
  <si>
    <t>301S017</t>
  </si>
  <si>
    <t>Land Transportation Services</t>
  </si>
  <si>
    <t>Staff Entertainment</t>
  </si>
  <si>
    <t>301S011</t>
  </si>
  <si>
    <t>Recreational, cultural and sporting services</t>
  </si>
  <si>
    <t>Office Rent</t>
  </si>
  <si>
    <t>Taxsaver Ticket - Rishav</t>
  </si>
  <si>
    <t>Office Works</t>
  </si>
  <si>
    <t>Accounting</t>
  </si>
  <si>
    <t>Connection</t>
  </si>
  <si>
    <t>Imasons climate accord</t>
  </si>
  <si>
    <t>Legal</t>
  </si>
  <si>
    <t>Expenses</t>
  </si>
  <si>
    <t>Project Dragnfly</t>
  </si>
  <si>
    <t>SUST0000</t>
  </si>
  <si>
    <t>Sage maintenance</t>
  </si>
  <si>
    <t>STB1A</t>
  </si>
  <si>
    <t>Waste management</t>
  </si>
  <si>
    <t>Health and social work services (waste, social &amp; health support)</t>
  </si>
  <si>
    <t>Transportation Service</t>
  </si>
  <si>
    <t>Car rental</t>
  </si>
  <si>
    <t>Labor</t>
  </si>
  <si>
    <t>Supplies Transport of Goods</t>
  </si>
  <si>
    <t>Sub Services Painting</t>
  </si>
  <si>
    <t>Surveillance supplies</t>
  </si>
  <si>
    <t>HSE - WASTE TREATMENT</t>
  </si>
  <si>
    <t>Sub Services Metal Construction</t>
  </si>
  <si>
    <t>SUB SERVICES FABRIC (MO)</t>
  </si>
  <si>
    <t>HSE - RESIDE CONTENTORY RENTAL</t>
  </si>
  <si>
    <t>Sub Civil Construction Services</t>
  </si>
  <si>
    <t>Pess Training</t>
  </si>
  <si>
    <t>Sub Services Assembly (MO)</t>
  </si>
  <si>
    <t>Specialized FSE work</t>
  </si>
  <si>
    <t>FSE Transportation of finished product</t>
  </si>
  <si>
    <t>Transport and logistics</t>
  </si>
  <si>
    <t>Equipment rental for projects</t>
  </si>
  <si>
    <t>Calibration</t>
  </si>
  <si>
    <t>Training service</t>
  </si>
  <si>
    <t>Consulting</t>
  </si>
  <si>
    <t>Pest Control</t>
  </si>
  <si>
    <t>Occupational Medicine</t>
  </si>
  <si>
    <t>Engineering/Design</t>
  </si>
  <si>
    <t>Legal service</t>
  </si>
  <si>
    <t>Ferro-Cleaner Type 273 DN200 Magnetic Filter</t>
  </si>
  <si>
    <t>200 x 4.6mm Serin Plastic Cocktail (100unid)</t>
  </si>
  <si>
    <t>Trinch 1</t>
  </si>
  <si>
    <t>Globe Valve H DN20</t>
  </si>
  <si>
    <t>Globe Valve H DN25</t>
  </si>
  <si>
    <t>Globe Valve w/ air vent DN15</t>
  </si>
  <si>
    <t>Air Vent ZUT DN25</t>
  </si>
  <si>
    <t>Globe Valve H DN32</t>
  </si>
  <si>
    <t>Globe Valve DN40</t>
  </si>
  <si>
    <t>Globe Valve W/ air vent DN25</t>
  </si>
  <si>
    <t>Globe Valve H DN15</t>
  </si>
  <si>
    <t>Equipment/Tool Inspection</t>
  </si>
  <si>
    <t>Spray Revelting of Red Red Hydrocarbon Red Crasses</t>
  </si>
  <si>
    <t>Transparent movie roll wide 500mm</t>
  </si>
  <si>
    <t>Liquid DP Sensor 2% Acc 0-1bar (PL-692-1)</t>
  </si>
  <si>
    <t>Liquid DP Sensor 2% Acc 0-4bar (PL-692-4)</t>
  </si>
  <si>
    <t>F0V100020ZZP000 2/60.3mm No. V10 QuickVic Elbow 90 Degree Orange</t>
  </si>
  <si>
    <t>HSE - Residos Transport</t>
  </si>
  <si>
    <t>Roll Black Movie Larg 500mm</t>
  </si>
  <si>
    <t>Safety Valve 1/2'' (DN15)</t>
  </si>
  <si>
    <t>Safety Valve 3/4 9 BAR</t>
  </si>
  <si>
    <t>FSE TRAIN/PARTIES - LIGHT PASSENGERS</t>
  </si>
  <si>
    <t>910.11 Shot-off valve, G1/2B male to G1/2 LH/RH union 9090169</t>
  </si>
  <si>
    <t>Sub Services Thermal Isolation</t>
  </si>
  <si>
    <t>TG54 Thermometer ø100, -40...60°C, TW45 thermowell, G3/4, U=142mm</t>
  </si>
  <si>
    <t>TG54 Thermometer ø100, -40...60°C, TW45 thermowell, G3/4, U=232mm</t>
  </si>
  <si>
    <t>computer licenses</t>
  </si>
  <si>
    <t>Building income</t>
  </si>
  <si>
    <t>Work health</t>
  </si>
  <si>
    <t>Prints</t>
  </si>
  <si>
    <t>Business quota</t>
  </si>
  <si>
    <t>Legal services</t>
  </si>
  <si>
    <t>HR platform</t>
  </si>
  <si>
    <t>Rent computer systems</t>
  </si>
  <si>
    <t>Legal assistance</t>
  </si>
  <si>
    <t>Legal assistance - Bemanningsutleie</t>
  </si>
  <si>
    <t>Audiror's Fees</t>
  </si>
  <si>
    <t>Occupational Safety Card Webinar</t>
  </si>
  <si>
    <t>Hire out electricians and management resources</t>
  </si>
  <si>
    <t>Corrective maintenance services</t>
  </si>
  <si>
    <t>Construction and Engineering services</t>
  </si>
  <si>
    <t>Legal Fees</t>
  </si>
  <si>
    <t>Accounting fees</t>
  </si>
  <si>
    <t>Accounting services</t>
  </si>
  <si>
    <t>Administrative / office service</t>
  </si>
  <si>
    <t>Laundry/Dry cleaner</t>
  </si>
  <si>
    <t>Personnel procurement</t>
  </si>
  <si>
    <t>Administrativ and Support services</t>
  </si>
  <si>
    <t>Fire safety preparedness</t>
  </si>
  <si>
    <t>Data processing, hosting, and related services</t>
  </si>
  <si>
    <t>Engineering services</t>
  </si>
  <si>
    <t>Calibrating</t>
  </si>
  <si>
    <t>Tool Calibration</t>
  </si>
  <si>
    <t>Metrel MI 3155 recalibration</t>
  </si>
  <si>
    <t>Contracted services</t>
  </si>
  <si>
    <t>Electrical infrastructure services</t>
  </si>
  <si>
    <t>OPERATIONAL SUPPORT OSLO OFFICE</t>
  </si>
  <si>
    <t>Operation support Oslo Office</t>
  </si>
  <si>
    <t>10000 - Toppprosjekt - Internkostnad - Bemanningsutleie</t>
  </si>
  <si>
    <t>Fire Safety Inspection</t>
  </si>
  <si>
    <t>Garbage Olaf Schousvei 20 H0403/ 404 (3BR), Oslo</t>
  </si>
  <si>
    <t>Forestry</t>
  </si>
  <si>
    <t>Services related to forestry</t>
  </si>
  <si>
    <t>Hire out management</t>
  </si>
  <si>
    <t>ISO Consultant</t>
  </si>
  <si>
    <t>ISO Consulting Services</t>
  </si>
  <si>
    <t>Vehicle repair &amp; maintenance services</t>
  </si>
  <si>
    <t>Supervisor</t>
  </si>
  <si>
    <t>Electrical Supervisor</t>
  </si>
  <si>
    <t>Workpackage Drawings</t>
  </si>
  <si>
    <t>Maintanance Services</t>
  </si>
  <si>
    <t>Graphic and visual communication design</t>
  </si>
  <si>
    <t>Rented equipment</t>
  </si>
  <si>
    <t>Mechanical/hydraulic repair service</t>
  </si>
  <si>
    <t>Maintenance and repair services</t>
  </si>
  <si>
    <t>Snow Plowing</t>
  </si>
  <si>
    <t>towing &amp; vehicle recovery service</t>
  </si>
  <si>
    <t>Technical expertise and training tailored to the electrical industry.</t>
  </si>
  <si>
    <t>Engineering consultancy</t>
  </si>
  <si>
    <t>Maintanance, Buildings</t>
  </si>
  <si>
    <t>EX Course</t>
  </si>
  <si>
    <t>Consultancy and production of computer-supported training and multimedia</t>
  </si>
  <si>
    <t>Electrical Safety Card - online training</t>
  </si>
  <si>
    <t>Technical Consultant</t>
  </si>
  <si>
    <t>Courses and lectures</t>
  </si>
  <si>
    <t>Occupational health service fees</t>
  </si>
  <si>
    <t>Safety training and competence building course</t>
  </si>
  <si>
    <t>Safety training courses</t>
  </si>
  <si>
    <t>VP Finance</t>
  </si>
  <si>
    <t>Hotwork certificate</t>
  </si>
  <si>
    <t>CLEANNING CLOTHES</t>
  </si>
  <si>
    <t>Practical fire drill</t>
  </si>
  <si>
    <t>Real-estate</t>
  </si>
  <si>
    <t>Nymo</t>
  </si>
  <si>
    <t>Real Estate</t>
  </si>
  <si>
    <t>Hot work course and material</t>
  </si>
  <si>
    <t>Engineering &amp; Technical Services – Project Management and Commissioning</t>
  </si>
  <si>
    <t>ISO and HSE consultancy</t>
  </si>
  <si>
    <t>Exam &amp; certification fees</t>
  </si>
  <si>
    <t>Maintanance, Equipment</t>
  </si>
  <si>
    <t>Maintanace, equipment</t>
  </si>
  <si>
    <t>Meetings, seminars, refresher courses etc.</t>
  </si>
  <si>
    <t>Safety training</t>
  </si>
  <si>
    <t>Hot work certificate</t>
  </si>
  <si>
    <t>EX fundamentals for electrical personnel</t>
  </si>
  <si>
    <t>EX fundamentals for elektrical personnel</t>
  </si>
  <si>
    <t>Basic Ex course</t>
  </si>
  <si>
    <t>Week course: Ex fundamentals for engineers</t>
  </si>
  <si>
    <t>Safety course</t>
  </si>
  <si>
    <t>Safety representative course</t>
  </si>
  <si>
    <t>Heat workers</t>
  </si>
  <si>
    <t>Occupatinal safety card`s course</t>
  </si>
  <si>
    <t>Occupational safety card course</t>
  </si>
  <si>
    <t>Issuance fee for the card</t>
  </si>
  <si>
    <t>Staffing Sevice</t>
  </si>
  <si>
    <t>Metalworker</t>
  </si>
  <si>
    <t>Software</t>
  </si>
  <si>
    <t>Architecture + software</t>
  </si>
  <si>
    <t>Architecture</t>
  </si>
  <si>
    <t>Auditor</t>
  </si>
  <si>
    <t>Liability insurance</t>
  </si>
  <si>
    <t>H&amp;S</t>
  </si>
  <si>
    <t>Insurances</t>
  </si>
  <si>
    <t>fire extinguishers</t>
  </si>
  <si>
    <t>Training</t>
  </si>
  <si>
    <t>IT - Licenses</t>
  </si>
  <si>
    <t>IT - Onine Support</t>
  </si>
  <si>
    <t>Recruitment</t>
  </si>
  <si>
    <t>IT - Broadband</t>
  </si>
  <si>
    <t>IT - CostX Licence</t>
  </si>
  <si>
    <t>Safety</t>
  </si>
  <si>
    <t>Utilities</t>
  </si>
  <si>
    <t>Insurance</t>
  </si>
  <si>
    <t>Office Cleaning</t>
  </si>
  <si>
    <t>IT consulting</t>
  </si>
  <si>
    <t>Maintenance</t>
  </si>
  <si>
    <t>Paiting</t>
  </si>
  <si>
    <t>Civil</t>
  </si>
  <si>
    <t>Instrumentation and electricity</t>
  </si>
  <si>
    <t>Advertising</t>
  </si>
  <si>
    <t>Sub Services Electricity and Instrumentation</t>
  </si>
  <si>
    <t>Alarme system kit</t>
  </si>
  <si>
    <t>Kit, Bracket vers.B</t>
  </si>
  <si>
    <t>Insulation</t>
  </si>
  <si>
    <t>Instrumentation and Electricity</t>
  </si>
  <si>
    <t>Quality testing and inspections</t>
  </si>
  <si>
    <t>IT service</t>
  </si>
  <si>
    <t>Trinche Curved Berda White 20mm</t>
  </si>
  <si>
    <t>FUEL ADDITIVE - ADBLUE</t>
  </si>
  <si>
    <t>FITA SERRA BOSCH PRO CB4418 1140mm x 12.4mm x 0.5mm</t>
  </si>
  <si>
    <t>Pressure Sensor Transmitter QBE-2003-P10</t>
  </si>
  <si>
    <t>Spray impurities remover from hydrocarbon</t>
  </si>
  <si>
    <t>Drugstore and hardware</t>
  </si>
  <si>
    <t>Computer equipment</t>
  </si>
  <si>
    <t>Office cleaning</t>
  </si>
  <si>
    <t>Security audit</t>
  </si>
  <si>
    <t>Communication</t>
  </si>
  <si>
    <t>Security</t>
  </si>
  <si>
    <t>Other services</t>
  </si>
  <si>
    <t>Electrical installation</t>
  </si>
  <si>
    <t>Recruitement</t>
  </si>
  <si>
    <t>Recruitement services</t>
  </si>
  <si>
    <t>Site accommodation rental</t>
  </si>
  <si>
    <t>Equipment rental (container with fittings)</t>
  </si>
  <si>
    <t>6790 - Other external services</t>
  </si>
  <si>
    <t>Work clothes cleaning</t>
  </si>
  <si>
    <t>Recruitment / Staffing / Consulting services.</t>
  </si>
  <si>
    <t>Accredited management certification audit</t>
  </si>
  <si>
    <t>Recruitment Service</t>
  </si>
  <si>
    <t>Facility Construction</t>
  </si>
  <si>
    <t>Electrical Installation</t>
  </si>
  <si>
    <t>Cleaning Oslo office</t>
  </si>
  <si>
    <t>Oslo office cleaning</t>
  </si>
  <si>
    <t>CLEANING OSLO OFFICE</t>
  </si>
  <si>
    <t>Inspection PPE / Ladders</t>
  </si>
  <si>
    <t>Apartment Cleaning</t>
  </si>
  <si>
    <t>Apartment Cleaning, Kristiansand</t>
  </si>
  <si>
    <t>Apartment cleaning</t>
  </si>
  <si>
    <t>Health, safety and environment course</t>
  </si>
  <si>
    <t>Environmental testing / monitoring service</t>
  </si>
  <si>
    <t>Auditing</t>
  </si>
  <si>
    <t>Auditing services</t>
  </si>
  <si>
    <t>Lighting protection seminar - Livestream</t>
  </si>
  <si>
    <t>Electrical Service</t>
  </si>
  <si>
    <t>Service hours (or maintenance time) for emergency lighting</t>
  </si>
  <si>
    <t>Cleaning Clothes</t>
  </si>
  <si>
    <t>CLEANING WORK CLOTHES</t>
  </si>
  <si>
    <t>Other external services</t>
  </si>
  <si>
    <t>Inspection and certification of safety equipment</t>
  </si>
  <si>
    <t>FSE Industri - Course, Low voltage with first aid</t>
  </si>
  <si>
    <t>FSE Industry - Low-voltage with First Aid</t>
  </si>
  <si>
    <t>Course, Low voltage with first aid</t>
  </si>
  <si>
    <t>FSE Industry – Low-voltage with First Aid</t>
  </si>
  <si>
    <t>FSE Industry - Low-voltage and high-voltage with First Aid</t>
  </si>
  <si>
    <t>Course: Fall protection, heightswork</t>
  </si>
  <si>
    <t>Hot work permit</t>
  </si>
  <si>
    <t>FSE Installation - Low-voltage with First Aid</t>
  </si>
  <si>
    <t>Course: Fall protection, Low voltage with first aid, dangerous tools, safety on the workplace</t>
  </si>
  <si>
    <t>FSE Installation– Low-voltage with First Aid</t>
  </si>
  <si>
    <t>Electrical installation work</t>
  </si>
  <si>
    <t>Painting</t>
  </si>
  <si>
    <t>91 aduced plugs black 25 en 10242/a2</t>
  </si>
  <si>
    <t>60.3mm Plastic Plastic Caps (2)</t>
  </si>
  <si>
    <t>90 Black AD Angles 15</t>
  </si>
  <si>
    <t>984T.0-1" F/F ISO T-handle PN40</t>
  </si>
  <si>
    <t>984T.0-1/2" F/F ISO T-handle PN40</t>
  </si>
  <si>
    <t>984T.0-3/4" F/F ISO T-handle PN40</t>
  </si>
  <si>
    <t>Adk F100 profile top</t>
  </si>
  <si>
    <t>Barm threaded M10*2000 FZV 8.8</t>
  </si>
  <si>
    <t>Barrote Madeira 50x50x800mm</t>
  </si>
  <si>
    <t>Base STA F 160</t>
  </si>
  <si>
    <t>Base is F100-80</t>
  </si>
  <si>
    <t>Black permanent marker</t>
  </si>
  <si>
    <t>CORM MISTA</t>
  </si>
  <si>
    <t>Channel MS 41 21 2.0 D 6m</t>
  </si>
  <si>
    <t>Channel MS 41 62 2.5 6m hcp</t>
  </si>
  <si>
    <t>Cost Rubricas</t>
  </si>
  <si>
    <t>Cracker.stabil d-3g 8 (219-225) w/rev.</t>
  </si>
  <si>
    <t>EURO PALET Paste 1200X800</t>
  </si>
  <si>
    <t>FRAME FLS F 80 M10X21.5 HCP</t>
  </si>
  <si>
    <t>FSE ECONOMATO (excludes paper, toner, index)</t>
  </si>
  <si>
    <t>Fast Nut NT CC 41 m10 hcp profile</t>
  </si>
  <si>
    <t>Finishing paint</t>
  </si>
  <si>
    <t>Hexagonal Bolt, M16 x 70, Class 8.8, Hot GLV., ISO 4014 Altern.: 4017</t>
  </si>
  <si>
    <t>LC-HV 90 DN200 Sliding Support</t>
  </si>
  <si>
    <t>La-HV 90 72-77 DN65 HCP Sliding Support</t>
  </si>
  <si>
    <t>M10 FZV ANALY</t>
  </si>
  <si>
    <t>Manual mountain leaf</t>
  </si>
  <si>
    <t>Plastic Plastic Tubes 323.9mm (12 ")</t>
  </si>
  <si>
    <t>Plastic Plastic Tubes 355.6mm (14 ")</t>
  </si>
  <si>
    <t>Plastic Plastic Tubing Caps 219mm (8)</t>
  </si>
  <si>
    <t>Plastic Tubing Caps 88.9mm (3)</t>
  </si>
  <si>
    <t>Plastic Tubing Plastic Caps 139.7mm (5 '')</t>
  </si>
  <si>
    <t>Profile adapter SA F 100 41 HCP</t>
  </si>
  <si>
    <t>Prot. CAB/VIS/FACE PROTECTION CAT</t>
  </si>
  <si>
    <t>Quadro BMS</t>
  </si>
  <si>
    <t>Quick nut for Hz 41-10 hcp profile</t>
  </si>
  <si>
    <t>Sierra/Lamina for Serrote 200m/M</t>
  </si>
  <si>
    <t>Sikaflex 522</t>
  </si>
  <si>
    <t>Siphon 80 Angular Support 120/120 HCP</t>
  </si>
  <si>
    <t>Siphumo fls f</t>
  </si>
  <si>
    <t>Solar bolt oval head M10x60 hcp</t>
  </si>
  <si>
    <t>Square WD F 100 140/140</t>
  </si>
  <si>
    <t>Stabil d-3g 20 24 hcp clamp</t>
  </si>
  <si>
    <t>Stabil d-3g clamp 11/4 (40-45) w/ rev</t>
  </si>
  <si>
    <t>Stapil d-3g 6 (167-173) S/Rev HCP</t>
  </si>
  <si>
    <t>T Head Bolt TBO HZ41 M10x75</t>
  </si>
  <si>
    <t>TP F100 siphumo profile</t>
  </si>
  <si>
    <t>Tabes Tabes equal 6m aluminium l 25mm Esp2mm</t>
  </si>
  <si>
    <t>Varão DIN975-4.8 M16x2000 HCP</t>
  </si>
  <si>
    <t>Eletronic Equiment</t>
  </si>
  <si>
    <t>Electronic Equipment</t>
  </si>
  <si>
    <t>CHW secundary circuit (White space, interface in tee)</t>
  </si>
  <si>
    <t>CRAC/CRAH Units</t>
  </si>
  <si>
    <t>Chillers &amp; Cooling Towers</t>
  </si>
  <si>
    <t>Chillers (7 Chillers)</t>
  </si>
  <si>
    <t>Concrete</t>
  </si>
  <si>
    <t>Coolant Piping (Copper or HDPE)</t>
  </si>
  <si>
    <t>Copper Cables</t>
  </si>
  <si>
    <t>Earthing and grounding - Initial Install</t>
  </si>
  <si>
    <t>Fire Suppression Agents</t>
  </si>
  <si>
    <t>Foundations, slab and beams; incl concrete and reinforcement - Inclusive of Pile Foundations</t>
  </si>
  <si>
    <t>IT equipment</t>
  </si>
  <si>
    <t>Includes in-situ floors raised from ground, including casting /trapezoildal formwork.</t>
  </si>
  <si>
    <t>Includes pipes, fittings, equipment and any relevant insulation (Offices and admin areas)</t>
  </si>
  <si>
    <t>Insulation Material</t>
  </si>
  <si>
    <t>Insulation to air treatment installations</t>
  </si>
  <si>
    <t>MV Switchgear</t>
  </si>
  <si>
    <t>MV Switchrooms - Building</t>
  </si>
  <si>
    <t>PODs - 1.7MW (Exclusive Of Transport)</t>
  </si>
  <si>
    <t>PODs - 2 MW Transportation</t>
  </si>
  <si>
    <t>Power Distribution Units (PDUs)</t>
  </si>
  <si>
    <t>Raised Floor Tiles</t>
  </si>
  <si>
    <t>Server Racks &amp; Cabinets</t>
  </si>
  <si>
    <t>Structural Steel; ground to first floor (including 1stF beams)</t>
  </si>
  <si>
    <t>Uninterruptible Power Supply (UPS) Units</t>
  </si>
  <si>
    <t>Vertiv CRAH IT Room Rooms - 24No. 190kW</t>
  </si>
  <si>
    <t>Workers/day - cleaning</t>
  </si>
  <si>
    <t>uPVC waterproofing membrance on suspended slab.(Internal roof)</t>
  </si>
  <si>
    <t>Drywall &amp; Gypsum Board</t>
  </si>
  <si>
    <t>Busbars &amp; Electrical Panels</t>
  </si>
  <si>
    <t>Diesel Fuel &amp; Storage Tanks</t>
  </si>
  <si>
    <t>Ducting &amp; Airflow Control Materials</t>
  </si>
  <si>
    <t>Blanking Panels &amp; Containment Systems</t>
  </si>
  <si>
    <t>Fiber Optic Cables</t>
  </si>
  <si>
    <t>Patch Panels &amp; Cable Trays</t>
  </si>
  <si>
    <t>Fire-Rated Doors &amp; Wall Panels</t>
  </si>
  <si>
    <t>2mm cable union</t>
  </si>
  <si>
    <t>Coquilha CQ 100 - Ø 139 x 080</t>
  </si>
  <si>
    <t>Coquilha CQ 100 - Ø 219 x 080</t>
  </si>
  <si>
    <t>Coquilha CQ 100 - Ø 114 x 080</t>
  </si>
  <si>
    <t>Paroc Hvac Lamella Mat Alucoat 100mm</t>
  </si>
  <si>
    <t>Coquilha CQ 100 - Ø 060 x 050</t>
  </si>
  <si>
    <t>Balancing Valve - Frese Alpha NPT 1 1/2''</t>
  </si>
  <si>
    <t>Alpha cartridges type 30</t>
  </si>
  <si>
    <t>75mm x 50m aluminum tape</t>
  </si>
  <si>
    <t>50mm x 50m aluminum ribbon</t>
  </si>
  <si>
    <t>280mm isolation cutting knife</t>
  </si>
  <si>
    <t>SS Wire 2mm - 100m AISI 316</t>
  </si>
  <si>
    <t>Sub Quality SERVICES</t>
  </si>
  <si>
    <t>Pressure Sensor Transmitter QBE-2103-P10</t>
  </si>
  <si>
    <t>Office - local rent and property tax - 2025/04/01 -2025/06/30</t>
  </si>
  <si>
    <t>Office - local rent and property tax - 2025/07/01 -2025/09/30</t>
  </si>
  <si>
    <t>Office - local rent and property tax - 2025/10/01 -2025/12/31</t>
  </si>
  <si>
    <t>Office rent invoice: Mäster Samuelsgatan 42, 111 57, Stockholm</t>
  </si>
  <si>
    <t>Client Barracks</t>
  </si>
  <si>
    <t>Crane bed</t>
  </si>
  <si>
    <t>Fire suppression MMR and SG</t>
  </si>
  <si>
    <t>Geotechnical Survey</t>
  </si>
  <si>
    <t>Goalpost arrangements to double doors; to WS perimeter wall doors</t>
  </si>
  <si>
    <t>Land movement</t>
  </si>
  <si>
    <t>Lift</t>
  </si>
  <si>
    <t>Office Utilities</t>
  </si>
  <si>
    <t>Precast Façade Walls 150mm tk</t>
  </si>
  <si>
    <t>Prelims</t>
  </si>
  <si>
    <t>RC floor slab; including concrete, formwork, reinforcement</t>
  </si>
  <si>
    <t>Rasundavagen 13, 169 67, Solna</t>
  </si>
  <si>
    <t>VO 014.5 - Micron Filters - Mechanical Works</t>
  </si>
  <si>
    <t>VO 025.105 - Ground Floor Whitespace - BMS Security system and installation</t>
  </si>
  <si>
    <t>VO 025.81 - Ground Floor Whitespace - CHW Secondary Circuit</t>
  </si>
  <si>
    <t>VO 025.85 - Ground Floor Whitespace - Watermist Installation</t>
  </si>
  <si>
    <t>VO 025.86 - Ground Floor Whitespace - HACs</t>
  </si>
  <si>
    <t>VO 025.87 - NIGHT SHIFT</t>
  </si>
  <si>
    <t>VO 037.4 - Temporary TOBs</t>
  </si>
  <si>
    <t>VO 038 - Supply of Hoses to GF &amp; FF</t>
  </si>
  <si>
    <t>VO 088 - Two extra handymen on Carter for two months</t>
  </si>
  <si>
    <t>lnstalac; :6es</t>
  </si>
  <si>
    <t>Tightening/Fixing</t>
  </si>
  <si>
    <t>Paint/Oil/Glue/Lubricant</t>
  </si>
  <si>
    <t>Plastic Caps for Tubing 355.6mm (14")</t>
  </si>
  <si>
    <t>Plastic Caps for Tubing 88.9mm (3)</t>
  </si>
  <si>
    <t>Plastic Caps for Pipes 219mm (8)</t>
  </si>
  <si>
    <t>Pallet 1200x800mm</t>
  </si>
  <si>
    <t>Saw Belt Belt 6000x 41x1.3mm</t>
  </si>
  <si>
    <t>Fx Reflet XL Cotton Pants w/DC PIPING Logo</t>
  </si>
  <si>
    <t>Fx Reflet XXL Cotton Pants w/DC PIPING Logo</t>
  </si>
  <si>
    <t>Cor Mista Cloth</t>
  </si>
  <si>
    <t>Plastic Caps for Tubing 323.9mm (12")</t>
  </si>
  <si>
    <t>FRAMO SCREW FLS F 80 M10X21.5 HCP</t>
  </si>
  <si>
    <t>QUICK NUT PROFILE NT CC 41 M10 HCP</t>
  </si>
  <si>
    <t>siFramo FLS F screw</t>
  </si>
  <si>
    <t>siFramo TP F100 profile</t>
  </si>
  <si>
    <t>siFramo 80 Angular support 120/120 HCP</t>
  </si>
  <si>
    <t>SA F 100 41 HCP Profile Adapter</t>
  </si>
  <si>
    <t>Square 150/150</t>
  </si>
  <si>
    <t>SLIDING BRACKET LC-HV 90 DN200</t>
  </si>
  <si>
    <t>Sold/Cutting Gases</t>
  </si>
  <si>
    <t>Desk/Commissary Material</t>
  </si>
  <si>
    <t>Finish paint</t>
  </si>
  <si>
    <t>Prot. Cab/Vis/Face Protective Cap</t>
  </si>
  <si>
    <t>Saw/blade for hacksaw 200m/M</t>
  </si>
  <si>
    <t>Leaf Saw Manual</t>
  </si>
  <si>
    <t>Lisa Paper Ribbon 30mm</t>
  </si>
  <si>
    <t>Threaded rod M10*2000 FZV 8.8</t>
  </si>
  <si>
    <t>Angle Bracket Equal Flaps 6m Aluminum L 25mm Esp2mm</t>
  </si>
  <si>
    <t>SOLAR SCREW OVAL HEAD M10X60 HCP</t>
  </si>
  <si>
    <t>STA F100-80 base</t>
  </si>
  <si>
    <t>Cable Tie</t>
  </si>
  <si>
    <t>MB mounting base 28×28mm</t>
  </si>
  <si>
    <t>Slide Element GLE J12 M12</t>
  </si>
  <si>
    <t>CONECTOR OCTOGONAL PK F100 8KT HCP</t>
  </si>
  <si>
    <t>WASHER 10/40 HCP</t>
  </si>
  <si>
    <t>Hole cover anchor M10 ELZ</t>
  </si>
  <si>
    <t>Threaded rod M10×2000 FZV 8.8</t>
  </si>
  <si>
    <t>Threaded rod M10×1000 FZV 8.8</t>
  </si>
  <si>
    <t>Threaded rod M12×1000 FZV 8.8</t>
  </si>
  <si>
    <t>Threaded stud M10/110 HCP 4.8</t>
  </si>
  <si>
    <t>Bucha AN EASY M10</t>
  </si>
  <si>
    <t>PERFIL FRAMO TP F100 L=6MTS HCP FF</t>
  </si>
  <si>
    <t>Oil cutting spray</t>
  </si>
  <si>
    <t>Loctite 55 160M (THREAD)</t>
  </si>
  <si>
    <t>BASE WBD F100-80 HCP</t>
  </si>
  <si>
    <t>STA F100 base</t>
  </si>
  <si>
    <t>Pipe Clamp Stabil D-3G w/lining HCP 108–115mm 4" M8, M10, M16</t>
  </si>
  <si>
    <t>U PROFILE CLAMP SB F100-40 HCP</t>
  </si>
  <si>
    <t>STABIL D-3G 6 CLAMP (165–171) W/REV HCP</t>
  </si>
  <si>
    <t>TOP FOR PROFILE 41/41</t>
  </si>
  <si>
    <t>ROD M10×1000 HCP</t>
  </si>
  <si>
    <t>ROD M12×1000 HCP</t>
  </si>
  <si>
    <t>ROD DIN975-4.8 M12×2000 HCP</t>
  </si>
  <si>
    <t>CONNECTOR M16/M10/M8</t>
  </si>
  <si>
    <t>EV Connector Angle CC 41-1</t>
  </si>
  <si>
    <t>ROD M10X1000 HCP</t>
  </si>
  <si>
    <t>ROD M10X2000 HCP</t>
  </si>
  <si>
    <t>ROD M12X1000 HCP</t>
  </si>
  <si>
    <t>ROD DIN975-4.8 M12X2000 HCP</t>
  </si>
  <si>
    <t>Perfil 41/41/2.5 6m HCP</t>
  </si>
  <si>
    <t>Nut M10 VZ 8.8 DIN 934 3521191</t>
  </si>
  <si>
    <t>Pipe Clamp Stabil D-3G w/lining HCP 108-115mm 4'' M8, M10, M16</t>
  </si>
  <si>
    <t>Insulated Foot SHB SQF F 80 - 350</t>
  </si>
  <si>
    <t>STABIL D-3G 6 CLAMP (165-171) W/REV HCP</t>
  </si>
  <si>
    <t>Slide Set GS F 100 2G HCP</t>
  </si>
  <si>
    <t>OCTAGONAL CONNECTOR 280MM (DOUBLE) HCP</t>
  </si>
  <si>
    <t>SLIDING BRACKET LC-HV 90 DN100</t>
  </si>
  <si>
    <t>U PROFILE CLAMP SB F 80-40 HCP</t>
  </si>
  <si>
    <t>BASE WBD F80-80/120(220x220)</t>
  </si>
  <si>
    <t>FIXED POINT SUPPORT XW F 80</t>
  </si>
  <si>
    <t>Base STA F80</t>
  </si>
  <si>
    <t>ARTICULATED UNION FRAMO GE F80-80 q HCP</t>
  </si>
  <si>
    <t>U PROFILE CLAMP SB F 100-40 HCP</t>
  </si>
  <si>
    <t>SLIDING BRACKET LC-HV 90 DN150</t>
  </si>
  <si>
    <t>FIXED POINT GUIDE XW F100</t>
  </si>
  <si>
    <t>Pivot Joint GE F - ST F 100 80/120</t>
  </si>
  <si>
    <t>PIVOT UNION GE F100-100 q</t>
  </si>
  <si>
    <t>PIVOT JOINT GE F - ST F 80/120-80 HCP</t>
  </si>
  <si>
    <t>CLAMP STABIL D-3G 8 219-225 C/REV HCP</t>
  </si>
  <si>
    <t>GRAMPO TCS 2 M12/M12 HCP</t>
  </si>
  <si>
    <t>STABIL D-3G 5 CLAMP (138-144)W/ REV HCP</t>
  </si>
  <si>
    <t>GRAMPO TCS I M10/M10 HCP</t>
  </si>
  <si>
    <t>Beam Clamp TCS 41 HCP</t>
  </si>
  <si>
    <t>Slide Set GS 2G-PL HCP</t>
  </si>
  <si>
    <t>Adapter AD f/f HCP 1/2"/M16</t>
  </si>
  <si>
    <t>Angle EV CC 41-1 HCP</t>
  </si>
  <si>
    <t>STABIL CLAMP D-3G 60-65 C/REV HCP</t>
  </si>
  <si>
    <t>SLIDING BRACKET LC-HV 90 DN125</t>
  </si>
  <si>
    <t>MS 5P M16 S CLAW MOUNTING SET</t>
  </si>
  <si>
    <t>Base WBD F80-201/300</t>
  </si>
  <si>
    <t>Angle Connector EV CC 41-2 HCP</t>
  </si>
  <si>
    <t>Channel Nut NT HZ 41 HCP - M12</t>
  </si>
  <si>
    <t>GARRA B 41/12 HCP</t>
  </si>
  <si>
    <t>Hexagon Bolt SKT HCP M12/30</t>
  </si>
  <si>
    <t>Pipe Clamp Stabil D-3G w/lining HCP 108–115mm 4'' M8, M10, M16</t>
  </si>
  <si>
    <t>Universal Joint UG ss M12</t>
  </si>
  <si>
    <t>Holding Bracket HK HCP 41/10</t>
  </si>
  <si>
    <t>Mounting Plate GPL F 80 - 1/2"</t>
  </si>
  <si>
    <t>Consola AK F 80-400</t>
  </si>
  <si>
    <t>Hexagon Bolt SKT HCP M10/25</t>
  </si>
  <si>
    <t>WASHERS 12/40 HCP</t>
  </si>
  <si>
    <t>Insulation Diluent 1L</t>
  </si>
  <si>
    <t>Beam Section TP F 80 30 6m HCP - FF</t>
  </si>
  <si>
    <t>Adapter AD f/f ½’’ ½’’</t>
  </si>
  <si>
    <t>Bolt Anchor AN BZ plus 12/15/35/110</t>
  </si>
  <si>
    <t>FW F100 Guide</t>
  </si>
  <si>
    <t>FW F80 Guide</t>
  </si>
  <si>
    <t>PIVOT JOINT GE F100-80</t>
  </si>
  <si>
    <t>PIVOT UNION GE F100-80 q</t>
  </si>
  <si>
    <t>SUPPORT SH 41/41 HCP</t>
  </si>
  <si>
    <t>UNION f/f M16/M12</t>
  </si>
  <si>
    <t>CC profile nut M12 HCP</t>
  </si>
  <si>
    <t>Base STA F 100-80 E HCP</t>
  </si>
  <si>
    <t>Base WBD F100-T</t>
  </si>
  <si>
    <t>LD - HV 90 DN 400</t>
  </si>
  <si>
    <t>Bolt Anchor AN BZ plus M10 10/10/30/90</t>
  </si>
  <si>
    <t>ADK F100 profile top</t>
  </si>
  <si>
    <t>BASE WBD F 100-80 HCP</t>
  </si>
  <si>
    <t>Channel Adapter SA F 80 41 HCP</t>
  </si>
  <si>
    <t>BASE GPL F 80-M10 HCP</t>
  </si>
  <si>
    <t>Slide Element GLE J10 M10</t>
  </si>
  <si>
    <t>Slide Set GS F 80 2G</t>
  </si>
  <si>
    <t>Joint JOI 41 T HCP</t>
  </si>
  <si>
    <t>TOPO PROFILE ADK F80/30</t>
  </si>
  <si>
    <t>U-Holder SB F 100/160-40</t>
  </si>
  <si>
    <t>Victaulic type lubricant mass 1.4kg</t>
  </si>
  <si>
    <t>Rod Coupling AD f/f M16 * 40</t>
  </si>
  <si>
    <t>Slide Set GS F 100 2G</t>
  </si>
  <si>
    <t>Hexagon Bolt SKT HCP M12/100</t>
  </si>
  <si>
    <t>Galv nut. Din934 |8| M12 Hexagon</t>
  </si>
  <si>
    <t>GARRA SPA 5P M12 AU HCP</t>
  </si>
  <si>
    <t>TIGHTENING PART B41/10</t>
  </si>
  <si>
    <t>X-Acto retractable security</t>
  </si>
  <si>
    <t>Hydrocarbon-based crack revealing spray</t>
  </si>
  <si>
    <t>Hydrocarbon-based descaling spray</t>
  </si>
  <si>
    <t>Hydrocarbon-based red penetrating crack revealing spray</t>
  </si>
  <si>
    <t>Material Hydraulic/Pneumatic</t>
  </si>
  <si>
    <t>General Use Consumables</t>
  </si>
  <si>
    <t>Office equipment (Office supplies)</t>
  </si>
  <si>
    <t>ROD M10X3000 HCP</t>
  </si>
  <si>
    <t>ROD DIN975-4.8 M12X3000 HCP</t>
  </si>
  <si>
    <t>STABIL CLAMP D-3G/M 4 (110-116) S/REV HCP</t>
  </si>
  <si>
    <t>STABIL D-3G CLAMP 11/4 (40-45) WITH REV</t>
  </si>
  <si>
    <t>STABIL D-3G CLAMP 1 1/4 (40-45) S/REV HCP</t>
  </si>
  <si>
    <t>Washer M10 FZV</t>
  </si>
  <si>
    <t>SQUARE MW 60/40/90 HCP</t>
  </si>
  <si>
    <t>QUICK NUT FOR PROFILE HZ 41-10 HCP</t>
  </si>
  <si>
    <t>STABIL D-3G 6 CLAMP (167-173) S/REV HCP</t>
  </si>
  <si>
    <t>Collar for Euro Pallet 1200x800</t>
  </si>
  <si>
    <t>Elbow 90 deg., equal - EN 10241, Table 7 – DN15 - Thrd. F/F, Rp1/2 acc. ISO 7-1, Carbon Steel Black</t>
  </si>
  <si>
    <t>Metal Drill HSSCO 4.2X75 mm</t>
  </si>
  <si>
    <t>Metal Drill HSSCO 5X86 mm</t>
  </si>
  <si>
    <t>Metal Drill HSSCO 6X93 mm</t>
  </si>
  <si>
    <t>Metal Drill HSSCO 8X117 mm</t>
  </si>
  <si>
    <t>Metal Drill HSSCO 10X133 mm</t>
  </si>
  <si>
    <t>Abrasive Cutting Disc Stainless Steel 125 Esp.1.5x22mm</t>
  </si>
  <si>
    <t>291 ADUCED PLUGS BLACK 25 EN 10242/A2</t>
  </si>
  <si>
    <t>CLAMP STABIL RB-A 220 (214-220) HCP</t>
  </si>
  <si>
    <t>SLIDING BRACKET LA-HV 90 72-77 DN65 HCP</t>
  </si>
  <si>
    <t>Piping sticker150mmx45m</t>
  </si>
  <si>
    <t>Goods Transport Supplies</t>
  </si>
  <si>
    <t>SUB Metal Construction Services</t>
  </si>
  <si>
    <t>Other business services</t>
  </si>
  <si>
    <t>SUB Manufacturing Services (MO)</t>
  </si>
  <si>
    <t>SUB Assembly Services (MO)</t>
  </si>
  <si>
    <t>FSE Specialized Jobs</t>
  </si>
  <si>
    <t>FSE Tolls/Parking - Light Passengers</t>
  </si>
  <si>
    <t>Trench 1</t>
  </si>
  <si>
    <t>FSE Transport of Finished Product</t>
  </si>
  <si>
    <t>Office - local rent and property tax - 2025/04/01 -2025/06/30 Rasundavagen 13, 169 67, Solna</t>
  </si>
  <si>
    <t>Office - local rent and property tax - 2025/07/01 -2025/09/30 Rasundavagen 13, 169 67, Solna</t>
  </si>
  <si>
    <t>Office - local rent and property tax - 2025/10/01 -2025/12/31 Rasundavagen 13, 169 67, Solna</t>
  </si>
  <si>
    <t>Office rent invoice: Mäster Samuelsgatan 42, 111 57,  Stockholm
Office Utilities</t>
  </si>
  <si>
    <t>Rent, office</t>
  </si>
  <si>
    <t>House rent</t>
  </si>
  <si>
    <t>Rent factory Hanekleiva</t>
  </si>
  <si>
    <t>Rental of computer systems</t>
  </si>
  <si>
    <t>Rental of means of transport</t>
  </si>
  <si>
    <t>Computer services/licenses abroad w/service tax</t>
  </si>
  <si>
    <t>Driftsmateriale</t>
  </si>
  <si>
    <t>Office costs</t>
  </si>
  <si>
    <t>Management services</t>
  </si>
  <si>
    <t>Service provider</t>
  </si>
  <si>
    <t>Construction consultancy</t>
  </si>
  <si>
    <t>Engineering External</t>
  </si>
  <si>
    <t>Services SD Nordics</t>
  </si>
  <si>
    <t>Printed matter</t>
  </si>
  <si>
    <t>Newspapers, journals/periodicals, books etc.</t>
  </si>
  <si>
    <t>Meetings, seminars/courses, refresher courses etc.</t>
  </si>
  <si>
    <t>Telephone</t>
  </si>
  <si>
    <t>Internet</t>
  </si>
  <si>
    <t>Car allowance, reportable</t>
  </si>
  <si>
    <t>Domestic travel</t>
  </si>
  <si>
    <t>International travel</t>
  </si>
  <si>
    <t>Commission charges, non-reportable</t>
  </si>
  <si>
    <t>301S015</t>
  </si>
  <si>
    <t>Services auxiliary to financial intermediation</t>
  </si>
  <si>
    <t>Advertisements</t>
  </si>
  <si>
    <t>Dues, deductible</t>
  </si>
  <si>
    <t>Non-deductible gift expense</t>
  </si>
  <si>
    <t>Bank charges and card fees</t>
  </si>
  <si>
    <t>Rates</t>
  </si>
  <si>
    <t>500mm Wide Transparent Film Roll</t>
  </si>
  <si>
    <t>Black film roll 500mm wide</t>
  </si>
  <si>
    <t>Freight, transport costs and insurance for shipment of goods</t>
  </si>
  <si>
    <t>Renovation, water, sewage etc.</t>
  </si>
  <si>
    <t>Lighting, Heating</t>
  </si>
  <si>
    <t>Lighting, Heating apartments</t>
  </si>
  <si>
    <t>Other costs related to premises</t>
  </si>
  <si>
    <t>Other costs related to apartment</t>
  </si>
  <si>
    <t>Rent other office machines</t>
  </si>
  <si>
    <t>Other rental costs</t>
  </si>
  <si>
    <t>Computer equipment/licenses/maintenance (License fee)</t>
  </si>
  <si>
    <t>Fixtures and fittings</t>
  </si>
  <si>
    <t>Computer equipment (hardware)</t>
  </si>
  <si>
    <t>Work clothes</t>
  </si>
  <si>
    <t>Repair and maintenance of buildings</t>
  </si>
  <si>
    <t>301S014</t>
  </si>
  <si>
    <t>Retail trade services and repair services of goods</t>
  </si>
  <si>
    <t>Repair and maintance of machines</t>
  </si>
  <si>
    <t>Auditors' remuneration</t>
  </si>
  <si>
    <t>Accounting fee</t>
  </si>
  <si>
    <t>Fees for legal services, deductible</t>
  </si>
  <si>
    <t>Engineering services Portugal</t>
  </si>
  <si>
    <t>Architectural Services</t>
  </si>
  <si>
    <t>Electrical Engineering services (DCS)</t>
  </si>
  <si>
    <t>M&amp;E services (Navitas)</t>
  </si>
  <si>
    <t>IT services</t>
  </si>
  <si>
    <t>Recruitment fees</t>
  </si>
  <si>
    <t>Architectural (Bimms)</t>
  </si>
  <si>
    <t>Computer &amp; Software</t>
  </si>
  <si>
    <t>Other office costs</t>
  </si>
  <si>
    <t>Fuel</t>
  </si>
  <si>
    <t>Car maintenance</t>
  </si>
  <si>
    <t>Travel expenses, non-reportable</t>
  </si>
  <si>
    <t>Parking</t>
  </si>
  <si>
    <t>Hotel</t>
  </si>
  <si>
    <t>Subsistence expenses, reportable</t>
  </si>
  <si>
    <t>Subsistence expenses, non-reportable</t>
  </si>
  <si>
    <t>Sales and marketing costs</t>
  </si>
  <si>
    <t>Entertainment expenses, deductible</t>
  </si>
  <si>
    <t>Entertainment expenses, non-deductible</t>
  </si>
  <si>
    <t>Insurance premiums</t>
  </si>
  <si>
    <t>Rounding</t>
  </si>
  <si>
    <t>Other expenses</t>
  </si>
  <si>
    <t>Other expenses, non-deductible</t>
  </si>
  <si>
    <t>Other expenses, deductible</t>
  </si>
  <si>
    <t>SUB Painting Services</t>
  </si>
  <si>
    <t>HSE - Waste container rental</t>
  </si>
  <si>
    <t>HSE - Waste transport</t>
  </si>
  <si>
    <t>Curved White Bristle 20MM</t>
  </si>
  <si>
    <t>Serrated Plastic Clamp 200 x 4.6mm (100 units)</t>
  </si>
  <si>
    <t>SUB Services Thermal Insulation</t>
  </si>
  <si>
    <t>Insulation Cutting Knife 280mm</t>
  </si>
  <si>
    <t>SUB Services Quality</t>
  </si>
  <si>
    <t>SUB Services Calibration</t>
  </si>
  <si>
    <t>SUB Consulting Services</t>
  </si>
  <si>
    <t>Carafeo Water 18.9l</t>
  </si>
  <si>
    <t>Pregos 33° 2.8 x 75 mm Dewalt ref. DNPT28R75Z</t>
  </si>
  <si>
    <t>Locksmith Protection Boot 42</t>
  </si>
  <si>
    <t>Disposable Moldable Tampon Without Cord</t>
  </si>
  <si>
    <t>Fx Reflet M Cotton Pants with DC PIPING Logo</t>
  </si>
  <si>
    <t>Fx Reflet L Cotton Pants with DC PIPING Logo</t>
  </si>
  <si>
    <t>Ferro</t>
  </si>
  <si>
    <t>M Polar Jacket with DC PIPING Logo</t>
  </si>
  <si>
    <t>XL Fleece with DC PIPING Logo</t>
  </si>
  <si>
    <t>L Fleece with DC PIPING Logo</t>
  </si>
  <si>
    <t>XL long sleeve T-Shirt with DC PIPING logo</t>
  </si>
  <si>
    <t>Cranial Drill Bit Hss Haste Weldo M 38 PC 55mm</t>
  </si>
  <si>
    <t>Cranial Drill Bit Hss Haste Weldo M 50 PC 55mm</t>
  </si>
  <si>
    <t>Cranial Saw M 20 HSS-Co</t>
  </si>
  <si>
    <t>Cranial Saw M 25 HSS-Co</t>
  </si>
  <si>
    <t>Cranial Drill Bit Hss Haste Weldo M 44 PC 55mm</t>
  </si>
  <si>
    <t>Cranial Saw M 38 HSS-Co</t>
  </si>
  <si>
    <t>Cranial Saw M 51 HSS-Co</t>
  </si>
  <si>
    <t>Cranial Saw M 64 HSS-Co</t>
  </si>
  <si>
    <t>Hardware - Different material</t>
  </si>
  <si>
    <t>CRMA connection service (Central Reception Monitoring Alarms)</t>
  </si>
  <si>
    <t>PROFILE 41/41/2.0 L=6MT HCP</t>
  </si>
  <si>
    <t>Prf Class 8.8 Din 933 M10x30</t>
  </si>
  <si>
    <t>CLAMP.STABIL D-3G 8 (219-225) C/REV.</t>
  </si>
  <si>
    <t>Bit Torx T50 1/2'' Socket Wrench</t>
  </si>
  <si>
    <t>Variomat connection set G 1 1/4 (6940400)</t>
  </si>
  <si>
    <t>Membrane rupture detector with electrode complete</t>
  </si>
  <si>
    <t>Reflex Servitec Lev 75-3/2</t>
  </si>
  <si>
    <t>Cold water meter R3/4" G1B 10l/Imp Qn2.5</t>
  </si>
  <si>
    <t>CONNECTION SET G 200.6</t>
  </si>
  <si>
    <t>Reflex I/O Modul Servitec</t>
  </si>
  <si>
    <t>Steel Toe Shoe Protection (Overshoes) 47</t>
  </si>
  <si>
    <t>ROD DIN975-4.8 M16X2000 HCP</t>
  </si>
  <si>
    <t>EPIs e EPCs</t>
  </si>
  <si>
    <t>Welding Consumables</t>
  </si>
  <si>
    <t>Machine Tool Accessories</t>
  </si>
  <si>
    <t>Cost Items</t>
  </si>
  <si>
    <t>Finished Product</t>
  </si>
  <si>
    <t>Cutting disc</t>
  </si>
  <si>
    <t>Computer system</t>
  </si>
  <si>
    <t>Copper die</t>
  </si>
  <si>
    <t>Steel brush</t>
  </si>
  <si>
    <t>Office equipment (Security/tracking computer equipment) – abroad</t>
  </si>
  <si>
    <t>Plastic Caps for Tubing 168.3mm (6)</t>
  </si>
  <si>
    <t>Plastic Covers for 114mm Pipe (4)</t>
  </si>
  <si>
    <t>Plastic Covers for Tubing 273mm (10)</t>
  </si>
  <si>
    <t>Plastic Caps for Tubing 60.3mm (2)</t>
  </si>
  <si>
    <t>Spray paint 400ml Ral Orange</t>
  </si>
  <si>
    <t>Plastic Caps for Tubing 139.7mm (5'')</t>
  </si>
  <si>
    <t>FSE Economato (excludes paper, toner, ink cartridge)</t>
  </si>
  <si>
    <t>Love PET 12x0.60</t>
  </si>
  <si>
    <t>Jigsaw Blade T1018AFP</t>
  </si>
  <si>
    <t>C107V0060ZZPEM0 6/168.3mm Style 107V Coupling Orange EHP VP Metric B/N</t>
  </si>
  <si>
    <t>Screw M6S M16x 75 FZV DG</t>
  </si>
  <si>
    <t>Hex. Bolts M16 x 75 mm bolt set hot-dip galvanized 8.8 2098932</t>
  </si>
  <si>
    <t>Tubo S/C 6m EN10216-2 P235 GH TC1 DN15 Esp. 2,3Mm</t>
  </si>
  <si>
    <t>Reflex VG 1500 GY 6b G1</t>
  </si>
  <si>
    <t>Fillset/Fillcontrol GLYCOL TANK SYSTEM</t>
  </si>
  <si>
    <t>Niveaustabsonde VNYI3 11/2” 3x1m Level rod probe</t>
  </si>
  <si>
    <t>Level controller 2-4 point CLD4MA2D230</t>
  </si>
  <si>
    <t>Reflex C 80 GY 3/1.5b G3/4</t>
  </si>
  <si>
    <t>Reflex SU G3/4x3/4</t>
  </si>
  <si>
    <t>Reflex activation code for master-slave</t>
  </si>
  <si>
    <t>Reflex G 200 GY 6/3.5b G1 1/4 Diaphragm expansion tank</t>
  </si>
  <si>
    <t>Reflex Bus-Module BACnet-IP</t>
  </si>
  <si>
    <t>Reflex VS 2-2/60 SC 230/50 - pump</t>
  </si>
  <si>
    <t>Reflex Fillcontrol A 5,5 G1 1/4/G1</t>
  </si>
  <si>
    <t>Padlock</t>
  </si>
  <si>
    <t>Cutting pliers</t>
  </si>
  <si>
    <t>Razor blade</t>
  </si>
  <si>
    <t>Pliers</t>
  </si>
  <si>
    <t>Apple - Ipad 11</t>
  </si>
  <si>
    <t>Cover Ipad 11</t>
  </si>
  <si>
    <t>Locking post</t>
  </si>
  <si>
    <t>Measuring tape</t>
  </si>
  <si>
    <t>Terminal Pin</t>
  </si>
  <si>
    <t>Washers/screws</t>
  </si>
  <si>
    <t>Main Switchboard - Delivering</t>
  </si>
  <si>
    <t>Pad foundation</t>
  </si>
  <si>
    <t>Internal sandwich wall</t>
  </si>
  <si>
    <t>VO-18 Snow Melting as per Engineer's Instruction No. 5 dated 09.06.25</t>
  </si>
  <si>
    <t>Plastering and Painting (Provisional)</t>
  </si>
  <si>
    <t>Skirtings, 150mm high epoxy and paint/seal</t>
  </si>
  <si>
    <t>Kinetic facade Generator building prov sum Schedule H, offer Alupro</t>
  </si>
  <si>
    <t>Inside Flooring</t>
  </si>
  <si>
    <t>Electrical</t>
  </si>
  <si>
    <t>VO 033 - Acoustic Panelling to the Ceiling within the WS</t>
  </si>
  <si>
    <t>Flow Forge steel</t>
  </si>
  <si>
    <t>VO 023.10 - Changes of Scope to the First Floor Whitespace</t>
  </si>
  <si>
    <t>SANITARY INSTALLATIONS</t>
  </si>
  <si>
    <t>VO 029 - GF Greyspace Acceleration</t>
  </si>
  <si>
    <t>Entrance doors and barriers, Incl Turnstile</t>
  </si>
  <si>
    <t>Storage containers</t>
  </si>
  <si>
    <t>VO 014 - Micron Filters - Gapit Works</t>
  </si>
  <si>
    <t>VO - 082 EPIV's &amp; Hoses</t>
  </si>
  <si>
    <t>VO 074 - Offices 2. floor admin</t>
  </si>
  <si>
    <t>VO 085 - New layout Carter</t>
  </si>
  <si>
    <t>External services and subcontracts</t>
  </si>
  <si>
    <t>Rent means of transport</t>
  </si>
  <si>
    <t>Rent machinery</t>
  </si>
  <si>
    <t>Auditors fees</t>
  </si>
  <si>
    <t>Maintenance and repair buildings</t>
  </si>
  <si>
    <t>Maintenance and repair equipment</t>
  </si>
  <si>
    <t>Fees for financial advice</t>
  </si>
  <si>
    <t>Rent fixtures and furniture</t>
  </si>
  <si>
    <t>Fees for legal services nondeductible</t>
  </si>
  <si>
    <t>Indirect Electricity Consumption</t>
  </si>
  <si>
    <t>indirect electricity consumption</t>
  </si>
  <si>
    <t>Scope 3 Category 11 Products Indirect</t>
  </si>
  <si>
    <t>311A001</t>
  </si>
  <si>
    <t>t CO2e/ kWh</t>
  </si>
  <si>
    <t>Code</t>
  </si>
  <si>
    <t>BillOfQuantity</t>
  </si>
  <si>
    <t>TFMCode</t>
  </si>
  <si>
    <t>1036-60.001-2898</t>
  </si>
  <si>
    <t>PODs</t>
  </si>
  <si>
    <t>60.001</t>
  </si>
  <si>
    <t>3004-1.1.5-596</t>
  </si>
  <si>
    <t>Electrical Engineer</t>
  </si>
  <si>
    <t>1.1.5</t>
  </si>
  <si>
    <t>1036-60.002-1868</t>
  </si>
  <si>
    <t xml:space="preserve">Generators </t>
  </si>
  <si>
    <t>60.002</t>
  </si>
  <si>
    <t>1036-40.001-3995</t>
  </si>
  <si>
    <t>40.001</t>
  </si>
  <si>
    <t>1050-40.001-3722</t>
  </si>
  <si>
    <t>General contractors admin inkl own HSE, and lifting</t>
  </si>
  <si>
    <t>1036-353.021-4393</t>
  </si>
  <si>
    <t>Supply and Installation Butterfly Valve</t>
  </si>
  <si>
    <t>353.021</t>
  </si>
  <si>
    <t>1050-353.001-3720</t>
  </si>
  <si>
    <t>CHW Primary circuit (Incl  EPOD Cooling solution VO 014)</t>
  </si>
  <si>
    <t>353.001</t>
  </si>
  <si>
    <t>3021-353.029-4074</t>
  </si>
  <si>
    <t>Victaulic Black Steel Pipe and all accessories, including Coupling, Flanges, Bellows, Thermometer, manometer, test point, strainer, Check Valve, Air Vent, …..</t>
  </si>
  <si>
    <t>353.029</t>
  </si>
  <si>
    <t>3004-60.001-594</t>
  </si>
  <si>
    <t>1025-353.000-1735</t>
  </si>
  <si>
    <t>Chiller Water Piping Network - Welded / Flanged Black Steel pipe including all accessories</t>
  </si>
  <si>
    <t>353.000</t>
  </si>
  <si>
    <t>1050-60.003-3227</t>
  </si>
  <si>
    <t>60.003</t>
  </si>
  <si>
    <t>3005-212.002-3361</t>
  </si>
  <si>
    <t>Underground utilities - (Utilities services ducts i.e. MV/LV/Fibre/Water)</t>
  </si>
  <si>
    <t>212.002</t>
  </si>
  <si>
    <t>4001-216.001-3004</t>
  </si>
  <si>
    <t>216.001</t>
  </si>
  <si>
    <t>4001-21.001-2919</t>
  </si>
  <si>
    <t>Earthing and bonding - Initial Install</t>
  </si>
  <si>
    <t>21.001</t>
  </si>
  <si>
    <t>4001-30.017-2891</t>
  </si>
  <si>
    <t xml:space="preserve"> Mechanical Labelling</t>
  </si>
  <si>
    <t>30.017</t>
  </si>
  <si>
    <t>3021-60.002-4044</t>
  </si>
  <si>
    <t>Generators</t>
  </si>
  <si>
    <t>3004-353.013-1818</t>
  </si>
  <si>
    <t>Expansion Vessel for pressuristion units</t>
  </si>
  <si>
    <t>353.013</t>
  </si>
  <si>
    <t>1025-60.002-3673</t>
  </si>
  <si>
    <t xml:space="preserve">Generators (Coromatic 2500kVA) </t>
  </si>
  <si>
    <t>1025-422.002-3541</t>
  </si>
  <si>
    <t>422.002</t>
  </si>
  <si>
    <t>4001-21.002-3138</t>
  </si>
  <si>
    <t>Oil separator(s)</t>
  </si>
  <si>
    <t>21.002</t>
  </si>
  <si>
    <t>3005-216.001-3375</t>
  </si>
  <si>
    <t>1025-61.003-498</t>
  </si>
  <si>
    <t>Daikin Free Cooling Air Colled Chiller - 1,7MW - Phase 1 - 6 Chillers</t>
  </si>
  <si>
    <t>61.003</t>
  </si>
  <si>
    <t>1036-353.001-3731</t>
  </si>
  <si>
    <t>VO 058 Pegasus WS - Carter</t>
  </si>
  <si>
    <t>3005-ACT6-3342</t>
  </si>
  <si>
    <t>221.001</t>
  </si>
  <si>
    <t>Metal and Steel Products</t>
  </si>
  <si>
    <t>3021-365.001-4046</t>
  </si>
  <si>
    <t>365.001</t>
  </si>
  <si>
    <t>3004-411.001/1/gf-1798</t>
  </si>
  <si>
    <t>411.001/1/gf</t>
  </si>
  <si>
    <t>1025-462.003-601</t>
  </si>
  <si>
    <t>Delivery and installation UPS and batteris, 2000kVA, VRLA</t>
  </si>
  <si>
    <t>462.003</t>
  </si>
  <si>
    <t>3004-60.003-577</t>
  </si>
  <si>
    <t>3004-221.001-589</t>
  </si>
  <si>
    <t>1025-521.001-1756</t>
  </si>
  <si>
    <t xml:space="preserve">BMS topology cabling                                  </t>
  </si>
  <si>
    <t>521.001</t>
  </si>
  <si>
    <t>1025-LDC 1.1-1806</t>
  </si>
  <si>
    <t>Commscope Fiber Guide - Hardware</t>
  </si>
  <si>
    <t>LDC 1.1</t>
  </si>
  <si>
    <t>1025-221.001/1-1718</t>
  </si>
  <si>
    <t>Structural steel; 1stF to 2nd floor</t>
  </si>
  <si>
    <t>221.001/1</t>
  </si>
  <si>
    <t>1050-353.003-4351</t>
  </si>
  <si>
    <t>353.003</t>
  </si>
  <si>
    <t>1036-221.001-1665</t>
  </si>
  <si>
    <t>Structural steel; platform</t>
  </si>
  <si>
    <t>1036-335.001-1699</t>
  </si>
  <si>
    <t>NOVEC Fire Extinguishing System in Corridors, IT and IDF Rooms</t>
  </si>
  <si>
    <t>335.001</t>
  </si>
  <si>
    <t>1050-353.003-3778</t>
  </si>
  <si>
    <t>Pump rooms - Complete delivery incl CSA</t>
  </si>
  <si>
    <t>1025-LDC 11.1-3791</t>
  </si>
  <si>
    <t>Tapoffs in WS - Ground floor - Hardware</t>
  </si>
  <si>
    <t>LDC 11.1</t>
  </si>
  <si>
    <t>4001-212.002-3390</t>
  </si>
  <si>
    <t>Underground utilities - Under Building (Utilities services ducts i.e. MV/LV/Fibre/Water)</t>
  </si>
  <si>
    <t>3005-ACT3-3344</t>
  </si>
  <si>
    <t>212.001</t>
  </si>
  <si>
    <t>1025-431.001-1726</t>
  </si>
  <si>
    <t>Power from Generator to Main dist. Board</t>
  </si>
  <si>
    <t>431.001</t>
  </si>
  <si>
    <t>4001-7252.001-3431</t>
  </si>
  <si>
    <t>Gates - (including foundation)</t>
  </si>
  <si>
    <t>7252.001</t>
  </si>
  <si>
    <t>1025-1.1.1-550</t>
  </si>
  <si>
    <t>Project Director</t>
  </si>
  <si>
    <t>1.1.1</t>
  </si>
  <si>
    <t>1036-335.001-1705</t>
  </si>
  <si>
    <t>NOVEC Fire Extinguishing System in Mechanical Space and IT Rooms</t>
  </si>
  <si>
    <t>1025-431.002-605</t>
  </si>
  <si>
    <t>Busbar 4000 Amp - TX to Main DB</t>
  </si>
  <si>
    <t>431.002</t>
  </si>
  <si>
    <t>1025-232.001/ES-3744</t>
  </si>
  <si>
    <t>Sandwich Walls; Yttervegger  200MM Sandwich elementer grå standard Ral farge</t>
  </si>
  <si>
    <t>232.001/ES</t>
  </si>
  <si>
    <t>3004-365.009-576</t>
  </si>
  <si>
    <t xml:space="preserve"> Vertiv CRAH IT Room Rooms - 24No. 190kW</t>
  </si>
  <si>
    <t>365.009</t>
  </si>
  <si>
    <t>7003-A.2-4165</t>
  </si>
  <si>
    <t>Building structure</t>
  </si>
  <si>
    <t>A.2</t>
  </si>
  <si>
    <t>3004-21.001-570</t>
  </si>
  <si>
    <t>4001-232.016-3007</t>
  </si>
  <si>
    <t>Plaster and paint existing external walls</t>
  </si>
  <si>
    <t>232.016</t>
  </si>
  <si>
    <t>1025-390.001-1745</t>
  </si>
  <si>
    <t>Other HVAC installations</t>
  </si>
  <si>
    <t>390.001</t>
  </si>
  <si>
    <t>1025-364.001-1689</t>
  </si>
  <si>
    <t xml:space="preserve"> Extract Fan - Transformer &amp; Battery Rooms</t>
  </si>
  <si>
    <t>364.001</t>
  </si>
  <si>
    <t>3021-221.002-3814</t>
  </si>
  <si>
    <t>221.002</t>
  </si>
  <si>
    <t>1036-212.003-2902</t>
  </si>
  <si>
    <t>Earthing and grounding - Completion</t>
  </si>
  <si>
    <t>21.003</t>
  </si>
  <si>
    <t>1025-365.006-515</t>
  </si>
  <si>
    <t>CRAH IT Room 160kW - Ground Floor</t>
  </si>
  <si>
    <t>365.006</t>
  </si>
  <si>
    <t>1036-254.001-1668</t>
  </si>
  <si>
    <t>Hollow core elements; first floor level</t>
  </si>
  <si>
    <t>254.001</t>
  </si>
  <si>
    <t>1050-431.003-4202</t>
  </si>
  <si>
    <t>PROCUREMENT WS Busbars</t>
  </si>
  <si>
    <t>431.003</t>
  </si>
  <si>
    <t>4001-755.001/1/E-3590</t>
  </si>
  <si>
    <t>Outdoor CCTV  cameras: Building and Fence</t>
  </si>
  <si>
    <t>755.001/1/E</t>
  </si>
  <si>
    <t>1036-232.001-3839</t>
  </si>
  <si>
    <t>232.001</t>
  </si>
  <si>
    <t>3004-242.011-3229</t>
  </si>
  <si>
    <t>242.011</t>
  </si>
  <si>
    <t>Internal sandwich elements; paroc walls; 200mm thick</t>
  </si>
  <si>
    <t>3004-70.003-581</t>
  </si>
  <si>
    <t>70.003</t>
  </si>
  <si>
    <t>3021-829.029-4068</t>
  </si>
  <si>
    <t>829.029</t>
  </si>
  <si>
    <t>4001-60.003-1848</t>
  </si>
  <si>
    <t xml:space="preserve"> Commissioning : Equipment, Chillers, CRAH, Pumps, Pressurisation Unit, Degaser, AHU Balancing, …....</t>
  </si>
  <si>
    <t>30.007</t>
  </si>
  <si>
    <t>3004-366.001-1734</t>
  </si>
  <si>
    <t>366.001</t>
  </si>
  <si>
    <t>1025-729.001-500</t>
  </si>
  <si>
    <t>Concrete RC slabs; Generators; 400mm thick</t>
  </si>
  <si>
    <t>729.001</t>
  </si>
  <si>
    <t>3021-366.001-4192</t>
  </si>
  <si>
    <t>1036-353.004-1686</t>
  </si>
  <si>
    <t>Daikin  Free Cooling Air Colled Chiller Glycol Free</t>
  </si>
  <si>
    <t>353.004</t>
  </si>
  <si>
    <t>1025-216.041-1755</t>
  </si>
  <si>
    <t>Expanded concrete/ grouting under baseplates (HEYDI RAPID EX  MØRTEL)</t>
  </si>
  <si>
    <t>216.041</t>
  </si>
  <si>
    <t>3004-212.003-3236</t>
  </si>
  <si>
    <t>Underground utilities - Site Wide (MV/LV/Fibre/Water)</t>
  </si>
  <si>
    <t>212.003</t>
  </si>
  <si>
    <t>1025-335.001-1643</t>
  </si>
  <si>
    <t xml:space="preserve"> NOVEC Fire Extinguishing System</t>
  </si>
  <si>
    <t>4001-711.021-1845</t>
  </si>
  <si>
    <t>Excavations; levelling ground</t>
  </si>
  <si>
    <t>711.021</t>
  </si>
  <si>
    <t>4001-542.001/1/0-2942</t>
  </si>
  <si>
    <t>Cabling to Fire alarm system</t>
  </si>
  <si>
    <t>542.001/1/0</t>
  </si>
  <si>
    <t>3005-ACT1-4297</t>
  </si>
  <si>
    <t>ACT1</t>
  </si>
  <si>
    <t>4001-310.001-3064</t>
  </si>
  <si>
    <t xml:space="preserve"> Building Sanitary</t>
  </si>
  <si>
    <t>310.001</t>
  </si>
  <si>
    <t>1025-SE BUSBAR DEFECT-3681</t>
  </si>
  <si>
    <t>Schneider Busbar Defect</t>
  </si>
  <si>
    <t>SE BUSBAR DEFECT</t>
  </si>
  <si>
    <t>3021-21.002-4029</t>
  </si>
  <si>
    <t>Oil separator(Intercepter trap with shut off valve including sand separator and sampling well as per Finnish standards.) Bark oy</t>
  </si>
  <si>
    <t>1036-353.048 -4023</t>
  </si>
  <si>
    <t>VO 078 - Flexiable hoses Carter</t>
  </si>
  <si>
    <t xml:space="preserve">353.048 </t>
  </si>
  <si>
    <t>1036-729.001-1675</t>
  </si>
  <si>
    <t>Concrete RC slabs; to PODS and Generators; 350mm thick</t>
  </si>
  <si>
    <t>1025-232.011/ES-472</t>
  </si>
  <si>
    <t xml:space="preserve">Ring wall; incl insulation externally; </t>
  </si>
  <si>
    <t>232.011/ES</t>
  </si>
  <si>
    <t>3004-431.003/1/gf-1704</t>
  </si>
  <si>
    <t>Busbar 2500 Amp - complet delevering + Mounting - IP55</t>
  </si>
  <si>
    <t>431.003/1/gf</t>
  </si>
  <si>
    <t>7003-A.1-4176</t>
  </si>
  <si>
    <t>Groundworks</t>
  </si>
  <si>
    <t>A.1</t>
  </si>
  <si>
    <t>1036-1.4.2-2986</t>
  </si>
  <si>
    <t>Welfare Barracks workers</t>
  </si>
  <si>
    <t>1.4.2</t>
  </si>
  <si>
    <t>1036-730.003-1645</t>
  </si>
  <si>
    <t>730.003</t>
  </si>
  <si>
    <t>1036-365.003-1691</t>
  </si>
  <si>
    <t>Supply and Installation Air Handling Unit + Air Duct Network and accessories</t>
  </si>
  <si>
    <t>365.003</t>
  </si>
  <si>
    <t>4001-2442.002-3630</t>
  </si>
  <si>
    <t>Internal doors; double leaf</t>
  </si>
  <si>
    <t>2442.002</t>
  </si>
  <si>
    <t>1036-431.006-3840</t>
  </si>
  <si>
    <t xml:space="preserve">Tapoff on 2500A busbar (630A): </t>
  </si>
  <si>
    <t>431.006</t>
  </si>
  <si>
    <t>4001-365.009-1844</t>
  </si>
  <si>
    <t xml:space="preserve"> Fan Walls 120KW</t>
  </si>
  <si>
    <t>4001-763.001-4156</t>
  </si>
  <si>
    <t>Signs and Signage</t>
  </si>
  <si>
    <t>763.001</t>
  </si>
  <si>
    <t>1036-212.001-3284</t>
  </si>
  <si>
    <t>3004-335.002-3228</t>
  </si>
  <si>
    <t xml:space="preserve"> Air Relief Pressure Damper</t>
  </si>
  <si>
    <t>335.002</t>
  </si>
  <si>
    <t>3004-332.002-631</t>
  </si>
  <si>
    <t>332.002</t>
  </si>
  <si>
    <t>1050-431.002-3983</t>
  </si>
  <si>
    <t>PROCUREMENT GS Busbars</t>
  </si>
  <si>
    <t>3004-238.001-584</t>
  </si>
  <si>
    <t>Other equipment and requirements</t>
  </si>
  <si>
    <t>238.001</t>
  </si>
  <si>
    <t>1036-543.004-1858</t>
  </si>
  <si>
    <t>Procurement, installation Card readers</t>
  </si>
  <si>
    <t>543.004</t>
  </si>
  <si>
    <t>3021-562.003-3996</t>
  </si>
  <si>
    <t>562.003</t>
  </si>
  <si>
    <t>3005-ACT7-3388</t>
  </si>
  <si>
    <t>AIS</t>
  </si>
  <si>
    <t>ACT7</t>
  </si>
  <si>
    <t>2007-353.054-3045</t>
  </si>
  <si>
    <t>CRAHS</t>
  </si>
  <si>
    <t>353.054</t>
  </si>
  <si>
    <t>3021-731.002-4039</t>
  </si>
  <si>
    <t>Stairs external  straight</t>
  </si>
  <si>
    <t>731.002</t>
  </si>
  <si>
    <t>3004-VO-17-2903</t>
  </si>
  <si>
    <t>VO-17</t>
  </si>
  <si>
    <t>3004-1.3.1-561</t>
  </si>
  <si>
    <t>1.3.1</t>
  </si>
  <si>
    <t>4001-242.011-3237</t>
  </si>
  <si>
    <t>1050-431.003-4253</t>
  </si>
  <si>
    <t>INSTALLATION GS BUSBARS</t>
  </si>
  <si>
    <t>1036-255.011-2874</t>
  </si>
  <si>
    <t>Epoxy floor finish</t>
  </si>
  <si>
    <t>255.011</t>
  </si>
  <si>
    <t>1036-356.001-3861</t>
  </si>
  <si>
    <t>Prepayment White Space</t>
  </si>
  <si>
    <t>356.001</t>
  </si>
  <si>
    <t>1025-243.001-1750</t>
  </si>
  <si>
    <t>Cage Walls incl. doors</t>
  </si>
  <si>
    <t>243.001</t>
  </si>
  <si>
    <t>3021-829.03-4054</t>
  </si>
  <si>
    <t>829.03</t>
  </si>
  <si>
    <t>1050-553.002-4119</t>
  </si>
  <si>
    <t>CCTV / camera equipment, procurement+installation, indoor</t>
  </si>
  <si>
    <t>553.002</t>
  </si>
  <si>
    <t>4001-1.4.14-1840</t>
  </si>
  <si>
    <t>Site Water connections</t>
  </si>
  <si>
    <t>1.4.14</t>
  </si>
  <si>
    <t>3021-431.002-4098</t>
  </si>
  <si>
    <t>1036-431.004-2937</t>
  </si>
  <si>
    <t xml:space="preserve">Busbars in WS (630A) </t>
  </si>
  <si>
    <t>431.004</t>
  </si>
  <si>
    <t>3021-216.001-3997</t>
  </si>
  <si>
    <t>3005-60.001/1-3501</t>
  </si>
  <si>
    <t>60.001/1</t>
  </si>
  <si>
    <t>4001-1.1.10-3145</t>
  </si>
  <si>
    <t>Commissioning Manager</t>
  </si>
  <si>
    <t>1.1.10</t>
  </si>
  <si>
    <t>3004-60.102-3271</t>
  </si>
  <si>
    <t>60.102</t>
  </si>
  <si>
    <t>3005-ACT11-3875</t>
  </si>
  <si>
    <t>ACT11</t>
  </si>
  <si>
    <t>1025-422.001-599</t>
  </si>
  <si>
    <t>Transformers</t>
  </si>
  <si>
    <t>422.001</t>
  </si>
  <si>
    <t>4001-422.001/1/gf-2905</t>
  </si>
  <si>
    <t>Breakers in the MV switchboard room  for phase 1 - 3</t>
  </si>
  <si>
    <t>422.001/1/gf</t>
  </si>
  <si>
    <t>1025-257.002-606</t>
  </si>
  <si>
    <t>257.002</t>
  </si>
  <si>
    <t>1050-1.4.19-4220</t>
  </si>
  <si>
    <t>Baracks and food for workers in baracks - 88 beds</t>
  </si>
  <si>
    <t>1.4.19</t>
  </si>
  <si>
    <t>Food products nec</t>
  </si>
  <si>
    <t>1036-60.102-2901</t>
  </si>
  <si>
    <t>Commissioning - Mechanical and Electrical Services 15MW</t>
  </si>
  <si>
    <t>4001-422.003/1/gf-3296</t>
  </si>
  <si>
    <t>Controls for MV automation  for phase 1 -5</t>
  </si>
  <si>
    <t>422.003/1/gf</t>
  </si>
  <si>
    <t>4001-421.002/1/gf-3302</t>
  </si>
  <si>
    <t>Bus tie cables between MV breaker building a and B (3 x 3x 630mm2)</t>
  </si>
  <si>
    <t>421.002/1/gf</t>
  </si>
  <si>
    <t>1036-242.021-1812</t>
  </si>
  <si>
    <t>Gypsum walls; first side</t>
  </si>
  <si>
    <t>242.021</t>
  </si>
  <si>
    <t>4001-411.002/1/gf-3629</t>
  </si>
  <si>
    <t>Outdoor support system</t>
  </si>
  <si>
    <t>411.002/1/gf</t>
  </si>
  <si>
    <t>4001-7251.001-2894</t>
  </si>
  <si>
    <t>Perimeter fencing</t>
  </si>
  <si>
    <t>7251.001</t>
  </si>
  <si>
    <t>3021-261.001-4066</t>
  </si>
  <si>
    <t>261.001</t>
  </si>
  <si>
    <t>1050-365.003-3785</t>
  </si>
  <si>
    <t>Supply and Installation Air Handling Unit + Air Duct Network and accessories datahall 2</t>
  </si>
  <si>
    <t>1036-434.002-1751</t>
  </si>
  <si>
    <t>434 Mech DB - Delivering</t>
  </si>
  <si>
    <t>434.002</t>
  </si>
  <si>
    <t>4001-262.001-3202</t>
  </si>
  <si>
    <t>Roof finish;</t>
  </si>
  <si>
    <t>262.001</t>
  </si>
  <si>
    <t>1050-60.102-4008</t>
  </si>
  <si>
    <t>Commissioning - Mechanical and Electrical Services 20.8MW</t>
  </si>
  <si>
    <t>3021-543.003-4288</t>
  </si>
  <si>
    <t>Door control</t>
  </si>
  <si>
    <t>543.003</t>
  </si>
  <si>
    <t>3021-1.2.1-4282</t>
  </si>
  <si>
    <t>1.2.1</t>
  </si>
  <si>
    <t>1025-225.001/1-1757</t>
  </si>
  <si>
    <t>Fire Protection to Load Bearing Structures</t>
  </si>
  <si>
    <t>225.001/1</t>
  </si>
  <si>
    <t>3004-262.001-1782</t>
  </si>
  <si>
    <t>Roof finish; including membrane</t>
  </si>
  <si>
    <t>4001-290.002-4127</t>
  </si>
  <si>
    <t>290.002</t>
  </si>
  <si>
    <t>1050-421.999-3648</t>
  </si>
  <si>
    <t>Testing and commissioning (incl breaker)</t>
  </si>
  <si>
    <t>421.999</t>
  </si>
  <si>
    <t>1036-246.002-1837</t>
  </si>
  <si>
    <t>Plastering and Painting</t>
  </si>
  <si>
    <t>246.002</t>
  </si>
  <si>
    <t>1036-421.001-1685</t>
  </si>
  <si>
    <t>Cabeling, 22kV rings from HV rooms to pods.</t>
  </si>
  <si>
    <t>421.001</t>
  </si>
  <si>
    <t>1025-LDC 11.3-3675</t>
  </si>
  <si>
    <t>Tapoffs in WS, 1st floor - Hardware</t>
  </si>
  <si>
    <t>LDC 11.3</t>
  </si>
  <si>
    <t>1025-431.015-1789</t>
  </si>
  <si>
    <t>Power cables to Chillers from Main DB, duel feed, SB</t>
  </si>
  <si>
    <t>431.015</t>
  </si>
  <si>
    <t>3021-60.102-4219</t>
  </si>
  <si>
    <t>1036-660.001-3806</t>
  </si>
  <si>
    <t>HACs- Hot Aisle Containment</t>
  </si>
  <si>
    <t>660.001</t>
  </si>
  <si>
    <t>1025-217.001-1638</t>
  </si>
  <si>
    <t>Drainage - (Including delayed chambers)</t>
  </si>
  <si>
    <t>217.001</t>
  </si>
  <si>
    <t>3004-70.003-586</t>
  </si>
  <si>
    <t xml:space="preserve">MV Switchrooms - 20kV switchgear </t>
  </si>
  <si>
    <t>4001-1.1.16-1842</t>
  </si>
  <si>
    <t>Logistics Manager</t>
  </si>
  <si>
    <t>1.1.16</t>
  </si>
  <si>
    <t>1025-2442.001/0-615</t>
  </si>
  <si>
    <t>Internal doors; single leaf</t>
  </si>
  <si>
    <t>2442.001/0</t>
  </si>
  <si>
    <t>1050-1.7.1-3895</t>
  </si>
  <si>
    <t>All Access Equipment, lift, forks etc</t>
  </si>
  <si>
    <t>1.7.1</t>
  </si>
  <si>
    <t>4001-255.001-3219</t>
  </si>
  <si>
    <t>Dust binding paint; to floor slab</t>
  </si>
  <si>
    <t>255.001</t>
  </si>
  <si>
    <t>3004-222.003-1829</t>
  </si>
  <si>
    <t xml:space="preserve">Additional allowance of 20% for secondary support steel </t>
  </si>
  <si>
    <t>222.003</t>
  </si>
  <si>
    <t>3004-431.012/1/gf-1857</t>
  </si>
  <si>
    <t xml:space="preserve">Cables, Risers, from Main dist boards. </t>
  </si>
  <si>
    <t>431.012/1/gf</t>
  </si>
  <si>
    <t>4001-1.4.1-4216</t>
  </si>
  <si>
    <t>Barracks CTS Management and Subcontractors + infra</t>
  </si>
  <si>
    <t>1.4.1</t>
  </si>
  <si>
    <t>1025-224.002/2-3052</t>
  </si>
  <si>
    <t>Secondary support steel/goalpost arrangement for doors</t>
  </si>
  <si>
    <t>224.002/2</t>
  </si>
  <si>
    <t>1050-411.005-4190</t>
  </si>
  <si>
    <t>Inside containment Incl WS</t>
  </si>
  <si>
    <t>411.005</t>
  </si>
  <si>
    <t>1025-1025VO-17-3676</t>
  </si>
  <si>
    <t>MV kiosk 2 #no. on Oyster plot, interfering with underground services and generator install &amp; landscaping, issued concept design proposal by GM</t>
  </si>
  <si>
    <t>1025VO-17</t>
  </si>
  <si>
    <t>3005-1.1.1-3511</t>
  </si>
  <si>
    <t>4001-353.029-3980</t>
  </si>
  <si>
    <t xml:space="preserve"> Victaulic Black Steel Pipe and all accessories, including Coupling, Flanges, Bellows, Thermometer, manometer, test point, strainer, Check Valve, Air Vent, …..</t>
  </si>
  <si>
    <t>1025-1025-VO-18-3733</t>
  </si>
  <si>
    <t xml:space="preserve">Extend Cx team GCE CTS on site. Cost related to shift completing commissioning L3 when GM MV permanent power on site operational. Start completion assumed range week 38 to 40 </t>
  </si>
  <si>
    <t>1025-VO-18</t>
  </si>
  <si>
    <t>1025-422.001-1760</t>
  </si>
  <si>
    <t>Breakers in the MV switchboard room, for phase 1A, 1B  and 1C (no spare for Phase 2 and 3)</t>
  </si>
  <si>
    <t>1036-333.001-3787</t>
  </si>
  <si>
    <t>Water Mist Installation; to common areas incl mechanical Rooms</t>
  </si>
  <si>
    <t>333.001</t>
  </si>
  <si>
    <t>1025-761.001-3653</t>
  </si>
  <si>
    <t>Vehicle roads and Parking (Provisional)</t>
  </si>
  <si>
    <t>761.001</t>
  </si>
  <si>
    <t>4001-562.001/1/gf-3688</t>
  </si>
  <si>
    <t>BMS(/PMS) system  eqiupment  boards</t>
  </si>
  <si>
    <t>562.001/1/gf</t>
  </si>
  <si>
    <t>1050-1.8.1-3846</t>
  </si>
  <si>
    <t>Telescopic cranes during construction</t>
  </si>
  <si>
    <t>1.8.1</t>
  </si>
  <si>
    <t>1036-244.999-2893</t>
  </si>
  <si>
    <t>Allowance for additional internal door costs incl ironmongery</t>
  </si>
  <si>
    <t>244.999</t>
  </si>
  <si>
    <t>3021-310.001-4204</t>
  </si>
  <si>
    <t>4001-365-3654</t>
  </si>
  <si>
    <t xml:space="preserve">1 AHU for Technical Rooms &amp; 1 AHU for Storages </t>
  </si>
  <si>
    <t>365</t>
  </si>
  <si>
    <t>4001-211.001-1834</t>
  </si>
  <si>
    <t xml:space="preserve">Demolitions </t>
  </si>
  <si>
    <t>211.001</t>
  </si>
  <si>
    <t>3021-829.009-4151</t>
  </si>
  <si>
    <t>829.009</t>
  </si>
  <si>
    <t>4001-1.7.1-4205</t>
  </si>
  <si>
    <t xml:space="preserve">Scaffolds </t>
  </si>
  <si>
    <t>7003-A.7-4321</t>
  </si>
  <si>
    <t>Site Infrastructure</t>
  </si>
  <si>
    <t>A.7</t>
  </si>
  <si>
    <t>3004-1.3.3-588</t>
  </si>
  <si>
    <t>1.3.3</t>
  </si>
  <si>
    <t>3004-621.001-585</t>
  </si>
  <si>
    <t>Service Lift</t>
  </si>
  <si>
    <t>621.001</t>
  </si>
  <si>
    <t>1025-1.4.13-1775</t>
  </si>
  <si>
    <t>Site electricity distribution</t>
  </si>
  <si>
    <t>1.4.13</t>
  </si>
  <si>
    <t>1025-621.001-481</t>
  </si>
  <si>
    <t>Passenger / Service Lift</t>
  </si>
  <si>
    <t>3021-241.002-4338</t>
  </si>
  <si>
    <t>PC Concrete  columns</t>
  </si>
  <si>
    <t>241.002</t>
  </si>
  <si>
    <t>1036-2342.002-1811</t>
  </si>
  <si>
    <t>Doors to fire escapes</t>
  </si>
  <si>
    <t>2342.002</t>
  </si>
  <si>
    <t>1025-1.3.2-1664</t>
  </si>
  <si>
    <t>In-depth cleaning of datahalls</t>
  </si>
  <si>
    <t>1.3.2</t>
  </si>
  <si>
    <t>In-depth cleaning of the WS by RFS</t>
  </si>
  <si>
    <t>3004-521.001/1/0-3369</t>
  </si>
  <si>
    <t>BMS topology cabling</t>
  </si>
  <si>
    <t>521.001/1/0</t>
  </si>
  <si>
    <t>1036-353.029-3297</t>
  </si>
  <si>
    <t>Cooling through pipes in Grey Space</t>
  </si>
  <si>
    <t>3004-257.001-3160</t>
  </si>
  <si>
    <t>False ceiling; to WCs, office / corridor spaces</t>
  </si>
  <si>
    <t>257.001</t>
  </si>
  <si>
    <t>1025-LDC 6.1-3124</t>
  </si>
  <si>
    <t>Structured Fiber - Hardware</t>
  </si>
  <si>
    <t>LDC 6.1</t>
  </si>
  <si>
    <t>4001-364.005-3267</t>
  </si>
  <si>
    <t xml:space="preserve"> Supply and Installation Ducting Network</t>
  </si>
  <si>
    <t>364.005</t>
  </si>
  <si>
    <t>1036-224.002/0-3134</t>
  </si>
  <si>
    <t>Secondary support steel/goalpost arrangement for double leaf doors</t>
  </si>
  <si>
    <t>224.002/0</t>
  </si>
  <si>
    <t>1025-1025VO-12A-3430</t>
  </si>
  <si>
    <t>Office Fit Out according to SOW 23 March 24</t>
  </si>
  <si>
    <t>1025VO-12A</t>
  </si>
  <si>
    <t>3021-261.012-4245</t>
  </si>
  <si>
    <t>Screed to Roof</t>
  </si>
  <si>
    <t>261.012</t>
  </si>
  <si>
    <t>3021-232.015-4170</t>
  </si>
  <si>
    <t>232.015</t>
  </si>
  <si>
    <t>3021-431.013-4076</t>
  </si>
  <si>
    <t>431.013</t>
  </si>
  <si>
    <t>3021-216.014-4274</t>
  </si>
  <si>
    <t>Allowance for cutting into existing concrete floors/  dispose waste.</t>
  </si>
  <si>
    <t>216.014</t>
  </si>
  <si>
    <t>1050-1.1.13-3952</t>
  </si>
  <si>
    <t>Electrical Project Manager</t>
  </si>
  <si>
    <t>1.1.13</t>
  </si>
  <si>
    <t>3021-60.001-4184</t>
  </si>
  <si>
    <t>1036-431.003-3131</t>
  </si>
  <si>
    <t>Busbar 2500A WS . IP55</t>
  </si>
  <si>
    <t>4001-282.001-3636</t>
  </si>
  <si>
    <t>External staircases</t>
  </si>
  <si>
    <t>282.001</t>
  </si>
  <si>
    <t>3005-ACT16-4247</t>
  </si>
  <si>
    <t>ACT16</t>
  </si>
  <si>
    <t>1050-433.002-4181</t>
  </si>
  <si>
    <t>Delivery LV panels</t>
  </si>
  <si>
    <t>433.002</t>
  </si>
  <si>
    <t>3004-562.001/1/1-559</t>
  </si>
  <si>
    <t>BMS(/PMS) system, eqiupment, boards</t>
  </si>
  <si>
    <t>562.001/1/1</t>
  </si>
  <si>
    <t>1025-1025-VO-31-3091</t>
  </si>
  <si>
    <t>Snow Melting as Teknaconsult Design</t>
  </si>
  <si>
    <t>1025-VO-31</t>
  </si>
  <si>
    <t>4001-VO-DEN072-3666</t>
  </si>
  <si>
    <t>Tate Ceiling to DH1A</t>
  </si>
  <si>
    <t>VO-DEN072</t>
  </si>
  <si>
    <t>3021-232.001-4141</t>
  </si>
  <si>
    <t>3004-2442.002-3068</t>
  </si>
  <si>
    <t>Internal doors; single leaf; type 2; 1.3m wide</t>
  </si>
  <si>
    <t>1025-216.013-491</t>
  </si>
  <si>
    <t>Compaction test RS</t>
  </si>
  <si>
    <t>216.013</t>
  </si>
  <si>
    <t>3004-543.003/1/0-3069</t>
  </si>
  <si>
    <t>Door controll</t>
  </si>
  <si>
    <t>543.003/1/0</t>
  </si>
  <si>
    <t>1025-LDC 12.3-3677</t>
  </si>
  <si>
    <t>2nd Floor</t>
  </si>
  <si>
    <t>LDC 12.3</t>
  </si>
  <si>
    <t>3021-1.4.16-3704</t>
  </si>
  <si>
    <t>1.4.16</t>
  </si>
  <si>
    <t>1036-562.011-3537</t>
  </si>
  <si>
    <t>Mechanical BMS</t>
  </si>
  <si>
    <t>562.011</t>
  </si>
  <si>
    <t>1025-225.001/0-489</t>
  </si>
  <si>
    <t>Fire Protection to Structural Steel</t>
  </si>
  <si>
    <t>225.001/0</t>
  </si>
  <si>
    <t>4001-30.008-4081</t>
  </si>
  <si>
    <t xml:space="preserve"> Load Bank 4 MW - 3 weeks (To simulate IT servers in the White Space) - Temporary hot Aisle not Included</t>
  </si>
  <si>
    <t>30.008</t>
  </si>
  <si>
    <t>3004-221.001-3245</t>
  </si>
  <si>
    <t>Structural Steel; Second to Roof (including Roof beams)</t>
  </si>
  <si>
    <t>3004-VO-7-579</t>
  </si>
  <si>
    <t>Demolition of the old warehouse</t>
  </si>
  <si>
    <t>VO-7</t>
  </si>
  <si>
    <t>1036-435.001-3182</t>
  </si>
  <si>
    <t>Control Cables to Generator</t>
  </si>
  <si>
    <t>435.001</t>
  </si>
  <si>
    <t>1050-353.992-4290</t>
  </si>
  <si>
    <t>HACs</t>
  </si>
  <si>
    <t>353.992</t>
  </si>
  <si>
    <t>3021-216.002-3794</t>
  </si>
  <si>
    <t>Foundations,; incl concrete and reinforcement - (Existing Hall)</t>
  </si>
  <si>
    <t>216.002</t>
  </si>
  <si>
    <t>1025-262.001/ES-487</t>
  </si>
  <si>
    <t>Roof finish; spec TBC</t>
  </si>
  <si>
    <t>262.001/ES</t>
  </si>
  <si>
    <t>3021-VO-19A-4384</t>
  </si>
  <si>
    <t xml:space="preserve">Leak detection Services </t>
  </si>
  <si>
    <t>VO-19A</t>
  </si>
  <si>
    <t>1036-30.014-4251</t>
  </si>
  <si>
    <t xml:space="preserve"> VO - 083 RDC Installation &amp; Test </t>
  </si>
  <si>
    <t>30.014</t>
  </si>
  <si>
    <t>3004-761.011-2935</t>
  </si>
  <si>
    <t>Kerbs (Provisional)</t>
  </si>
  <si>
    <t>761.011</t>
  </si>
  <si>
    <t>3021-Item-03-3724</t>
  </si>
  <si>
    <t>1.4.11</t>
  </si>
  <si>
    <t>1025-255.011/0-620</t>
  </si>
  <si>
    <t>Epoxy floors; including WS areas</t>
  </si>
  <si>
    <t>255.011/0</t>
  </si>
  <si>
    <t>3004-252.001-3240</t>
  </si>
  <si>
    <t>RC floor slab; including concrete, formwork, reinforcement and exterior insulation; 300mm thick (Included for under Substructure/Foundations)</t>
  </si>
  <si>
    <t>252.001</t>
  </si>
  <si>
    <t>4001-40.001/1/0-4045</t>
  </si>
  <si>
    <t>Sub-Contractors Prelims</t>
  </si>
  <si>
    <t>40.001/1/0</t>
  </si>
  <si>
    <t>1036-254.003-1644</t>
  </si>
  <si>
    <t>Self-levelling screed; to first floor Slabs; 30mm thick</t>
  </si>
  <si>
    <t>254.003</t>
  </si>
  <si>
    <t>1036-332.002-2890</t>
  </si>
  <si>
    <t>Sprinkler loading bay</t>
  </si>
  <si>
    <t>1025-1025VO-09-3085</t>
  </si>
  <si>
    <t>Storm water pipe upgrading to requirements cost impact on site management/impact on schedule according GM-TEKNA consult</t>
  </si>
  <si>
    <t>1025VO-09</t>
  </si>
  <si>
    <t>3004-246.001-1862</t>
  </si>
  <si>
    <t>Plastering and Painting; to lift shaft and staircore walls</t>
  </si>
  <si>
    <t>246.001</t>
  </si>
  <si>
    <t>1025-562.002-513</t>
  </si>
  <si>
    <t>BMS/PMS cabeling</t>
  </si>
  <si>
    <t>562.002</t>
  </si>
  <si>
    <t>3004-257.002-3006</t>
  </si>
  <si>
    <t>3004-246.011-3063</t>
  </si>
  <si>
    <t>Ceramic tiling; to wet areas</t>
  </si>
  <si>
    <t>246.011</t>
  </si>
  <si>
    <t>1025-254.004/1-1786</t>
  </si>
  <si>
    <t>Membrane</t>
  </si>
  <si>
    <t>254.004/1</t>
  </si>
  <si>
    <t>1050-1.2.1-3815</t>
  </si>
  <si>
    <t>Security Staff; 1 Person</t>
  </si>
  <si>
    <t>4001-353.021-3976</t>
  </si>
  <si>
    <t xml:space="preserve"> Supply and Installation Victaulic Butterfly Valve</t>
  </si>
  <si>
    <t>1025-40.04-1658</t>
  </si>
  <si>
    <t xml:space="preserve">Testing and commissioning </t>
  </si>
  <si>
    <t>40.04</t>
  </si>
  <si>
    <t>1036-310.002-2916</t>
  </si>
  <si>
    <t xml:space="preserve"> Sanitary Underground Pipes</t>
  </si>
  <si>
    <t>310.002</t>
  </si>
  <si>
    <t>1036-1.1.6-3873</t>
  </si>
  <si>
    <t>Mechanical Engineer</t>
  </si>
  <si>
    <t>1.1.6</t>
  </si>
  <si>
    <t>1036-1.1.2-3633</t>
  </si>
  <si>
    <t>Site Manager</t>
  </si>
  <si>
    <t>1.1.2</t>
  </si>
  <si>
    <t>1036-1.3.23-4056</t>
  </si>
  <si>
    <t>VO 058 Pegasus - Carter - cleaning</t>
  </si>
  <si>
    <t>1.3.23</t>
  </si>
  <si>
    <t>4001-432.001/1/gf-2912</t>
  </si>
  <si>
    <t>Main distr. Board - installation</t>
  </si>
  <si>
    <t>432.001/1/gf</t>
  </si>
  <si>
    <t>1036-1.7.1-4116</t>
  </si>
  <si>
    <t>VO 058 - Carter WS - Access equipment, lift, etc</t>
  </si>
  <si>
    <t>1025-1025VO-51A-3152</t>
  </si>
  <si>
    <t>Temporary MV ring cabling install to COLO1</t>
  </si>
  <si>
    <t>1025VO-51A</t>
  </si>
  <si>
    <t>3021-Item-01-3793</t>
  </si>
  <si>
    <t>Ring Beam to pad founds.    BB</t>
  </si>
  <si>
    <t>216.007</t>
  </si>
  <si>
    <t>3004-70.005-564</t>
  </si>
  <si>
    <t>Temprorary Installations</t>
  </si>
  <si>
    <t>70.005</t>
  </si>
  <si>
    <t>1025-1025-VO-15-3734</t>
  </si>
  <si>
    <t>Compound Extension Of Time acc to Masterplan 2nd submission 03 April 2024 and Basis of schedule 13 weeks EOT</t>
  </si>
  <si>
    <t>1025-VO-15</t>
  </si>
  <si>
    <t>1036-225.001-2882</t>
  </si>
  <si>
    <t>Fire insulation- and boards / additional fire paint; to structural steel</t>
  </si>
  <si>
    <t>225.001</t>
  </si>
  <si>
    <t>1025-325.002-2962</t>
  </si>
  <si>
    <t xml:space="preserve"> Perimetral Heating System for offices and other ancillary areas in both Floors</t>
  </si>
  <si>
    <t>325.002</t>
  </si>
  <si>
    <t>1050-730.003-4314</t>
  </si>
  <si>
    <t>VO 018 - Steel Cabinets over Gantry</t>
  </si>
  <si>
    <t>3004-VO-37-3443</t>
  </si>
  <si>
    <t>Door Delivery</t>
  </si>
  <si>
    <t>VO-37</t>
  </si>
  <si>
    <t>3004-7251.002-1854</t>
  </si>
  <si>
    <t>Genyard Fencing</t>
  </si>
  <si>
    <t>7251.002</t>
  </si>
  <si>
    <t>1025-2444.002-3111</t>
  </si>
  <si>
    <t>Door ironmongery; to double leaf doors</t>
  </si>
  <si>
    <t>2444.002</t>
  </si>
  <si>
    <t>3004-571.001-3665</t>
  </si>
  <si>
    <t xml:space="preserve"> TTK Leak Detection with Leak Localisation</t>
  </si>
  <si>
    <t>571.001</t>
  </si>
  <si>
    <t>4001-VO-DEN034-3292</t>
  </si>
  <si>
    <t>Diesel Re-fueling Station</t>
  </si>
  <si>
    <t>VO-DEN034</t>
  </si>
  <si>
    <t>4001-21.004-2999</t>
  </si>
  <si>
    <t>Attentuation Tanks (x2) - (holding) tanks 18x16,2x1,6</t>
  </si>
  <si>
    <t>21.004</t>
  </si>
  <si>
    <t>1025-571.001-1695</t>
  </si>
  <si>
    <t>Leak Detection for 3 Floors - Leak detection cable fixed on the pipes</t>
  </si>
  <si>
    <t>1036-310.001-4104</t>
  </si>
  <si>
    <t>VO 008-Outdoor taps for water phase 1</t>
  </si>
  <si>
    <t>1036-1.1.15-3082</t>
  </si>
  <si>
    <t>QA Manager</t>
  </si>
  <si>
    <t>1.1.15</t>
  </si>
  <si>
    <t>1025-1.4.20-1727</t>
  </si>
  <si>
    <t>Site Signalisation</t>
  </si>
  <si>
    <t>1.4.20</t>
  </si>
  <si>
    <t>3004-70.001-2917</t>
  </si>
  <si>
    <t>Air raid shelter</t>
  </si>
  <si>
    <t>70.001</t>
  </si>
  <si>
    <t>3021-255.021-4315</t>
  </si>
  <si>
    <t>255.021</t>
  </si>
  <si>
    <t>3021-332.004-4252</t>
  </si>
  <si>
    <t>332.004</t>
  </si>
  <si>
    <t>1025-1.6.1-630</t>
  </si>
  <si>
    <t>Site protection</t>
  </si>
  <si>
    <t>1.6.1</t>
  </si>
  <si>
    <t>1025-221.002/0-1744</t>
  </si>
  <si>
    <t>Structural Steel; elements to lift shaft; ground floor</t>
  </si>
  <si>
    <t>221.002/0</t>
  </si>
  <si>
    <t>1025-335.003-3149</t>
  </si>
  <si>
    <t xml:space="preserve"> Inergen Fire Extinguishing System</t>
  </si>
  <si>
    <t>335.003</t>
  </si>
  <si>
    <t>4001-2341.001-3645</t>
  </si>
  <si>
    <t>Windows to facades (Allowance)</t>
  </si>
  <si>
    <t>2341.001</t>
  </si>
  <si>
    <t>1025-1.6.6-604</t>
  </si>
  <si>
    <t>Heating for concrete</t>
  </si>
  <si>
    <t>1.6.6</t>
  </si>
  <si>
    <t>3004-720.004-3538</t>
  </si>
  <si>
    <t>720.004</t>
  </si>
  <si>
    <t>1025-1.7.5-1743</t>
  </si>
  <si>
    <t xml:space="preserve">Telehandler </t>
  </si>
  <si>
    <t>1.7.5</t>
  </si>
  <si>
    <t>1050-1.4.7-4212</t>
  </si>
  <si>
    <t>Site cleanup and assistanse</t>
  </si>
  <si>
    <t>1.4.7</t>
  </si>
  <si>
    <t>3021-1.1.18-3766</t>
  </si>
  <si>
    <t>1.1.18</t>
  </si>
  <si>
    <t>3004-431.005/1/gf-3000</t>
  </si>
  <si>
    <t>Busbars in WS (400A)</t>
  </si>
  <si>
    <t>431.005/1/gf</t>
  </si>
  <si>
    <t>3021-Item-01-3813</t>
  </si>
  <si>
    <t>4001-1.12-4218</t>
  </si>
  <si>
    <t>Project Insurances</t>
  </si>
  <si>
    <t>1.12</t>
  </si>
  <si>
    <t>3021-Item-01-3808</t>
  </si>
  <si>
    <t>4001-2441.001-3350</t>
  </si>
  <si>
    <t>Internal windows</t>
  </si>
  <si>
    <t>2441.001</t>
  </si>
  <si>
    <t>1036-1.1.18-3935</t>
  </si>
  <si>
    <t>VO 058 Pegasus WS - Carter HSE</t>
  </si>
  <si>
    <t>3004-216.023-560</t>
  </si>
  <si>
    <t>Steel baseplates to foundations</t>
  </si>
  <si>
    <t>216.023</t>
  </si>
  <si>
    <t>4001-60.102-4317</t>
  </si>
  <si>
    <t>Commissioning Level 1-5 - Mechanical and Electrical Services 8.0MW</t>
  </si>
  <si>
    <t>3004-60.002/3-3608</t>
  </si>
  <si>
    <t>60.002/3</t>
  </si>
  <si>
    <t>3021-232.014-4203</t>
  </si>
  <si>
    <t>Façade Support Frame to low level roof  (Provisional Allowance)</t>
  </si>
  <si>
    <t>232.014</t>
  </si>
  <si>
    <t>3021-1.1.13-4032</t>
  </si>
  <si>
    <t>1025-1.1.18-3558</t>
  </si>
  <si>
    <t xml:space="preserve">Planner </t>
  </si>
  <si>
    <t>1025-1025VO-01B-3092</t>
  </si>
  <si>
    <t>Concrete platforms Phase II, proposal CTS to add to Phase I scope</t>
  </si>
  <si>
    <t>1025VO-01B</t>
  </si>
  <si>
    <t>1050-433.001-4240</t>
  </si>
  <si>
    <t>Installation of LV Panels</t>
  </si>
  <si>
    <t>433.001</t>
  </si>
  <si>
    <t>3021-310.002-4134</t>
  </si>
  <si>
    <t>1025-1.7.6-2955</t>
  </si>
  <si>
    <t>Telehandler and forklift operator</t>
  </si>
  <si>
    <t>1.7.6</t>
  </si>
  <si>
    <t>1025-319.002-2961</t>
  </si>
  <si>
    <t>Vertical Rain Water Drainage Pipe including trace heating</t>
  </si>
  <si>
    <t>319.002</t>
  </si>
  <si>
    <t>3021-829.028-4340</t>
  </si>
  <si>
    <t>Generator Electrical (DB Board, lighting)</t>
  </si>
  <si>
    <t>829.028</t>
  </si>
  <si>
    <t>1036-443.002-3827</t>
  </si>
  <si>
    <t>Emergency lighting. Senteralised battery</t>
  </si>
  <si>
    <t>443.002</t>
  </si>
  <si>
    <t>1036-1.1.19-3915</t>
  </si>
  <si>
    <t>VO 058 Pegasus WS - Carter Elite Vask</t>
  </si>
  <si>
    <t>1.1.19</t>
  </si>
  <si>
    <t>1025-1.7.2-598</t>
  </si>
  <si>
    <t xml:space="preserve">Tower Scaffolds </t>
  </si>
  <si>
    <t>1.7.2</t>
  </si>
  <si>
    <t>Tower Scaffolds</t>
  </si>
  <si>
    <t>1025-1.7.2-529</t>
  </si>
  <si>
    <t>1.1.8</t>
  </si>
  <si>
    <t>3021-1.3.1-4027</t>
  </si>
  <si>
    <t>3004-273.001-3136</t>
  </si>
  <si>
    <t>Allowance for kitchen installation in office area including fittings and furnishings, white goods, plumbing and electrical requirements including leak detection.</t>
  </si>
  <si>
    <t>273.001</t>
  </si>
  <si>
    <t>1050-1.3.1-3867</t>
  </si>
  <si>
    <t>Workers/day - cleaning - Barracks</t>
  </si>
  <si>
    <t>3004-232.013-2911</t>
  </si>
  <si>
    <t>Exterior insulation; to Ring Wall</t>
  </si>
  <si>
    <t>232.013</t>
  </si>
  <si>
    <t>3021-621.001-4042</t>
  </si>
  <si>
    <t>Service Lift  (Kone Quote)</t>
  </si>
  <si>
    <t>1025-353.036-512</t>
  </si>
  <si>
    <t>Underground Piping Systems</t>
  </si>
  <si>
    <t>353.036</t>
  </si>
  <si>
    <t>2007-257.002-3014</t>
  </si>
  <si>
    <t xml:space="preserve">Tate structural grid support; to data hall spaces </t>
  </si>
  <si>
    <t>3004-2444.001/1-3964</t>
  </si>
  <si>
    <t>2444.001/1</t>
  </si>
  <si>
    <t>1050-511.002-4189</t>
  </si>
  <si>
    <t>Containment in WS and to IDF rooms</t>
  </si>
  <si>
    <t>511.002</t>
  </si>
  <si>
    <t>1036-290.001-2883</t>
  </si>
  <si>
    <t>BWIC - Wall and floor penetrations (Holes and Seals)</t>
  </si>
  <si>
    <t>290.001</t>
  </si>
  <si>
    <t>3021-VO-06-3847</t>
  </si>
  <si>
    <t>VO-06: Installation and supply of main distrubtion boards for  construction power.</t>
  </si>
  <si>
    <t>VO-06</t>
  </si>
  <si>
    <t>1050-353.056-4309</t>
  </si>
  <si>
    <t>1 Degaser - 2 Pressurisation Units + All accessories + Mounted on Skid</t>
  </si>
  <si>
    <t>353.056</t>
  </si>
  <si>
    <t>1025-290.001/1-1656</t>
  </si>
  <si>
    <t>BWIC - Wall penetrations</t>
  </si>
  <si>
    <t>290.001/1</t>
  </si>
  <si>
    <t>1025-621.002-637</t>
  </si>
  <si>
    <t>Lift Table</t>
  </si>
  <si>
    <t>621.002</t>
  </si>
  <si>
    <t>4001-1.3.2-4137</t>
  </si>
  <si>
    <t>1025-282.001/ES-3739</t>
  </si>
  <si>
    <t>External spiral staircase; GF to Roof level</t>
  </si>
  <si>
    <t>282.001/ES</t>
  </si>
  <si>
    <t>3004-2443.001-3230</t>
  </si>
  <si>
    <t>Turnstile/man trap</t>
  </si>
  <si>
    <t>2443.001</t>
  </si>
  <si>
    <t>4001-1.4.19-4217</t>
  </si>
  <si>
    <t>4001-1.4.26-4225</t>
  </si>
  <si>
    <t>Temprary Water Supply</t>
  </si>
  <si>
    <t>1.4.26</t>
  </si>
  <si>
    <t>4001-60.002-3917</t>
  </si>
  <si>
    <t>Generators - 2750kVA (Omitted PO Isuued Directly by AtNorth) - FEE ONLY COSTS</t>
  </si>
  <si>
    <t>4001-VO-DEN090-4198</t>
  </si>
  <si>
    <t>Additional 4x10.000L diesel for refueling</t>
  </si>
  <si>
    <t>VO-DEN090</t>
  </si>
  <si>
    <t>4001-1.1.9-3071</t>
  </si>
  <si>
    <t>Commercial Manager (Full time)</t>
  </si>
  <si>
    <t>1.1.9</t>
  </si>
  <si>
    <t>4001-1.4.25-3061</t>
  </si>
  <si>
    <t>Lodgings and Accommodation</t>
  </si>
  <si>
    <t>1.4.25</t>
  </si>
  <si>
    <t>1036-1.4.32-4140</t>
  </si>
  <si>
    <t>VO 058 - Carter WS - Accomodation and logding</t>
  </si>
  <si>
    <t>1.4.32</t>
  </si>
  <si>
    <t>1036-256.001-1684</t>
  </si>
  <si>
    <t>Ceiling Finishes &amp; Ceiling Surface Treatments</t>
  </si>
  <si>
    <t>256.001</t>
  </si>
  <si>
    <t>1025-434.001-2996</t>
  </si>
  <si>
    <t>Installation of 434 Mech. SB - Installation</t>
  </si>
  <si>
    <t>434.001</t>
  </si>
  <si>
    <t>1036-353.039-3587</t>
  </si>
  <si>
    <t>Trace Heating</t>
  </si>
  <si>
    <t>353.039</t>
  </si>
  <si>
    <t>1050-571.001-4275</t>
  </si>
  <si>
    <t>TTK Leak Detection with Leak Localisation.  Cable fixed on piping (no Drip Tray).  Main Loop in the corridor.</t>
  </si>
  <si>
    <t>1025-1025-VO-29-3866</t>
  </si>
  <si>
    <t>Site Concrete and Precast early works PO deviating from (lower) amount in contract BOQ Heidelberg</t>
  </si>
  <si>
    <t>1025-VO-29</t>
  </si>
  <si>
    <t>4001-1.4.8-4208</t>
  </si>
  <si>
    <t>Site Fencing - (Heras Fencing)</t>
  </si>
  <si>
    <t>1.4.8</t>
  </si>
  <si>
    <t>1036-216.012-4028</t>
  </si>
  <si>
    <t xml:space="preserve">Formwork to foundations </t>
  </si>
  <si>
    <t>216.012</t>
  </si>
  <si>
    <t>1025-212.005-1716</t>
  </si>
  <si>
    <t>Earth pits</t>
  </si>
  <si>
    <t>212.005</t>
  </si>
  <si>
    <t>3021-1.4.24-4009</t>
  </si>
  <si>
    <t>1.4.24</t>
  </si>
  <si>
    <t>3021-421.001-4320</t>
  </si>
  <si>
    <t>Cabeling, 20kV rings from MV rooms to TX Rooms</t>
  </si>
  <si>
    <t>1036-281.001-3066</t>
  </si>
  <si>
    <t>Internal staircase; including handrails and finishes</t>
  </si>
  <si>
    <t>281.001</t>
  </si>
  <si>
    <t>3021-422.001-4366</t>
  </si>
  <si>
    <t>Breakers in the MV switchboard room,</t>
  </si>
  <si>
    <t>2007-1.1.13-3784</t>
  </si>
  <si>
    <t xml:space="preserve">H&amp;S inspector </t>
  </si>
  <si>
    <t>1025-1025-VO-65-3457</t>
  </si>
  <si>
    <t>Lightning Protection GPS</t>
  </si>
  <si>
    <t>1025-VO-65</t>
  </si>
  <si>
    <t>1025-364.014-3079</t>
  </si>
  <si>
    <t>Fire Damper Ground Floor</t>
  </si>
  <si>
    <t>364.014</t>
  </si>
  <si>
    <t>4001-VO-DEN021-4030</t>
  </si>
  <si>
    <t>Office redesign (RFI#16)</t>
  </si>
  <si>
    <t>VO-DEN021</t>
  </si>
  <si>
    <t>1025-2341.001/ES-1640</t>
  </si>
  <si>
    <t>External Windows; to 2nd floor office area</t>
  </si>
  <si>
    <t>2341.001/ES</t>
  </si>
  <si>
    <t>1036-365.003-4080</t>
  </si>
  <si>
    <t>VO 077 - Cantine Ventilation</t>
  </si>
  <si>
    <t>3004-542.002/1/0-3336</t>
  </si>
  <si>
    <t>542.002/1/0</t>
  </si>
  <si>
    <t>1025-211.001-1729</t>
  </si>
  <si>
    <t>Demolitions</t>
  </si>
  <si>
    <t>1050-1.4.18-3763</t>
  </si>
  <si>
    <t>Site Surveying and reports</t>
  </si>
  <si>
    <t>1.4.18</t>
  </si>
  <si>
    <t>1050-1.5.1-3845</t>
  </si>
  <si>
    <t>1.5.1</t>
  </si>
  <si>
    <t>3021-262.001-4115</t>
  </si>
  <si>
    <t>3021-1.4.12-4016</t>
  </si>
  <si>
    <t>1.4.12</t>
  </si>
  <si>
    <t>3021-Item-01-3741</t>
  </si>
  <si>
    <t>228.001</t>
  </si>
  <si>
    <t>1025-434.003-1762</t>
  </si>
  <si>
    <t>434, Mech. Distr. Boards. Crah, delivering</t>
  </si>
  <si>
    <t>434.003</t>
  </si>
  <si>
    <t>1036-754.001-3765</t>
  </si>
  <si>
    <t>Outdoor CCTV, cameras</t>
  </si>
  <si>
    <t>754.001</t>
  </si>
  <si>
    <t>1050-1.1.20-3797</t>
  </si>
  <si>
    <t>HSE Officer 2</t>
  </si>
  <si>
    <t>1.1.20</t>
  </si>
  <si>
    <t>1025-LDC 9.1-3190</t>
  </si>
  <si>
    <t>Racks - Hardware (99 racks)</t>
  </si>
  <si>
    <t>LDC 9.1</t>
  </si>
  <si>
    <t>1025-2342.001/ES-1666</t>
  </si>
  <si>
    <t>External doors; single leaf</t>
  </si>
  <si>
    <t>2342.001/ES</t>
  </si>
  <si>
    <t>4001-232.015-1849</t>
  </si>
  <si>
    <t>External Concrete block infills including plaster and painting</t>
  </si>
  <si>
    <t>4001-VO-DEN042-3686</t>
  </si>
  <si>
    <t>Wall Drop - “corner foundation repairs”</t>
  </si>
  <si>
    <t>VO-DEN042</t>
  </si>
  <si>
    <t>3004-2343.001-3233</t>
  </si>
  <si>
    <t>Sectional doors; overhead roller door; to loading bay</t>
  </si>
  <si>
    <t>2343.001</t>
  </si>
  <si>
    <t>1025-1.6.3-1641</t>
  </si>
  <si>
    <t>Heating for works</t>
  </si>
  <si>
    <t>1.6.3</t>
  </si>
  <si>
    <t>1025-364.005-2957</t>
  </si>
  <si>
    <t xml:space="preserve"> Supply and Installation Ducting Network in 3 Data Halls</t>
  </si>
  <si>
    <t>4001-433.002/1/gf-3466</t>
  </si>
  <si>
    <t>433 DB Landlord  - Delivering</t>
  </si>
  <si>
    <t>433.002/1/gf</t>
  </si>
  <si>
    <t>1036-2344.001-3414</t>
  </si>
  <si>
    <t>Ironmongery to doors, to single doors</t>
  </si>
  <si>
    <t>2344.001</t>
  </si>
  <si>
    <t>3021-1.1.15-4022</t>
  </si>
  <si>
    <t>7003-D.3-4164</t>
  </si>
  <si>
    <t>Medium voltage power grid</t>
  </si>
  <si>
    <t>D.3</t>
  </si>
  <si>
    <t>3004-1.1.8-3512</t>
  </si>
  <si>
    <t>4001-VO-DEN069-3461</t>
  </si>
  <si>
    <t xml:space="preserve">Skylight Blinds </t>
  </si>
  <si>
    <t>VO-DEN069</t>
  </si>
  <si>
    <t>1025-515.001-1660</t>
  </si>
  <si>
    <t>Racks</t>
  </si>
  <si>
    <t>515.001</t>
  </si>
  <si>
    <t>4001-542.002/1/0-4279</t>
  </si>
  <si>
    <t>Procurement  installation of Fire alarm system</t>
  </si>
  <si>
    <t>2007-432.002-4117</t>
  </si>
  <si>
    <t>Main disr. Board - Delevering</t>
  </si>
  <si>
    <t>432.002</t>
  </si>
  <si>
    <t>3004-VO-43-4004</t>
  </si>
  <si>
    <t>VO-43</t>
  </si>
  <si>
    <t>3021-221.001-4330</t>
  </si>
  <si>
    <t>Structural Steel; ground to first floor</t>
  </si>
  <si>
    <t>1036-1.4.23-2987</t>
  </si>
  <si>
    <t>1.4.23</t>
  </si>
  <si>
    <t>3021-729.001-4230</t>
  </si>
  <si>
    <t>1050-353.056-4065</t>
  </si>
  <si>
    <t>VO - 005 Mechanical conceptual design option</t>
  </si>
  <si>
    <t>1036-431.005-4360</t>
  </si>
  <si>
    <t>Tapoff in WS</t>
  </si>
  <si>
    <t>431.005</t>
  </si>
  <si>
    <t>1025-1.7.3-1742</t>
  </si>
  <si>
    <t>1.7.3</t>
  </si>
  <si>
    <t>3021-1.7.1-4364</t>
  </si>
  <si>
    <t>1025-LDC 12.2-3552</t>
  </si>
  <si>
    <t>1st Floor</t>
  </si>
  <si>
    <t>LDC 12.2</t>
  </si>
  <si>
    <t>1050-365.003-4329</t>
  </si>
  <si>
    <t>VO 015 - Ventilation Active Pressure Control</t>
  </si>
  <si>
    <t>3004-274.001-3272</t>
  </si>
  <si>
    <t>WC Fittings and Furnishings</t>
  </si>
  <si>
    <t>274.001</t>
  </si>
  <si>
    <t>1025-258.001/0-3196</t>
  </si>
  <si>
    <t>Thermal insulation between hot and cold zones</t>
  </si>
  <si>
    <t>258.001/0</t>
  </si>
  <si>
    <t>1036-2342.999-3578</t>
  </si>
  <si>
    <t>External Doors double; generally</t>
  </si>
  <si>
    <t>2342.999</t>
  </si>
  <si>
    <t>4001-730.001-4394</t>
  </si>
  <si>
    <t>Gantry Steel Work</t>
  </si>
  <si>
    <t>730.001</t>
  </si>
  <si>
    <t>7003-B.7-4236</t>
  </si>
  <si>
    <t>OTHER</t>
  </si>
  <si>
    <t>E.</t>
  </si>
  <si>
    <t>1036-2442.002-4135</t>
  </si>
  <si>
    <t xml:space="preserve">Internal doors; double leaf; to WS perimeter walls </t>
  </si>
  <si>
    <t>4001-2441.001-3684</t>
  </si>
  <si>
    <t>Internal windows; to security room / entrance hall</t>
  </si>
  <si>
    <t>4001-433.002/1/1-3294</t>
  </si>
  <si>
    <t>433 DB - Delivering</t>
  </si>
  <si>
    <t>433.002/1/1</t>
  </si>
  <si>
    <t>1036-731.002-1802</t>
  </si>
  <si>
    <t>Outdoor drainage including gulleys, pipes and pits for roads and paved areas</t>
  </si>
  <si>
    <t>4001-VO-DEN024-4084</t>
  </si>
  <si>
    <t>Additional Skylights</t>
  </si>
  <si>
    <t>VO-DEN024</t>
  </si>
  <si>
    <t>4001-1.4.23-1836</t>
  </si>
  <si>
    <t>IT equipment (TV, screens computer, etc)</t>
  </si>
  <si>
    <t>1025-1025VO-13-3454</t>
  </si>
  <si>
    <t>Oil Separator as per TEKNA Consult Design</t>
  </si>
  <si>
    <t>1025VO-13</t>
  </si>
  <si>
    <t>1050-2444.001-4392</t>
  </si>
  <si>
    <t>Door ironmongery; to single leaf doors</t>
  </si>
  <si>
    <t>2444.001</t>
  </si>
  <si>
    <t>3021-253.001-4263</t>
  </si>
  <si>
    <t>253.001</t>
  </si>
  <si>
    <t>3021-1.1.2-4075</t>
  </si>
  <si>
    <t>1025-433.001-3472</t>
  </si>
  <si>
    <t>Installation of 433 SB - Installation</t>
  </si>
  <si>
    <t>1025-268.001-3456</t>
  </si>
  <si>
    <t>Fall protection</t>
  </si>
  <si>
    <t>268.001</t>
  </si>
  <si>
    <t>1036-433.002-4172</t>
  </si>
  <si>
    <t>433 DB - Delivering, Dual feed</t>
  </si>
  <si>
    <t>4001-VO-DEN013-3820</t>
  </si>
  <si>
    <t>Earthing and Lightning protection HV tx</t>
  </si>
  <si>
    <t>VO-DEN013</t>
  </si>
  <si>
    <t>3004-431.013/1/gf-3942</t>
  </si>
  <si>
    <t>431.013/1/gf</t>
  </si>
  <si>
    <t>1025-554.003-1661</t>
  </si>
  <si>
    <t>Hardware, software sentral eqiupment</t>
  </si>
  <si>
    <t>554.003</t>
  </si>
  <si>
    <t>4001-319-3824</t>
  </si>
  <si>
    <t>Other Equipment / Requirements for Sanitary Installations</t>
  </si>
  <si>
    <t>319</t>
  </si>
  <si>
    <t>1025-1025-VO-41-3395</t>
  </si>
  <si>
    <t>Fibre Ducting and Fibre Pits</t>
  </si>
  <si>
    <t>1025-VO-41</t>
  </si>
  <si>
    <t>1036-411.007-3628</t>
  </si>
  <si>
    <t>Outside containment, POD,s to chillers (16 x 160m)</t>
  </si>
  <si>
    <t>411.007</t>
  </si>
  <si>
    <t>1025-281.001/1-1673</t>
  </si>
  <si>
    <t>Internal staircase; handrails and finishes TBC</t>
  </si>
  <si>
    <t>281.001/1</t>
  </si>
  <si>
    <t>1025-281.001/0-1671</t>
  </si>
  <si>
    <t>Internal Stairs; pre-cast concrete; incl handrails and finishes</t>
  </si>
  <si>
    <t>281.001/0</t>
  </si>
  <si>
    <t>3021-1.1.20-4050</t>
  </si>
  <si>
    <t>1036-422.001-2886</t>
  </si>
  <si>
    <t>Breakers in the MV switchboard room</t>
  </si>
  <si>
    <t>1036-268.001-3462</t>
  </si>
  <si>
    <t>Fall arrest system</t>
  </si>
  <si>
    <t>4001-1.6.2-3312</t>
  </si>
  <si>
    <t>Snow clearance</t>
  </si>
  <si>
    <t>1.6.2</t>
  </si>
  <si>
    <t>1036-571.001-3194</t>
  </si>
  <si>
    <t>TTK Leak Detection with Leack Localisation.  Cable fixed on piping (no Drip Tray).  Main Loop in the corridor and Rear Door loop in the IT rooms.</t>
  </si>
  <si>
    <t>1036-434.004-4362</t>
  </si>
  <si>
    <t xml:space="preserve">Cabling from  434 Mech. SB </t>
  </si>
  <si>
    <t>434.004</t>
  </si>
  <si>
    <t>1036-562.999-3974</t>
  </si>
  <si>
    <t>Testing and commissioning</t>
  </si>
  <si>
    <t>562.999</t>
  </si>
  <si>
    <t>4001-245.001-3352</t>
  </si>
  <si>
    <t>Skirtings</t>
  </si>
  <si>
    <t>245.001</t>
  </si>
  <si>
    <t>1036-212.001-4327</t>
  </si>
  <si>
    <t>VO 073 - Landscaping south side</t>
  </si>
  <si>
    <t>1036-431.004-4354</t>
  </si>
  <si>
    <t>VO 092 - Changing 5 lines of 250A busbars in WS</t>
  </si>
  <si>
    <t>1025-242.022/2-3347</t>
  </si>
  <si>
    <t>Gypsum walls; side two</t>
  </si>
  <si>
    <t>242.022/2</t>
  </si>
  <si>
    <t>3004-1.4.6-578</t>
  </si>
  <si>
    <t>1.4.6</t>
  </si>
  <si>
    <t>1025-365.003-1772</t>
  </si>
  <si>
    <t>Air Handling Units, panel, controls Offices</t>
  </si>
  <si>
    <t>1050-1.4.4-3803</t>
  </si>
  <si>
    <t>Office supplies, toilet paper, soap, anti-bac, coffee, tea &amp; biscuits. Including Wifi and Printer</t>
  </si>
  <si>
    <t>1.4.4</t>
  </si>
  <si>
    <t>3004-1.4.4-3221</t>
  </si>
  <si>
    <t>Wifi network barracks</t>
  </si>
  <si>
    <t>3021-Item-03-3843</t>
  </si>
  <si>
    <t>4001-421.003/1/gf-4079</t>
  </si>
  <si>
    <t>Cabling 20kV from 50Kv Transformer to MV breaker building a and B</t>
  </si>
  <si>
    <t>421.003/1/gf</t>
  </si>
  <si>
    <t>1025-1025VO-01A-3100</t>
  </si>
  <si>
    <t>Diesel generator sets loadbanking</t>
  </si>
  <si>
    <t>1025VO-01A</t>
  </si>
  <si>
    <t>3004-1.11.1-3239</t>
  </si>
  <si>
    <t xml:space="preserve">Consumption charges Electricity </t>
  </si>
  <si>
    <t>1.11.1</t>
  </si>
  <si>
    <t>1025-242.011-3547</t>
  </si>
  <si>
    <t>Internal sandwich elements; to WS perimeter walls</t>
  </si>
  <si>
    <t>1025-242.021/0-3291</t>
  </si>
  <si>
    <t>Gypsum walls; side one</t>
  </si>
  <si>
    <t>242.021/0</t>
  </si>
  <si>
    <t>1036-431.002-1723</t>
  </si>
  <si>
    <t>Busbar 2500 Amp - From POD, IP68</t>
  </si>
  <si>
    <t>3004-1.4.18-567</t>
  </si>
  <si>
    <t>Site signage</t>
  </si>
  <si>
    <t>1025-286.001/ES-3755</t>
  </si>
  <si>
    <t>Weather cover by emergency exits</t>
  </si>
  <si>
    <t>286.001/ES</t>
  </si>
  <si>
    <t>1025-365.006-3150</t>
  </si>
  <si>
    <t>CRAH IT Room 56kW - Ground Floor</t>
  </si>
  <si>
    <t>4001-228.001-3981</t>
  </si>
  <si>
    <t>Secondary steel; to sectional doors</t>
  </si>
  <si>
    <t>3004-281.001-2938</t>
  </si>
  <si>
    <t>Internal Stairs; pre-cast</t>
  </si>
  <si>
    <t>3021-221.004-4319</t>
  </si>
  <si>
    <t>221.004</t>
  </si>
  <si>
    <t>1025-1.1.6-1717</t>
  </si>
  <si>
    <t>Building Engineer 1</t>
  </si>
  <si>
    <t>4001-1.4.6-4207</t>
  </si>
  <si>
    <t>Office, supplies, toilet, paper, soap, anti-bac, coffee, tea &amp; biscuits</t>
  </si>
  <si>
    <t>1036-442.001-4361</t>
  </si>
  <si>
    <t>Lighting inside</t>
  </si>
  <si>
    <t>442.001</t>
  </si>
  <si>
    <t>2007-461.102-3029</t>
  </si>
  <si>
    <t>Installation of UPS and batteries</t>
  </si>
  <si>
    <t>461.102</t>
  </si>
  <si>
    <t>4001-514.001/1/1-4293</t>
  </si>
  <si>
    <t>Fiber between Racks. 24 fiber (12 pair) SM</t>
  </si>
  <si>
    <t>514.001/1/1</t>
  </si>
  <si>
    <t>2007-542.002-3707</t>
  </si>
  <si>
    <t>Supply and Installation of Fire alarm system</t>
  </si>
  <si>
    <t>542.002</t>
  </si>
  <si>
    <t>3004-722.001-3465</t>
  </si>
  <si>
    <t>Ramps (Provisional Allowance)</t>
  </si>
  <si>
    <t>722.001</t>
  </si>
  <si>
    <t>4001-431.013/1/gf-4234</t>
  </si>
  <si>
    <t>Cables from landlord TX to Landlord main distribution board (500kVA - 4x125m)</t>
  </si>
  <si>
    <t>1025-2344.001/ES-1649</t>
  </si>
  <si>
    <t>Ironmongery to external doors; single leaf</t>
  </si>
  <si>
    <t>2344.001/ES</t>
  </si>
  <si>
    <t>1050-1.2.2-4162</t>
  </si>
  <si>
    <t>Other security</t>
  </si>
  <si>
    <t>1.2.2</t>
  </si>
  <si>
    <t>1025-431.012-1771</t>
  </si>
  <si>
    <t>Tapoff on 2500A busbar (630A): 24 WS + 3x 433 and 4x Mech 434 boards</t>
  </si>
  <si>
    <t>431.012</t>
  </si>
  <si>
    <t>1050-365.003-4112</t>
  </si>
  <si>
    <t>Supply and Installation Air Handling Unit + Air Duct Network and accessories Datahall 1</t>
  </si>
  <si>
    <t>3004-274.001-3642</t>
  </si>
  <si>
    <t>1025-221.001/2-520</t>
  </si>
  <si>
    <t>Steel frame</t>
  </si>
  <si>
    <t>221.001/2</t>
  </si>
  <si>
    <t>2007-290.001-3034</t>
  </si>
  <si>
    <t>BWIC - Floor/Wall penetrations</t>
  </si>
  <si>
    <t>1036-1.9.3-3403</t>
  </si>
  <si>
    <t>Fire Extinguishers</t>
  </si>
  <si>
    <t>1.9.3</t>
  </si>
  <si>
    <t>1036-41-3767</t>
  </si>
  <si>
    <t>ELECTRIC BASIC INSTALLATIONS</t>
  </si>
  <si>
    <t>41</t>
  </si>
  <si>
    <t>1036-421.003-3749</t>
  </si>
  <si>
    <t>Cable termination</t>
  </si>
  <si>
    <t>421.003</t>
  </si>
  <si>
    <t>1025-543.001-3168</t>
  </si>
  <si>
    <t>Cabling of Access controll, (Door invironment)</t>
  </si>
  <si>
    <t>543.001</t>
  </si>
  <si>
    <t>4001-421.001/1/gf-4397</t>
  </si>
  <si>
    <t>Cabeling  20kV rings from MV Building / rooms to pods.</t>
  </si>
  <si>
    <t>421.001/1/gf</t>
  </si>
  <si>
    <t>3021-422.005-4110</t>
  </si>
  <si>
    <t>422.005</t>
  </si>
  <si>
    <t>1036-248.999-3351</t>
  </si>
  <si>
    <t>Admin building 1st floor</t>
  </si>
  <si>
    <t>248.999</t>
  </si>
  <si>
    <t>3004-731.001-3602</t>
  </si>
  <si>
    <t>731.001</t>
  </si>
  <si>
    <t>1025-290.004/0-2965</t>
  </si>
  <si>
    <t>Protection of doors and frames</t>
  </si>
  <si>
    <t>290.004/0</t>
  </si>
  <si>
    <t>4001-1.4.22-2876</t>
  </si>
  <si>
    <t>1.4.22</t>
  </si>
  <si>
    <t>1025-422.003-3655</t>
  </si>
  <si>
    <t>Control for MV automation</t>
  </si>
  <si>
    <t>422.003</t>
  </si>
  <si>
    <t>1025-1025VO-01C-3742</t>
  </si>
  <si>
    <t>Associated Earthworks with Phase II Chiller and Generators</t>
  </si>
  <si>
    <t>1025VO-01C</t>
  </si>
  <si>
    <t>1036-1.1.7-1696</t>
  </si>
  <si>
    <t>Special Packages Engineer</t>
  </si>
  <si>
    <t>1.1.7</t>
  </si>
  <si>
    <t>1025-365.006-3420</t>
  </si>
  <si>
    <t>CRAH IT Room 160kW - Second Floor</t>
  </si>
  <si>
    <t>1050-4BW-4356</t>
  </si>
  <si>
    <t>WHITE SPACE</t>
  </si>
  <si>
    <t>4BW</t>
  </si>
  <si>
    <t>1050-1.4.6-3817</t>
  </si>
  <si>
    <t>Site Fencing (Including Pedestrian fencing and Sand)</t>
  </si>
  <si>
    <t>1025-1.4.8-1747</t>
  </si>
  <si>
    <t>Site Fencing</t>
  </si>
  <si>
    <t>3004-462.002/1/2-3604</t>
  </si>
  <si>
    <t>462.002/1/2</t>
  </si>
  <si>
    <t>2007-255.011-3945</t>
  </si>
  <si>
    <t>Epoxy floor touch up</t>
  </si>
  <si>
    <t>4001-1.4.9-4211</t>
  </si>
  <si>
    <t>Pedestrian Fencing</t>
  </si>
  <si>
    <t>1.4.9</t>
  </si>
  <si>
    <t>4001-319.002-3828</t>
  </si>
  <si>
    <t>Roof Drainage Including Vertical Pipe &amp; Trace Heating</t>
  </si>
  <si>
    <t>3021-255.041-4308</t>
  </si>
  <si>
    <t>uPVC  waterproofing membrance on suspended slab.(Internal roof)</t>
  </si>
  <si>
    <t>255.041</t>
  </si>
  <si>
    <t>1025-1025VO-52-3183</t>
  </si>
  <si>
    <t>Tap Off Box 5+16Amp type</t>
  </si>
  <si>
    <t>1025VO-52</t>
  </si>
  <si>
    <t>4001-231.001/ES-3914</t>
  </si>
  <si>
    <t>Walls, roof and floor on grounds and floors in height GF Increased quantity marked as option 5 recesses Door + 4 intakes for cables etc</t>
  </si>
  <si>
    <t>231.001/ES</t>
  </si>
  <si>
    <t>1025-359.001-3120</t>
  </si>
  <si>
    <t xml:space="preserve"> Battery Room Split System - Phase 1 - 9 Battery Rooms</t>
  </si>
  <si>
    <t>359.001</t>
  </si>
  <si>
    <t>1025-462.005-2950</t>
  </si>
  <si>
    <t>Tesing and commissioning</t>
  </si>
  <si>
    <t>462.005</t>
  </si>
  <si>
    <t>1025-2342.002/ES-3094</t>
  </si>
  <si>
    <t>External doors; double leaf; incl 2nd floor doors</t>
  </si>
  <si>
    <t>2342.002/ES</t>
  </si>
  <si>
    <t>3004-337.001-3756</t>
  </si>
  <si>
    <t>337.001</t>
  </si>
  <si>
    <t>4001-431-4036</t>
  </si>
  <si>
    <t>Installations for Power Distribution</t>
  </si>
  <si>
    <t>431</t>
  </si>
  <si>
    <t>3004-2442.001-3089</t>
  </si>
  <si>
    <t>Internal doors; including frames</t>
  </si>
  <si>
    <t>2442.001</t>
  </si>
  <si>
    <t>1025-273.001/0-3216</t>
  </si>
  <si>
    <t>Cupboards, counters and similar for kitchens, as well as kitchenettes including built-in appliances.</t>
  </si>
  <si>
    <t>273.001/0</t>
  </si>
  <si>
    <t>1025-257.002/0-3151</t>
  </si>
  <si>
    <t>Tate ceiling grid and tiles; to GF data hall space</t>
  </si>
  <si>
    <t>257.002/0</t>
  </si>
  <si>
    <t>1025-1.4.33-3112</t>
  </si>
  <si>
    <t>Food for 100 workers (6 Months)</t>
  </si>
  <si>
    <t>1.4.33</t>
  </si>
  <si>
    <t>1025-462.001-2951</t>
  </si>
  <si>
    <t>UPS delivering, 2000kVA + Installation</t>
  </si>
  <si>
    <t>462.001</t>
  </si>
  <si>
    <t>1025-246.011/0-3116</t>
  </si>
  <si>
    <t>Ceramic tiling</t>
  </si>
  <si>
    <t>246.011/0</t>
  </si>
  <si>
    <t>4001-1.7.8-4291</t>
  </si>
  <si>
    <t>Forklifts</t>
  </si>
  <si>
    <t>1.7.8</t>
  </si>
  <si>
    <t>1036-2443-4221</t>
  </si>
  <si>
    <t>Specialist Doors, Internal Gates &amp; Folding Walls</t>
  </si>
  <si>
    <t>2443</t>
  </si>
  <si>
    <t>1025-543.006-3812</t>
  </si>
  <si>
    <t>Procurement, installation Access contro sentrals</t>
  </si>
  <si>
    <t>543.006</t>
  </si>
  <si>
    <t>1025-290.003/0-2975</t>
  </si>
  <si>
    <t>Wall protection of internal paroc/gypsum walls</t>
  </si>
  <si>
    <t>290.003/0</t>
  </si>
  <si>
    <t>2007-353.047-3710</t>
  </si>
  <si>
    <t xml:space="preserve"> Chilled Water Buffer Tank - Water Thermal Storage</t>
  </si>
  <si>
    <t>353.047</t>
  </si>
  <si>
    <t>1036-30.014-3696</t>
  </si>
  <si>
    <t xml:space="preserve"> Plan Move, Hoisting : Chillers</t>
  </si>
  <si>
    <t>3004-1.4.24-3220</t>
  </si>
  <si>
    <t>Service agreement printers</t>
  </si>
  <si>
    <t>1.4.5</t>
  </si>
  <si>
    <t>1025-742.004-3319</t>
  </si>
  <si>
    <t>Light poles</t>
  </si>
  <si>
    <t>742.004</t>
  </si>
  <si>
    <t>1036-1.4.10-3041</t>
  </si>
  <si>
    <t>Entrance doors and barriers</t>
  </si>
  <si>
    <t>1.4.10</t>
  </si>
  <si>
    <t>4001-353.042-3977</t>
  </si>
  <si>
    <t xml:space="preserve"> First &amp; Second Fix Chlled Water Pipe and Accessories</t>
  </si>
  <si>
    <t>353.042</t>
  </si>
  <si>
    <t>1036-353.052-3601</t>
  </si>
  <si>
    <t>Flushing - Cleaning Chilled Water Loop</t>
  </si>
  <si>
    <t>353.052</t>
  </si>
  <si>
    <t>3004-411.003/1/1-3807</t>
  </si>
  <si>
    <t xml:space="preserve">Outside containment, POD,s and Genset </t>
  </si>
  <si>
    <t>411.003/1/1</t>
  </si>
  <si>
    <t>1036-238.001-3269</t>
  </si>
  <si>
    <t>Other requirements to external walls</t>
  </si>
  <si>
    <t>1025-1025-VO-40-3961</t>
  </si>
  <si>
    <t>Doors designation; more double doors and higher number of doors fire proof rating E60/E90 electronic locks and operaration, pending client SOW</t>
  </si>
  <si>
    <t>1025-VO-40</t>
  </si>
  <si>
    <t>1036-452.001-3370</t>
  </si>
  <si>
    <t>Heaters</t>
  </si>
  <si>
    <t>452.001</t>
  </si>
  <si>
    <t>1025-431.003-3078</t>
  </si>
  <si>
    <t>Installations 4000 Amp</t>
  </si>
  <si>
    <t>2007-353.029-3802</t>
  </si>
  <si>
    <t xml:space="preserve"> Black Steel Pipe and all accessories, including Coupling, Flanges, Bellows, Thermometer, manometer, test point, strainer, Check Valve, Air Vent, …..</t>
  </si>
  <si>
    <t>3004-255.031-3652</t>
  </si>
  <si>
    <t>255.031</t>
  </si>
  <si>
    <t>3021-241.001-4324</t>
  </si>
  <si>
    <t>Pre-cast walls: to building core</t>
  </si>
  <si>
    <t>241.001</t>
  </si>
  <si>
    <t>3004-1.4.21-556</t>
  </si>
  <si>
    <t>Project Document System / Web-hotel</t>
  </si>
  <si>
    <t>1.4.21</t>
  </si>
  <si>
    <t>1025-365.006-1871</t>
  </si>
  <si>
    <t>CRAH IT Room 21kW - Ground Floor</t>
  </si>
  <si>
    <t>3004-278.001-3643</t>
  </si>
  <si>
    <t>278.001</t>
  </si>
  <si>
    <t>1025-1025-VO-12a-3850</t>
  </si>
  <si>
    <t xml:space="preserve">Office civil+MEP arrangements. ASOW received 23 March 2024, additional- new SOW  information package OrangeQuit and offices and general areas, not part of contract. </t>
  </si>
  <si>
    <t>1025-VO-12a</t>
  </si>
  <si>
    <t>1025-542.001-4132</t>
  </si>
  <si>
    <t>Supply of Fire alarm system</t>
  </si>
  <si>
    <t>542.001</t>
  </si>
  <si>
    <t>2007-1.1.2-3783</t>
  </si>
  <si>
    <t>Site Manager El</t>
  </si>
  <si>
    <t>1036-1.9.2-3251</t>
  </si>
  <si>
    <t>Fire alarms in building and barracks</t>
  </si>
  <si>
    <t>1.9.2</t>
  </si>
  <si>
    <t>1036-411.006-4154</t>
  </si>
  <si>
    <t>Secondary containment, pipeing</t>
  </si>
  <si>
    <t>411.006</t>
  </si>
  <si>
    <t>4001-353.026-3687</t>
  </si>
  <si>
    <t xml:space="preserve"> 2 Way Valves and Assoc. Connectors </t>
  </si>
  <si>
    <t>353.026</t>
  </si>
  <si>
    <t>1036-2344.002-3871</t>
  </si>
  <si>
    <t>Door Ironmongery; to double leaf doors</t>
  </si>
  <si>
    <t>2344.002</t>
  </si>
  <si>
    <t>4001-VO-DEN063-4223</t>
  </si>
  <si>
    <t>Repair to existing beams</t>
  </si>
  <si>
    <t>VO-DEN063</t>
  </si>
  <si>
    <t>1036-453.001-3671</t>
  </si>
  <si>
    <t>Trace heating</t>
  </si>
  <si>
    <t>453.001</t>
  </si>
  <si>
    <t>3004-VO-50-4171</t>
  </si>
  <si>
    <t>Backbone cable for pedestrian- &amp; driveway gate installed</t>
  </si>
  <si>
    <t>VO-50</t>
  </si>
  <si>
    <t>3004-421.001/1/gf-3603</t>
  </si>
  <si>
    <t>1025-1025-VO-51-3948</t>
  </si>
  <si>
    <t>MV Ducting according Teknaconsult Design</t>
  </si>
  <si>
    <t>1025-VO-51</t>
  </si>
  <si>
    <t>1025-365-3656</t>
  </si>
  <si>
    <t>Equipment for air treatment</t>
  </si>
  <si>
    <t>1025-30.008-3077</t>
  </si>
  <si>
    <t xml:space="preserve"> Heater 22kW for Commissioning and IST (Installed in the open space of the Data Hall) - 4,8MW during 3 weeks</t>
  </si>
  <si>
    <t>4001-262.002-3829</t>
  </si>
  <si>
    <t>Roof finish; new membrane</t>
  </si>
  <si>
    <t>262.002</t>
  </si>
  <si>
    <t>1036-534.001-3585</t>
  </si>
  <si>
    <t>Intercom between doors, gates and security guard, eqipment and installation</t>
  </si>
  <si>
    <t>534.001</t>
  </si>
  <si>
    <t>1025-1.4.17-1759</t>
  </si>
  <si>
    <t>Site Parking area (car chargers)</t>
  </si>
  <si>
    <t>1.4.17</t>
  </si>
  <si>
    <t>2007-237.001-3025</t>
  </si>
  <si>
    <t>Roof fall protection handrail</t>
  </si>
  <si>
    <t>237.001</t>
  </si>
  <si>
    <t>3021-60.001/1-4281</t>
  </si>
  <si>
    <t>1036-365.003-4073</t>
  </si>
  <si>
    <t>VO 022-Kitchen ventilation, ready for compensated hood</t>
  </si>
  <si>
    <t>4001-231.001/ES-4292</t>
  </si>
  <si>
    <t>Installation</t>
  </si>
  <si>
    <t>4001-431.005/1/gf-4019</t>
  </si>
  <si>
    <t>Busbars in WS (630A)</t>
  </si>
  <si>
    <t>1025-1025-VO-01D-4088</t>
  </si>
  <si>
    <t>Associated Structural Steel for cable ladders and  for Phase II Chiller and Generators moved to phase 1 scope</t>
  </si>
  <si>
    <t>1025-VO-01D</t>
  </si>
  <si>
    <t>1036-1.3-3332</t>
  </si>
  <si>
    <t>Site Cleaning</t>
  </si>
  <si>
    <t>1.3</t>
  </si>
  <si>
    <t>3021-Item-01-3705</t>
  </si>
  <si>
    <t>711.001</t>
  </si>
  <si>
    <t>1025-412-483</t>
  </si>
  <si>
    <t>Grounding for Electric Power Installations</t>
  </si>
  <si>
    <t>412</t>
  </si>
  <si>
    <t>1050-411.008-4037</t>
  </si>
  <si>
    <t>Small Power and sockets</t>
  </si>
  <si>
    <t>411.008</t>
  </si>
  <si>
    <t>1036-353.026-4355</t>
  </si>
  <si>
    <t>Rear Doors Ebelimo ePIV Valve</t>
  </si>
  <si>
    <t>1025-2442.001-4118</t>
  </si>
  <si>
    <t>Internal doors; single leaf; to WS perimeter walls</t>
  </si>
  <si>
    <t>1025-255.001/2-2959</t>
  </si>
  <si>
    <t>Dust binding paint; to hollow core floor slab</t>
  </si>
  <si>
    <t>255.001/2</t>
  </si>
  <si>
    <t>1025-1.6.5-3101</t>
  </si>
  <si>
    <t xml:space="preserve">Tent for storage of equipment </t>
  </si>
  <si>
    <t>1.6.5</t>
  </si>
  <si>
    <t>1025-246.001/0-3128</t>
  </si>
  <si>
    <t>Plastering and Painting; to gypsum walls</t>
  </si>
  <si>
    <t>246.001/0</t>
  </si>
  <si>
    <t>1025-1025-VO-49-4222</t>
  </si>
  <si>
    <t>Mezzanine CSA and MEP works</t>
  </si>
  <si>
    <t>1025-VO-49</t>
  </si>
  <si>
    <t>1025-1.10.3-3103</t>
  </si>
  <si>
    <t>Training of OPS team</t>
  </si>
  <si>
    <t>1.10.3</t>
  </si>
  <si>
    <t>1036-411.005-4363</t>
  </si>
  <si>
    <t>Inside containment</t>
  </si>
  <si>
    <t>1036-761.001-3285</t>
  </si>
  <si>
    <t>Vehicle roads and Parking</t>
  </si>
  <si>
    <t>1036-431.004-4114</t>
  </si>
  <si>
    <t>VO 033 - Pegasus WS rev 3 Busbars</t>
  </si>
  <si>
    <t>1025-1025-VO-12b-3984</t>
  </si>
  <si>
    <t>iber rout to storage rooms and interconnecting white spaces. SOW received 23 March 2024, additional- new SOW  information package OrangeQuit</t>
  </si>
  <si>
    <t>1025-VO-12b</t>
  </si>
  <si>
    <t>1025-LDC 9.2-3448</t>
  </si>
  <si>
    <t>Racks - Installation (99 racks)</t>
  </si>
  <si>
    <t>LDC 9.2</t>
  </si>
  <si>
    <t>1025-431.008-3153</t>
  </si>
  <si>
    <t>Busbar cabeling (2500-630A busbar)</t>
  </si>
  <si>
    <t>431.008</t>
  </si>
  <si>
    <t>4001-514.001/1/0-4374</t>
  </si>
  <si>
    <t xml:space="preserve">Fiber between Racks. 24 fiber (12 pair) SM + between floors </t>
  </si>
  <si>
    <t>514.001/1/0</t>
  </si>
  <si>
    <t>1025-277.001/0-3460</t>
  </si>
  <si>
    <t>Information and direction signs as well as bulletin and writing boards, AV cabinets for meeting rooms, etc.</t>
  </si>
  <si>
    <t>277.001/0</t>
  </si>
  <si>
    <t>1036-315.001-3746</t>
  </si>
  <si>
    <t>Includes washbasins, toilet scales, bidets, bathtubs, bench fittings, heaters, pumps, showers, drains, etc. , including mixers, faucets and 0vrig luminaire to the extent that this is a normal part of Delivery.</t>
  </si>
  <si>
    <t>315.001</t>
  </si>
  <si>
    <t>1025-4111.001-3532</t>
  </si>
  <si>
    <t>Installations channels</t>
  </si>
  <si>
    <t>4111.001</t>
  </si>
  <si>
    <t>1036-743.001-3823</t>
  </si>
  <si>
    <t>Outdoor, sockets</t>
  </si>
  <si>
    <t>743.001</t>
  </si>
  <si>
    <t>1025-277.001/2-3409</t>
  </si>
  <si>
    <t>Signs and Notice Boards</t>
  </si>
  <si>
    <t>277.001/2</t>
  </si>
  <si>
    <t>1025-1.4.27-3215</t>
  </si>
  <si>
    <t>HSE Container</t>
  </si>
  <si>
    <t>1.4.27</t>
  </si>
  <si>
    <t>1025-1.4.2-528</t>
  </si>
  <si>
    <t>Site Manager 2</t>
  </si>
  <si>
    <t>1.1.3</t>
  </si>
  <si>
    <t>1050-30.007-4377</t>
  </si>
  <si>
    <t>Commissioning : Chillers, Pressurisation Unit, Degaser, Glycol Filler, AHU…....</t>
  </si>
  <si>
    <t>computer_related_services_glo</t>
  </si>
  <si>
    <t>Scope 3 Category 1 Purchased Services Spend</t>
  </si>
  <si>
    <t>education_services_glo</t>
  </si>
  <si>
    <t>financial_intermediation_services_glo</t>
  </si>
  <si>
    <t>301S003</t>
  </si>
  <si>
    <t>health_social_work_services_glo</t>
  </si>
  <si>
    <t>insurance_pension_services_glo</t>
  </si>
  <si>
    <t>other_business_services_glo</t>
  </si>
  <si>
    <t>other_services_glo</t>
  </si>
  <si>
    <t>post_telecommunication_services_glo</t>
  </si>
  <si>
    <t>Public administration and defence services</t>
  </si>
  <si>
    <t>public_administration_services_glo</t>
  </si>
  <si>
    <t>301S009</t>
  </si>
  <si>
    <t>real_estate_services_glo</t>
  </si>
  <si>
    <t>recreational_services_glo</t>
  </si>
  <si>
    <t>renting_machinery_equipment_glo</t>
  </si>
  <si>
    <t>hotel_and_restaurant_services_glo</t>
  </si>
  <si>
    <t>retail_trade_services_glo</t>
  </si>
  <si>
    <t>auxiliary_financial_intermediation_glo</t>
  </si>
  <si>
    <t>Wholesale trade and commission trade services</t>
  </si>
  <si>
    <t>wholesale_trade_services_glo</t>
  </si>
  <si>
    <t>301S016</t>
  </si>
  <si>
    <t>Scope 3 Category 3 Fuel and Energy Related Activities - Fuel</t>
  </si>
  <si>
    <t>303F001</t>
  </si>
  <si>
    <t>303F002</t>
  </si>
  <si>
    <t>303F003</t>
  </si>
  <si>
    <t>303F004</t>
  </si>
  <si>
    <t>303F005</t>
  </si>
  <si>
    <t>303F006</t>
  </si>
  <si>
    <t>Internal combustion vehicle</t>
  </si>
  <si>
    <t>303F007</t>
  </si>
  <si>
    <t>303F008</t>
  </si>
  <si>
    <t>Lynlading (kwh)</t>
  </si>
  <si>
    <t>303F009</t>
  </si>
  <si>
    <t>Scope 3 Category 3 Fuel and Energy Related Activities - Electricity</t>
  </si>
  <si>
    <t>303A038</t>
  </si>
  <si>
    <t>303A047</t>
  </si>
  <si>
    <t>303A048</t>
  </si>
  <si>
    <t>303A049</t>
  </si>
  <si>
    <t>303A050</t>
  </si>
  <si>
    <t>303A053</t>
  </si>
  <si>
    <t>303A056</t>
  </si>
  <si>
    <t>Greece</t>
  </si>
  <si>
    <t>303A057</t>
  </si>
  <si>
    <t>303A064</t>
  </si>
  <si>
    <t>303A065</t>
  </si>
  <si>
    <t>303A069</t>
  </si>
  <si>
    <t>303A071</t>
  </si>
  <si>
    <t>303A112</t>
  </si>
  <si>
    <t>303A114</t>
  </si>
  <si>
    <t>303A125</t>
  </si>
  <si>
    <t>303A140</t>
  </si>
  <si>
    <t>303A144</t>
  </si>
  <si>
    <t>303A145</t>
  </si>
  <si>
    <t>303A159</t>
  </si>
  <si>
    <t>Average car (unknown fuel) commuting</t>
  </si>
  <si>
    <t>Scope 3 Category 7 Employee Commuting Activity</t>
  </si>
  <si>
    <t>307A001</t>
  </si>
  <si>
    <t>NTM (2018)</t>
  </si>
  <si>
    <t>Battery Electric Average Car, p.km</t>
  </si>
  <si>
    <t xml:space="preserve">Electric </t>
  </si>
  <si>
    <t>307A002</t>
  </si>
  <si>
    <t>Diesel car commuting</t>
  </si>
  <si>
    <t>307A003</t>
  </si>
  <si>
    <t>NTMCalc.Advanced 4.0</t>
  </si>
  <si>
    <t>Petrol car commuting</t>
  </si>
  <si>
    <t xml:space="preserve">Petrol </t>
  </si>
  <si>
    <t>307A004</t>
  </si>
  <si>
    <t>Hybrid</t>
  </si>
  <si>
    <t>307A005</t>
  </si>
  <si>
    <t>Bike</t>
  </si>
  <si>
    <t>307A006</t>
  </si>
  <si>
    <t>Bus</t>
  </si>
  <si>
    <t>307A007</t>
  </si>
  <si>
    <t>Electric Bike</t>
  </si>
  <si>
    <t>307A008</t>
  </si>
  <si>
    <t>IEA (2024), Bosch eBike system (2023)</t>
  </si>
  <si>
    <t>Electric Scooter</t>
  </si>
  <si>
    <t>307A009</t>
  </si>
  <si>
    <t>IEA (2024), LCA of the TIER Mobility VI e-Scooter (2022)</t>
  </si>
  <si>
    <t>Motorbike</t>
  </si>
  <si>
    <t>307A010</t>
  </si>
  <si>
    <t xml:space="preserve">Train </t>
  </si>
  <si>
    <t>307A011</t>
  </si>
  <si>
    <t>Train Regional</t>
  </si>
  <si>
    <t>307A012</t>
  </si>
  <si>
    <t>Metro</t>
  </si>
  <si>
    <t>307A013</t>
  </si>
  <si>
    <t>307A014</t>
  </si>
  <si>
    <t>307A015</t>
  </si>
  <si>
    <t>Remote</t>
  </si>
  <si>
    <t>307A016</t>
  </si>
  <si>
    <t>Mixed</t>
  </si>
  <si>
    <t>307A017</t>
  </si>
  <si>
    <t>Organic</t>
  </si>
  <si>
    <t>organic waste</t>
  </si>
  <si>
    <t>Scope 3 Category 5 Waste</t>
  </si>
  <si>
    <t>305A005</t>
  </si>
  <si>
    <t>Glass</t>
  </si>
  <si>
    <t>glass waste</t>
  </si>
  <si>
    <t>305A018</t>
  </si>
  <si>
    <t>General</t>
  </si>
  <si>
    <t>general waste for landfill</t>
  </si>
  <si>
    <t>305A006</t>
  </si>
  <si>
    <t>Recycling</t>
  </si>
  <si>
    <t>recycling waste</t>
  </si>
  <si>
    <t>general waste for recycling</t>
  </si>
  <si>
    <t>construction waste</t>
  </si>
  <si>
    <t>305A019</t>
  </si>
  <si>
    <t>Large Combustible</t>
  </si>
  <si>
    <t>Heavy Fraction for sorting</t>
  </si>
  <si>
    <t>Iron of metal</t>
  </si>
  <si>
    <t>Pure gypsum</t>
  </si>
  <si>
    <t>Ceramic, sanitary, and debris</t>
  </si>
  <si>
    <t>Bricks, blocks, and concrete 0-50 m</t>
  </si>
  <si>
    <t>Concrete 0-50 m</t>
  </si>
  <si>
    <t>Building scaffolding</t>
  </si>
  <si>
    <t>PVC</t>
  </si>
  <si>
    <t>Paper</t>
  </si>
  <si>
    <t>Residual Waste</t>
  </si>
  <si>
    <t>Stone wool, rock wool for recycling</t>
  </si>
  <si>
    <t>Hard plastic</t>
  </si>
  <si>
    <t>Electronic (mixed)</t>
  </si>
  <si>
    <t>Paint and paint packaging</t>
  </si>
  <si>
    <t>compost</t>
  </si>
  <si>
    <t>packages plastic</t>
  </si>
  <si>
    <t>recycling</t>
  </si>
  <si>
    <t>paper</t>
  </si>
  <si>
    <t>glass</t>
  </si>
  <si>
    <t>Other</t>
  </si>
  <si>
    <t>Cardboard</t>
  </si>
  <si>
    <t>Biowaste</t>
  </si>
  <si>
    <t>Metal</t>
  </si>
  <si>
    <t>Pallets</t>
  </si>
  <si>
    <t>Magazines and advertisements</t>
  </si>
  <si>
    <t>Mixed waste</t>
  </si>
  <si>
    <t>Recycled wood</t>
  </si>
  <si>
    <t>Hazardous waste</t>
  </si>
  <si>
    <t>Construction waste</t>
  </si>
  <si>
    <t>Plaster</t>
  </si>
  <si>
    <t>Plastic</t>
  </si>
  <si>
    <t>Wood waste</t>
  </si>
  <si>
    <t>Mixed wood</t>
  </si>
  <si>
    <t>Steel scrap</t>
  </si>
  <si>
    <t>Mixed metal</t>
  </si>
  <si>
    <t>Construction waste - Conventional</t>
  </si>
  <si>
    <t>Energy</t>
  </si>
  <si>
    <t>Energy fraction</t>
  </si>
  <si>
    <t>1149 Miscellaneous processed wood</t>
  </si>
  <si>
    <t>1611 Concrete without reinforcement</t>
  </si>
  <si>
    <t>9912 Miscellaneous food waste</t>
  </si>
  <si>
    <t>1799 Bl. Plastic Not packaged</t>
  </si>
  <si>
    <t>1447 Pure magnetic metal</t>
  </si>
  <si>
    <t>1615 Plaster</t>
  </si>
  <si>
    <t>1221 Brown paper</t>
  </si>
  <si>
    <t>1504 Cables and wires</t>
  </si>
  <si>
    <t>1911 Textiles, leather, hides</t>
  </si>
  <si>
    <t>1732 ExpExt Plastic other</t>
  </si>
  <si>
    <t>1617 Mineral wool</t>
  </si>
  <si>
    <t>1111 Food from home.</t>
  </si>
  <si>
    <t>7051 Paint glue varnish solvent</t>
  </si>
  <si>
    <t>1322 Colored glass ball</t>
  </si>
  <si>
    <t>1729 Mixed plastic packaging.</t>
  </si>
  <si>
    <t>1127 Animal by-products</t>
  </si>
  <si>
    <t>1599 Mixed EE waste</t>
  </si>
  <si>
    <t>1601 Pure masses</t>
  </si>
  <si>
    <t>Concrete unreinforced &lt; 50 m</t>
  </si>
  <si>
    <t>Mixed scrap</t>
  </si>
  <si>
    <t>Combustible waste, fine</t>
  </si>
  <si>
    <t>Combustible waste, coarse</t>
  </si>
  <si>
    <t>Mineral wool</t>
  </si>
  <si>
    <t>Plastic, mixed</t>
  </si>
  <si>
    <t>Paper and cardboard packaging</t>
  </si>
  <si>
    <t>factory production waste</t>
  </si>
  <si>
    <t>Metals</t>
  </si>
  <si>
    <t>Paper and cardboard</t>
  </si>
  <si>
    <t>Used grinding wheels and grinding materials, not covered by 12 01 20</t>
  </si>
  <si>
    <t>Welding waste</t>
  </si>
  <si>
    <t>(*) Absorbents, filter materials (including oil filters not otherwise specified), cleaning cloths and protective clothing, contaminated with dangerous substances</t>
  </si>
  <si>
    <t>(*) Packaging containing or contaminated by residues of hazardous substances</t>
  </si>
  <si>
    <t>Plastic packaging</t>
  </si>
  <si>
    <t>Absorbents, filter materials, cleaning cloths and protective clothing not covered by 15 02 02</t>
  </si>
  <si>
    <t>Waste without other specifications</t>
  </si>
  <si>
    <t>Wood not covered in 20 01 37</t>
  </si>
  <si>
    <t>Wooden packaging</t>
  </si>
  <si>
    <t>Mixtures of equivalent urban waste</t>
  </si>
  <si>
    <t>(*) Gases in pressure vessels (including halons) containing dangerous substances</t>
  </si>
  <si>
    <t>Cardboard kg/Cardboard kg</t>
  </si>
  <si>
    <t>factory waste</t>
  </si>
  <si>
    <t>Cling film/ soft plastic kg</t>
  </si>
  <si>
    <t>Mixed plastic kg</t>
  </si>
  <si>
    <t>Sorted residual waste / Residual waste kg</t>
  </si>
  <si>
    <t>Wood</t>
  </si>
  <si>
    <t>Wet organic / organic waste</t>
  </si>
  <si>
    <t>Metal/Metal (from production)</t>
  </si>
  <si>
    <t>Cables/Electrical Wire</t>
  </si>
  <si>
    <t>Glass/metal packaging - Glass/ metal from canteen</t>
  </si>
  <si>
    <t>Discarded equipment</t>
  </si>
  <si>
    <t>Mixed municipal waste</t>
  </si>
  <si>
    <t>1451 Pure unmagnified metal</t>
  </si>
  <si>
    <t>1499 Metal with materials</t>
  </si>
  <si>
    <t>1251 Office paper</t>
  </si>
  <si>
    <t>facility waste</t>
  </si>
  <si>
    <t>plastic</t>
  </si>
  <si>
    <t>Cables</t>
  </si>
  <si>
    <t>Copper</t>
  </si>
  <si>
    <t>General waste</t>
  </si>
  <si>
    <t xml:space="preserve">Office Waste </t>
  </si>
  <si>
    <t>Electrical Waste</t>
  </si>
  <si>
    <t>Mixed paper, cardboard and carton</t>
  </si>
  <si>
    <t xml:space="preserve">All facility waste </t>
  </si>
  <si>
    <t>7055 Spray cans</t>
  </si>
  <si>
    <t>7121 Polymerizing</t>
  </si>
  <si>
    <t>7021 Waste oils and fats</t>
  </si>
  <si>
    <t>7261 Gases in pressure containers</t>
  </si>
  <si>
    <t>7123 Hardeners org. peroxide.</t>
  </si>
  <si>
    <t>1731 ExpExt Plastic emb.</t>
  </si>
  <si>
    <t>7042 Org.solvent w/o halogen.</t>
  </si>
  <si>
    <t>7022 Oil-contaminated pulp</t>
  </si>
  <si>
    <t>7011 Waste oil, refund</t>
  </si>
  <si>
    <t>7023 Fuel/Fuel oil</t>
  </si>
  <si>
    <t>Concrete unreinforced &lt; 50 cm</t>
  </si>
  <si>
    <t>Wood packaging</t>
  </si>
  <si>
    <t>Ferrous metal shavings and filings</t>
  </si>
  <si>
    <t>1711 Plastic foil, packaging.</t>
  </si>
  <si>
    <t>mixed wood</t>
  </si>
  <si>
    <t>mixed sheet metal</t>
  </si>
  <si>
    <t>energy waste</t>
  </si>
  <si>
    <t>gypsum</t>
  </si>
  <si>
    <t>dangerous waste</t>
  </si>
  <si>
    <t>data protection</t>
  </si>
  <si>
    <t>insulation materials</t>
  </si>
  <si>
    <t>Ferro complexo</t>
  </si>
  <si>
    <t>Resíduos de EE mistos</t>
  </si>
  <si>
    <t>Resíduos alimentares mistos</t>
  </si>
  <si>
    <t>Bulk carrier, Coastal</t>
  </si>
  <si>
    <t>Bulk_carrier_Coastal</t>
  </si>
  <si>
    <t>tonnes CO2e/tonne.km</t>
  </si>
  <si>
    <t>NTM (2023)</t>
  </si>
  <si>
    <t>Scope 3 Category 4  Upstream Transportation and Distribution</t>
  </si>
  <si>
    <t>Bulk carrier, Overseas</t>
  </si>
  <si>
    <t>Bulk_carrier_Overseas</t>
  </si>
  <si>
    <t>Container 100 TEU (IWW)</t>
  </si>
  <si>
    <t>Container_100_TEU_(IWW)</t>
  </si>
  <si>
    <t>Container 14000-18000 TEU</t>
  </si>
  <si>
    <t>Container_14000_18000_TEU</t>
  </si>
  <si>
    <t>Container 18000-25000 TEU</t>
  </si>
  <si>
    <t>Container_18000_25000_TEU</t>
  </si>
  <si>
    <t>Container 600 TEU</t>
  </si>
  <si>
    <t>Container_600_TEU</t>
  </si>
  <si>
    <t>Container 6000-12000 TEU</t>
  </si>
  <si>
    <t>Container_6000_12000_TEU</t>
  </si>
  <si>
    <t>Container feeder 1000 TEU</t>
  </si>
  <si>
    <t>Container_feeder_1000_TEU</t>
  </si>
  <si>
    <t>Continental air freight transport (785-3600 km)</t>
  </si>
  <si>
    <t>continental_air</t>
  </si>
  <si>
    <t>t CO2e/t-km</t>
  </si>
  <si>
    <t>NTM (2024)</t>
  </si>
  <si>
    <t>Default sea cargo type</t>
  </si>
  <si>
    <t>Default_sea_cargo_type</t>
  </si>
  <si>
    <t>Diesel cargo train - Global</t>
  </si>
  <si>
    <t>diesel_cargo_train_global</t>
  </si>
  <si>
    <t>Electric cargo train - Average mix</t>
  </si>
  <si>
    <t>electric_cargo_train_average</t>
  </si>
  <si>
    <t>Intercontinental air freight transport (&gt;3600 km)</t>
  </si>
  <si>
    <t>intercontinental_air</t>
  </si>
  <si>
    <t>Intermodal train, electric</t>
  </si>
  <si>
    <t>intermodal_train_electric</t>
  </si>
  <si>
    <t>Regional air freight transport (&lt;785 km)</t>
  </si>
  <si>
    <t>regional_air</t>
  </si>
  <si>
    <t>Rigid truck &lt;7.5 t, European average (t.km)</t>
  </si>
  <si>
    <t>Rigid_truck_less7and5_t_European_average_tonkm</t>
  </si>
  <si>
    <t>Rigid truck &lt;7.5 t, Global average (t.km)</t>
  </si>
  <si>
    <t>Rigid_truck_less7and5_t_Global_average_tonkm</t>
  </si>
  <si>
    <t>Rigid truck &lt;7.5 t, Sweden (t.km)</t>
  </si>
  <si>
    <t>Rigid_truck_less7and5_t_Sweden_tonkm</t>
  </si>
  <si>
    <t>Rigid truck 20-26 t, European average (t.km)</t>
  </si>
  <si>
    <t>Rigid_truck_20_26_t_European_average_tonkm</t>
  </si>
  <si>
    <t>Rigid truck 20-26 t, Global average (t.km)</t>
  </si>
  <si>
    <t>Rigid_truck_20_26_t_Global_average_tonkm</t>
  </si>
  <si>
    <t>Rigid truck 20-26 t, Sweden (t.km)</t>
  </si>
  <si>
    <t>Rigid_truck_20_26_t_Sweden_tonkm</t>
  </si>
  <si>
    <t>Rigid truck 7.5-12 t, European average (t.km)</t>
  </si>
  <si>
    <t>Rigid_truck_7and5_12_t_European_average_tonkm</t>
  </si>
  <si>
    <t>Rigid truck 7.5-12 t, Global average (t.km)</t>
  </si>
  <si>
    <t>Rigid_truck_7and5_12_t_Global_average_tonkm</t>
  </si>
  <si>
    <t>Rigid truck 7.5-12 t, Sweden (t.km)</t>
  </si>
  <si>
    <t>Rigid_truck_7and5_12_t_Sweden_tonkm</t>
  </si>
  <si>
    <t>Truck with trailer 34-40 t, European average (t.km)</t>
  </si>
  <si>
    <t>Truck_with_trailer_34_40_t_European_average_tonkm</t>
  </si>
  <si>
    <t>Truck with trailer 34-40 t, Global average (t.km)</t>
  </si>
  <si>
    <t>Truck_with_trailer_34_40_t_Global_average_tonkm</t>
  </si>
  <si>
    <t>Truck with trailer 34-40 t, Sweden (t.km)</t>
  </si>
  <si>
    <t>Truck_with_trailer_34_40_t_Sweden_tonkm</t>
  </si>
  <si>
    <t>Truck with trailer 50-60 t, European average (t.km)</t>
  </si>
  <si>
    <t>Truck_with_trailer_50_60_t_European_average_tonkm</t>
  </si>
  <si>
    <t>Truck with trailer 50-60 t, Global average (t.km)</t>
  </si>
  <si>
    <t>Truck_with_trailer_50_60_t_Global_average_tonkm</t>
  </si>
  <si>
    <t>Truck with trailer 50-60 t, Sweden (t.km)</t>
  </si>
  <si>
    <t>Truck_with_trailer_50_60_t_Sweden_tonkm</t>
  </si>
  <si>
    <t>Van &lt;3.5 t, European average (t.km)</t>
  </si>
  <si>
    <t>Van_less3and5_t_European_average_tonkm</t>
  </si>
  <si>
    <t>Van &lt;3.5 t, Global average (t.km)</t>
  </si>
  <si>
    <t>Van_less3and5_t_Global_average_tonkm</t>
  </si>
  <si>
    <t>Van &lt;3.5 t, Sweden (t.km)</t>
  </si>
  <si>
    <t>Van_less3and5_t_Sweden_tonkm</t>
  </si>
  <si>
    <t>Van Electric Average (t.km)</t>
  </si>
  <si>
    <t>van_electric_average_tkm</t>
  </si>
  <si>
    <t>Van Electric Class I (t.km)</t>
  </si>
  <si>
    <t>van_electric__class_i_tkm</t>
  </si>
  <si>
    <t>Van Electric Class II (t.km)</t>
  </si>
  <si>
    <t>van_electric_class_ii_tkm</t>
  </si>
  <si>
    <t>Van Electric Class III (t.km)</t>
  </si>
  <si>
    <t>van_electric_class_iii_tkm</t>
  </si>
  <si>
    <t>"</t>
  </si>
  <si>
    <t>Airplane</t>
  </si>
  <si>
    <t>Air transport services</t>
  </si>
  <si>
    <t>EXIOBASE (2019)</t>
  </si>
  <si>
    <t>Transportation</t>
  </si>
  <si>
    <t>Average passenger car average distance</t>
  </si>
  <si>
    <t>kg/passenger-km</t>
  </si>
  <si>
    <t>ADEME (2021)</t>
  </si>
  <si>
    <t>Scheduled freight air transportation</t>
  </si>
  <si>
    <t>kg/usd</t>
  </si>
  <si>
    <t>EPA (2022)</t>
  </si>
  <si>
    <t>All other automotive repair and maintenance</t>
  </si>
  <si>
    <t>Train</t>
  </si>
  <si>
    <t>Transport by railway</t>
  </si>
  <si>
    <t>Transport by air</t>
  </si>
  <si>
    <t>Scope 3 Category 6 Business Travel</t>
  </si>
  <si>
    <t>306S001</t>
  </si>
  <si>
    <t>306S002</t>
  </si>
  <si>
    <t>Scope 3 Category 8 District Heating - Electricity</t>
  </si>
  <si>
    <t>308K038</t>
  </si>
  <si>
    <t>308K047</t>
  </si>
  <si>
    <t>308K048</t>
  </si>
  <si>
    <t>308K049</t>
  </si>
  <si>
    <t>308K050</t>
  </si>
  <si>
    <t>308K053</t>
  </si>
  <si>
    <t>308K056</t>
  </si>
  <si>
    <t>308K057</t>
  </si>
  <si>
    <t>308K064</t>
  </si>
  <si>
    <t>308K065</t>
  </si>
  <si>
    <t>308K069</t>
  </si>
  <si>
    <t>308K071</t>
  </si>
  <si>
    <t>308K112</t>
  </si>
  <si>
    <t>308K114</t>
  </si>
  <si>
    <t>308K125</t>
  </si>
  <si>
    <t>308K140</t>
  </si>
  <si>
    <t>308K144</t>
  </si>
  <si>
    <t>308K145</t>
  </si>
  <si>
    <t>308K159</t>
  </si>
  <si>
    <t>Scope 3 Category 8 District Heating - Heating</t>
  </si>
  <si>
    <t>308H038</t>
  </si>
  <si>
    <t>308H047</t>
  </si>
  <si>
    <t>308H048</t>
  </si>
  <si>
    <t>308H049</t>
  </si>
  <si>
    <t>308H050</t>
  </si>
  <si>
    <t>308H053</t>
  </si>
  <si>
    <t>308H056</t>
  </si>
  <si>
    <t>308H057</t>
  </si>
  <si>
    <t>308H064</t>
  </si>
  <si>
    <t>308H065</t>
  </si>
  <si>
    <t>308H069</t>
  </si>
  <si>
    <t>308H071</t>
  </si>
  <si>
    <t>308H112</t>
  </si>
  <si>
    <t>308H114</t>
  </si>
  <si>
    <t>308H125</t>
  </si>
  <si>
    <t>308H140</t>
  </si>
  <si>
    <t>308H144</t>
  </si>
  <si>
    <t>308H145</t>
  </si>
  <si>
    <t>308H159</t>
  </si>
  <si>
    <t>Poland</t>
  </si>
  <si>
    <t>308H160</t>
  </si>
  <si>
    <t>TFM Code</t>
  </si>
  <si>
    <t>Product Code</t>
  </si>
  <si>
    <t>300S005.001</t>
  </si>
  <si>
    <t>300S005.002</t>
  </si>
  <si>
    <t>300S005.003</t>
  </si>
  <si>
    <t>300S005.004</t>
  </si>
  <si>
    <t>300S006.001</t>
  </si>
  <si>
    <t>300S006.002</t>
  </si>
  <si>
    <t>1036-216.001-3835</t>
  </si>
  <si>
    <t>300S006.003</t>
  </si>
  <si>
    <t>300S006.004</t>
  </si>
  <si>
    <t>300S006.005</t>
  </si>
  <si>
    <t>411.001</t>
  </si>
  <si>
    <t>1036-411.001-4111</t>
  </si>
  <si>
    <t>300S006.006</t>
  </si>
  <si>
    <t>300S006.007</t>
  </si>
  <si>
    <t>300S006.008</t>
  </si>
  <si>
    <t>1036-262.001-3860</t>
  </si>
  <si>
    <t xml:space="preserve">VO - 083 RDC Installation &amp; Test </t>
  </si>
  <si>
    <t>300S006.009</t>
  </si>
  <si>
    <t>300S006.010</t>
  </si>
  <si>
    <t>300S006.011</t>
  </si>
  <si>
    <t>300S006.012</t>
  </si>
  <si>
    <t>300S006.013</t>
  </si>
  <si>
    <t>300S006.014</t>
  </si>
  <si>
    <t>300S006.015</t>
  </si>
  <si>
    <t>300S006.016</t>
  </si>
  <si>
    <t>1036-1.4.20-1820</t>
  </si>
  <si>
    <t>300S006.017</t>
  </si>
  <si>
    <t>1036-1.4.16-3109</t>
  </si>
  <si>
    <t>300S006.018</t>
  </si>
  <si>
    <t>1036-319.002-3174</t>
  </si>
  <si>
    <t>300S006.019</t>
  </si>
  <si>
    <t>300S006.020</t>
  </si>
  <si>
    <t>300S006.021</t>
  </si>
  <si>
    <t>300S006.022</t>
  </si>
  <si>
    <t>300S006.023</t>
  </si>
  <si>
    <t>300S006.024</t>
  </si>
  <si>
    <t>300S006.025</t>
  </si>
  <si>
    <t>1036-246.001-4185</t>
  </si>
  <si>
    <t>300S006.026</t>
  </si>
  <si>
    <t>300S008.001</t>
  </si>
  <si>
    <t>300S008.002</t>
  </si>
  <si>
    <t>300S008.003</t>
  </si>
  <si>
    <t>300S008.004</t>
  </si>
  <si>
    <t>300S008.005</t>
  </si>
  <si>
    <t>1036-431.001-3602</t>
  </si>
  <si>
    <t>300S008.006</t>
  </si>
  <si>
    <t>300S008.007</t>
  </si>
  <si>
    <t>300S008.008</t>
  </si>
  <si>
    <t>300S008.009</t>
  </si>
  <si>
    <t>300S008.010</t>
  </si>
  <si>
    <t>1036-2443.001-1708</t>
  </si>
  <si>
    <t>300S008.011</t>
  </si>
  <si>
    <t>562.001</t>
  </si>
  <si>
    <t>1036-562.001-3968</t>
  </si>
  <si>
    <t>300S008.012</t>
  </si>
  <si>
    <t>1036-521.001-4157</t>
  </si>
  <si>
    <t>300S008.013</t>
  </si>
  <si>
    <t>1036-543.003-3056</t>
  </si>
  <si>
    <t>300S008.014</t>
  </si>
  <si>
    <t>300S008.015</t>
  </si>
  <si>
    <t>300S008.016</t>
  </si>
  <si>
    <t>300S008.017</t>
  </si>
  <si>
    <t>300S008.018</t>
  </si>
  <si>
    <t>1036-431.005-4070</t>
  </si>
  <si>
    <t>300S008.019</t>
  </si>
  <si>
    <t>300S008.020</t>
  </si>
  <si>
    <t>1036-433.001-3833</t>
  </si>
  <si>
    <t>300S008.021</t>
  </si>
  <si>
    <t>300S008.022</t>
  </si>
  <si>
    <t>300S010.001</t>
  </si>
  <si>
    <t>1036-2341.001-3415</t>
  </si>
  <si>
    <t>300S010.002</t>
  </si>
  <si>
    <t>1036-2441.001-3231</t>
  </si>
  <si>
    <t>300S012.001</t>
  </si>
  <si>
    <t>300S012.002</t>
  </si>
  <si>
    <t>1036-60.003-3838</t>
  </si>
  <si>
    <t>300S012.003</t>
  </si>
  <si>
    <t>300S012.004</t>
  </si>
  <si>
    <t>300S012.005</t>
  </si>
  <si>
    <t>300S012.006</t>
  </si>
  <si>
    <t>300S012.007</t>
  </si>
  <si>
    <t>300S012.008</t>
  </si>
  <si>
    <t>1036-621.001-1865</t>
  </si>
  <si>
    <t>300S012.009</t>
  </si>
  <si>
    <t>300S012.010</t>
  </si>
  <si>
    <t>1036-1.4.19-3988</t>
  </si>
  <si>
    <t>300S012.011</t>
  </si>
  <si>
    <t>300S012.012</t>
  </si>
  <si>
    <t>Perimetral Heating System for offices and other ancillary areas in both Floors</t>
  </si>
  <si>
    <t>300S012.013</t>
  </si>
  <si>
    <t>1036-325.002-1733</t>
  </si>
  <si>
    <t>300S012.014</t>
  </si>
  <si>
    <t>300S012.015</t>
  </si>
  <si>
    <t>300S012.016</t>
  </si>
  <si>
    <t>300S014.001</t>
  </si>
  <si>
    <t>300S014.002</t>
  </si>
  <si>
    <t>300S014.003</t>
  </si>
  <si>
    <t>300S014.004</t>
  </si>
  <si>
    <t>300S014.005</t>
  </si>
  <si>
    <t>300S014.006</t>
  </si>
  <si>
    <t>1036-282.001-1815</t>
  </si>
  <si>
    <t>300S014.007</t>
  </si>
  <si>
    <t>300S014.008</t>
  </si>
  <si>
    <t>300S014.009</t>
  </si>
  <si>
    <t>1036-2343.001-1800</t>
  </si>
  <si>
    <t>300S014.010</t>
  </si>
  <si>
    <t>300S014.011</t>
  </si>
  <si>
    <t>300S014.012</t>
  </si>
  <si>
    <t>1036-2444.001-3975</t>
  </si>
  <si>
    <t>300S014.013</t>
  </si>
  <si>
    <t>300S014.014</t>
  </si>
  <si>
    <t>300S014.015</t>
  </si>
  <si>
    <t>300S015.001</t>
  </si>
  <si>
    <t>300S017.001</t>
  </si>
  <si>
    <t>1036-1.4.6-3377</t>
  </si>
  <si>
    <t>300S017.002</t>
  </si>
  <si>
    <t>1036-1.4.22-3114</t>
  </si>
  <si>
    <t>300S022.001</t>
  </si>
  <si>
    <t>300S022.002</t>
  </si>
  <si>
    <t>300S022.003</t>
  </si>
  <si>
    <t>1036-553.002-3764</t>
  </si>
  <si>
    <t>300S022.004</t>
  </si>
  <si>
    <t>1036-542.002-3863</t>
  </si>
  <si>
    <t>300S022.005</t>
  </si>
  <si>
    <t>300S028.001</t>
  </si>
  <si>
    <t>301S001.001</t>
  </si>
  <si>
    <t>301S001.002</t>
  </si>
  <si>
    <t>1036-562.003-3500</t>
  </si>
  <si>
    <t>301S001.003</t>
  </si>
  <si>
    <t>301S001.004</t>
  </si>
  <si>
    <t>1036-1.4.4-3011</t>
  </si>
  <si>
    <t>301S006.001</t>
  </si>
  <si>
    <t>301S006.002</t>
  </si>
  <si>
    <t>301S006.003</t>
  </si>
  <si>
    <t>40.002</t>
  </si>
  <si>
    <t>1036-40.002-4007</t>
  </si>
  <si>
    <t>301S006.004</t>
  </si>
  <si>
    <t>353.048</t>
  </si>
  <si>
    <t>301S006.005</t>
  </si>
  <si>
    <t>301S006.006</t>
  </si>
  <si>
    <t>301S006.007</t>
  </si>
  <si>
    <t>562.021</t>
  </si>
  <si>
    <t>1036-562.021-4101</t>
  </si>
  <si>
    <t>301S006.008</t>
  </si>
  <si>
    <t>433.021</t>
  </si>
  <si>
    <t>1036-433.021-3967</t>
  </si>
  <si>
    <t>301S006.009</t>
  </si>
  <si>
    <t>1036-1.4.1-1801</t>
  </si>
  <si>
    <t>301S006.010</t>
  </si>
  <si>
    <t>301S006.011</t>
  </si>
  <si>
    <t>301S006.012</t>
  </si>
  <si>
    <t>301S006.013</t>
  </si>
  <si>
    <t>301S006.014</t>
  </si>
  <si>
    <t>1.2.11</t>
  </si>
  <si>
    <t>1036-1.2.11-4003</t>
  </si>
  <si>
    <t>301S006.015</t>
  </si>
  <si>
    <t>301S006.016</t>
  </si>
  <si>
    <t>1036-290.002-4013</t>
  </si>
  <si>
    <t>301S006.017</t>
  </si>
  <si>
    <t>1036-1.1.13-3349</t>
  </si>
  <si>
    <t>301S006.018</t>
  </si>
  <si>
    <t>40.999</t>
  </si>
  <si>
    <t>1036-40.999-3282</t>
  </si>
  <si>
    <t>301S006.019</t>
  </si>
  <si>
    <t>301S006.020</t>
  </si>
  <si>
    <t>301S006.021</t>
  </si>
  <si>
    <t>1036-1.4.24-4260</t>
  </si>
  <si>
    <t>301S006.022</t>
  </si>
  <si>
    <t>1.1.12</t>
  </si>
  <si>
    <t>1036-1.1.12-3463</t>
  </si>
  <si>
    <t>301S006.023</t>
  </si>
  <si>
    <t>1036-1.4.5-3856</t>
  </si>
  <si>
    <t>301S007.001</t>
  </si>
  <si>
    <t>301S007.002</t>
  </si>
  <si>
    <t>301S007.003</t>
  </si>
  <si>
    <t>1036-1.2.1-3821</t>
  </si>
  <si>
    <t>301S007.004</t>
  </si>
  <si>
    <t>1036-1.3.1-2887</t>
  </si>
  <si>
    <t>301S007.005</t>
  </si>
  <si>
    <t>301S007.006</t>
  </si>
  <si>
    <t>1036-1.3.3-2879</t>
  </si>
  <si>
    <t>301S007.007</t>
  </si>
  <si>
    <t>1036-1.6.2-3508</t>
  </si>
  <si>
    <t>301S007.008</t>
  </si>
  <si>
    <t>301S007.009</t>
  </si>
  <si>
    <t>1036-1.6.1-3606</t>
  </si>
  <si>
    <t>301S007.010</t>
  </si>
  <si>
    <t>1036-1.4.8-3604</t>
  </si>
  <si>
    <t>301S012.001</t>
  </si>
  <si>
    <t>1036-1.8.1-3129</t>
  </si>
  <si>
    <t>301S012.002</t>
  </si>
  <si>
    <t>1036-1.7.1-3713</t>
  </si>
  <si>
    <t>Load Bank 4 MW - 3 weeks (To simulate IT servers in the White Space) - Temporary hot Aisle not Included</t>
  </si>
  <si>
    <t>301S012.003</t>
  </si>
  <si>
    <t>1036-30.008-4095</t>
  </si>
  <si>
    <t>301S012.004</t>
  </si>
  <si>
    <t>1036-1.5.1-1794</t>
  </si>
  <si>
    <t>Roof skyights</t>
  </si>
  <si>
    <t>3no. EPODS Logistics</t>
  </si>
  <si>
    <t>Diesel for generators - ONLY For Commissioning purposes</t>
  </si>
  <si>
    <t>LV Fitout of the MV switchboard room Landlord TX room</t>
  </si>
  <si>
    <t>Plastering and Painting; to lift shaft staircore walls and precast walls</t>
  </si>
  <si>
    <t>Form openings for new doors; to existing A0.1 perimeter walls</t>
  </si>
  <si>
    <t>Pad foundaton</t>
  </si>
  <si>
    <t>'Kinetic facade Generator buidling prov sum Schedule H, offer Alupro'</t>
  </si>
  <si>
    <t>Triple-A</t>
  </si>
  <si>
    <t>Makro</t>
  </si>
  <si>
    <t>306T001</t>
  </si>
  <si>
    <t>Scope 3 Category 6 Business Travel- Air</t>
  </si>
  <si>
    <t>energinet.dk</t>
  </si>
  <si>
    <t>no source</t>
  </si>
  <si>
    <t>internally generated average</t>
  </si>
  <si>
    <t>Biodiesel / HVO100</t>
  </si>
  <si>
    <t>303S001</t>
  </si>
  <si>
    <t>303S002</t>
  </si>
  <si>
    <t>303S003</t>
  </si>
  <si>
    <t>303S004</t>
  </si>
  <si>
    <t>303S005</t>
  </si>
  <si>
    <t>303S006</t>
  </si>
  <si>
    <t>303S007</t>
  </si>
  <si>
    <t>303S008</t>
  </si>
  <si>
    <t>303S009</t>
  </si>
  <si>
    <t>Based on EXIOBASE supply‑chain intensity per euro; upstream only, combustion treated separately.</t>
  </si>
  <si>
    <t>kg/l</t>
  </si>
  <si>
    <t>Diesel - 100% mineral diesel</t>
  </si>
  <si>
    <t>kg/eur</t>
  </si>
  <si>
    <t>Gas/diesel oil</t>
  </si>
  <si>
    <t>Gasoline</t>
  </si>
  <si>
    <t>Transport</t>
  </si>
  <si>
    <t>Road Travel</t>
  </si>
  <si>
    <t xml:space="preserve"> kg/l</t>
  </si>
  <si>
    <t xml:space="preserve"> Gasoline - 5% bioethanol blend</t>
  </si>
  <si>
    <t xml:space="preserve"> kg/euros</t>
  </si>
  <si>
    <t xml:space="preserve"> kg/passenger-km</t>
  </si>
  <si>
    <t xml:space="preserve"> Gasoline</t>
  </si>
  <si>
    <t xml:space="preserve"> Other petroleum gas</t>
  </si>
  <si>
    <t xml:space="preserve"> kg/m3</t>
  </si>
  <si>
    <t xml:space="preserve"> Natural gas</t>
  </si>
  <si>
    <t xml:space="preserve"> Propane</t>
  </si>
  <si>
    <t xml:space="preserve"> kg/pound</t>
  </si>
  <si>
    <t xml:space="preserve"> kg/usd</t>
  </si>
  <si>
    <t xml:space="preserve"> Non-residential maintenance and repair</t>
  </si>
  <si>
    <t>BEIS 2024</t>
  </si>
  <si>
    <t>Klarakarbon Scope 1 Fuel</t>
  </si>
  <si>
    <t>EXIOBASE 2019</t>
  </si>
  <si>
    <t>GLEC 2019</t>
  </si>
  <si>
    <t>ADEME 2021</t>
  </si>
  <si>
    <t xml:space="preserve"> GLEC 2019</t>
  </si>
  <si>
    <t>not stated in Klarakarbon export</t>
  </si>
  <si>
    <t>Transport Road Travel</t>
  </si>
  <si>
    <t>Transport Air Travel</t>
  </si>
  <si>
    <t>Gas</t>
  </si>
  <si>
    <t>Klarakarbon Scope 1 Gas</t>
  </si>
  <si>
    <t>kg/kWh</t>
  </si>
  <si>
    <t>Electricity supplied from grid</t>
  </si>
  <si>
    <t>Electricity</t>
  </si>
  <si>
    <t>Electricity (not elsewhere specified)</t>
  </si>
  <si>
    <t>Battery EV car (medium)</t>
  </si>
  <si>
    <t xml:space="preserve"> kg/kWh</t>
  </si>
  <si>
    <t xml:space="preserve"> Electricity supplied from the grid</t>
  </si>
  <si>
    <t xml:space="preserve"> District heating and steam</t>
  </si>
  <si>
    <t xml:space="preserve"> Distribution and trade of electricity (services)</t>
  </si>
  <si>
    <t>Financial intermediation services (except insurance and pension funding services)</t>
  </si>
  <si>
    <t>BEIS 2021</t>
  </si>
  <si>
    <t xml:space="preserve">EXIOBASE 2019 </t>
  </si>
  <si>
    <t xml:space="preserve">UBA 2020 </t>
  </si>
  <si>
    <t xml:space="preserve"> STAIN 2021</t>
  </si>
  <si>
    <t>EV Charging</t>
  </si>
  <si>
    <t>District Heating</t>
  </si>
  <si>
    <t>Financial Services</t>
  </si>
  <si>
    <t>kg/gbp</t>
  </si>
  <si>
    <t>kg/room-night</t>
  </si>
  <si>
    <t>Food and beverage serving services</t>
  </si>
  <si>
    <t>Food and Beverage Services</t>
  </si>
  <si>
    <t>Insurance and Financial Services</t>
  </si>
  <si>
    <t>Postal and courier services</t>
  </si>
  <si>
    <t>Information and Communication</t>
  </si>
  <si>
    <t>Information and Communication Services</t>
  </si>
  <si>
    <t>Transport Services and Warehousing</t>
  </si>
  <si>
    <t>Software publishers</t>
  </si>
  <si>
    <t>Consumer Goods and Services</t>
  </si>
  <si>
    <t>Recreation and Culture</t>
  </si>
  <si>
    <t>Machinery / equipment not specific</t>
  </si>
  <si>
    <t>Equipment</t>
  </si>
  <si>
    <t>Machinery</t>
  </si>
  <si>
    <t>Computer/electronic and optical products</t>
  </si>
  <si>
    <t>Actual rentals</t>
  </si>
  <si>
    <t>Buildings and Infrastructure</t>
  </si>
  <si>
    <t>Housing</t>
  </si>
  <si>
    <t>Nonresidential maintenance and repair</t>
  </si>
  <si>
    <t>Maintenance and Repair</t>
  </si>
  <si>
    <t>Changes in inventories</t>
  </si>
  <si>
    <t>Operational Activities</t>
  </si>
  <si>
    <t>Office machinery and equipment rental and leasing</t>
  </si>
  <si>
    <t>Equipment Rental</t>
  </si>
  <si>
    <t>Professional Services and Activities</t>
  </si>
  <si>
    <t>Telecommunications services</t>
  </si>
  <si>
    <t>Vehicle Maintenance and Services</t>
  </si>
  <si>
    <t>Office Equipment</t>
  </si>
  <si>
    <t>Cosmetics/toiletries/personal care</t>
  </si>
  <si>
    <t>Personal Care and Accessories</t>
  </si>
  <si>
    <t>Private households with employed persons</t>
  </si>
  <si>
    <t>Domestic Services</t>
  </si>
  <si>
    <t>Electrical machinery and apparatus (not elsewhere specified)</t>
  </si>
  <si>
    <t>Electrical Equipment</t>
  </si>
  <si>
    <t>Paper Products</t>
  </si>
  <si>
    <t>Education</t>
  </si>
  <si>
    <t>Insurance and pension funding services (except compulsory social security services)</t>
  </si>
  <si>
    <t>Insurance Services</t>
  </si>
  <si>
    <t>Recreational/cultural and sporting services</t>
  </si>
  <si>
    <t>Furniture/other manufactured goods (not elsewhere specified)</t>
  </si>
  <si>
    <t>Furnishings and Household</t>
  </si>
  <si>
    <t>Food/Beverages/Tobacco</t>
  </si>
  <si>
    <t>Accommodation services</t>
  </si>
  <si>
    <t>Accommodation</t>
  </si>
  <si>
    <t>Motor vehicles/trailers and semi-trailers</t>
  </si>
  <si>
    <t>Construction/mining and forestry machinery and equipment rental and leasing</t>
  </si>
  <si>
    <t>Materials and Manufacturing</t>
  </si>
  <si>
    <t>Clothing</t>
  </si>
  <si>
    <t>Clothing and Footwear</t>
  </si>
  <si>
    <t>Bricks/tiles and construction products in baked clay</t>
  </si>
  <si>
    <t>Building Materials</t>
  </si>
  <si>
    <t>Fabricated metal products/except machinery and equipment</t>
  </si>
  <si>
    <t>Fabricated Metal Products</t>
  </si>
  <si>
    <t>Other waste for treatment: waste water treatment</t>
  </si>
  <si>
    <t>Waste</t>
  </si>
  <si>
    <t>Waste Management</t>
  </si>
  <si>
    <t>Glass and Glass Products</t>
  </si>
  <si>
    <t>Electric passenger train</t>
  </si>
  <si>
    <t>Diesel city bus</t>
  </si>
  <si>
    <t>Retail trade (except of motor vehicles and motorcycles) and repair of personal and household goods (services)</t>
  </si>
  <si>
    <t>General Retail</t>
  </si>
  <si>
    <t>Non-profit institutions serving households</t>
  </si>
  <si>
    <t>Construction work</t>
  </si>
  <si>
    <t>Construction</t>
  </si>
  <si>
    <t>Data processing/hosting and related services</t>
  </si>
  <si>
    <t>Hotel stay</t>
  </si>
  <si>
    <t>Chemical and fertilizer minerals/salt and other mining and quarrying products (not elsewhere specified)</t>
  </si>
  <si>
    <t>Chemical Products</t>
  </si>
  <si>
    <t>Public administration and defense services/compulsory social security services</t>
  </si>
  <si>
    <t>Government Activities</t>
  </si>
  <si>
    <t>Short-haul flight - (&lt;1000km) with RF effect</t>
  </si>
  <si>
    <t>Air Travel</t>
  </si>
  <si>
    <t>Plastics and Rubber Products</t>
  </si>
  <si>
    <t xml:space="preserve"> Air transport services</t>
  </si>
  <si>
    <t xml:space="preserve"> Other aircraft parts and auxiliary equipment manufacturing</t>
  </si>
  <si>
    <t xml:space="preserve"> Vehicle Parts</t>
  </si>
  <si>
    <t xml:space="preserve"> Basic iron and steel and of ferroalloys and first products thereof</t>
  </si>
  <si>
    <t xml:space="preserve"> Metals</t>
  </si>
  <si>
    <t xml:space="preserve"> Machinery / equipment not specific</t>
  </si>
  <si>
    <t xml:space="preserve"> Building material and garden equipment and supplies dealers</t>
  </si>
  <si>
    <t xml:space="preserve"> DIY and Gardening Equipment</t>
  </si>
  <si>
    <t xml:space="preserve"> Construction work</t>
  </si>
  <si>
    <t xml:space="preserve"> Health and personal care stores</t>
  </si>
  <si>
    <t xml:space="preserve"> Asphalt paving mixture and block manufacturing</t>
  </si>
  <si>
    <t xml:space="preserve"> Ferry (average per passenger)</t>
  </si>
  <si>
    <t>EPA 2022</t>
  </si>
  <si>
    <t>Computing</t>
  </si>
  <si>
    <t>EPA 2018</t>
  </si>
  <si>
    <t>BEIS 2018</t>
  </si>
  <si>
    <t>EPA 2019</t>
  </si>
  <si>
    <t>Klarakarbon Scope 2 Electricity</t>
  </si>
  <si>
    <t>Klarakarbon Scope 2 District Heating</t>
  </si>
  <si>
    <t>BEIS 2020</t>
  </si>
  <si>
    <t>EXIOBASE 2020</t>
  </si>
  <si>
    <t>BEIS 2023</t>
  </si>
  <si>
    <t>Klarakarbon Scope 3 Category 4 Transport</t>
  </si>
  <si>
    <t>Klarakarbon Scope 3 Category 1 Procurement</t>
  </si>
  <si>
    <t>Klarakarbon Scope 3 Category 5 Waste</t>
  </si>
  <si>
    <t>Medium-haul flight (&gt;1000km &lt;3500km) - with RF effect</t>
  </si>
  <si>
    <t>Hotels (except casino hotels) and motels</t>
  </si>
  <si>
    <t>Road passenger transport</t>
  </si>
  <si>
    <t>Average passenger car short distance</t>
  </si>
  <si>
    <t>Ferry (passenger with car)</t>
  </si>
  <si>
    <t>Sea Travel</t>
  </si>
  <si>
    <t>Truck transport</t>
  </si>
  <si>
    <t>Train Travel</t>
  </si>
  <si>
    <t>Klarakarbon Scope 3 Transport</t>
  </si>
  <si>
    <t>Klarakarbon Scope 3 Procurement</t>
  </si>
  <si>
    <t xml:space="preserve">Not specified </t>
  </si>
  <si>
    <t>Machine</t>
  </si>
  <si>
    <t>303S010</t>
  </si>
  <si>
    <t>303F010</t>
  </si>
  <si>
    <t>3x3x2"/88.9x88.9x60.3mm No. 25 Reducing Tee Orange Grooved</t>
  </si>
  <si>
    <t>3"/88.9mm Style 107V Coupling Orange EHP VP Metric B/N</t>
  </si>
  <si>
    <t>2"/60.3mm Style 107V Coupling Orange EHP VP Metric B/N_x005F_x000D_</t>
  </si>
  <si>
    <r>
      <t>3x2"/88.9x60.3mm No. 50 Concentric Reducer Orange E/E=2 1/2"</t>
    </r>
    <r>
      <rPr>
        <i/>
        <sz val="11"/>
        <color theme="1"/>
        <rFont val="Aptos Narrow"/>
        <family val="2"/>
        <scheme val="minor"/>
      </rPr>
      <t>x000D</t>
    </r>
  </si>
  <si>
    <t>3x1 "/88.9x33.7mm No 60 Cap Eccentric Tap Orange BSPT</t>
  </si>
  <si>
    <t>3"/88.9mm No. V10 QuickVic Elbow 90 Degree Orange</t>
  </si>
  <si>
    <t>Seamless Pipe 3/4" Sch 80 ASTM A106 Gr.B</t>
  </si>
  <si>
    <t>Seamless Pipe 1" Sch 80 ASTM A106 Gr.B Pipe</t>
  </si>
  <si>
    <t>Pipe 219,1 X 3,2 MM Welded, Welding fator Z=1.0 / P235TR2/ EN 10217-1</t>
  </si>
  <si>
    <t>Pipe 114,3 X 3,6 MM Welded, Welding fator Z=1.0 / P235TR2/ EN 10217-1</t>
  </si>
  <si>
    <t>4"/114.3mm Style 107V Coupling Orange EHP VP Metric B/N_x005F_x000D_</t>
  </si>
  <si>
    <t>Tubo 6m A106 Gr.B Ø 2'' xxs'</t>
  </si>
  <si>
    <t>Pipe DN100 EN 10216-2 (114,3x3,6) P235GH TC1</t>
  </si>
  <si>
    <t>2x4"/60.3x102mm No 40 Groove x BSPM Thread Adapter Nipple Unpainted</t>
  </si>
  <si>
    <t>8"/219.1mm Style 107V Coupling Orange EHP VP Metric B/N</t>
  </si>
  <si>
    <t>8x8x4"/219.1x219.1x114.3 mm No. 25 Grooved Branch Reducing Tee Orange C/E=196.9mm</t>
  </si>
  <si>
    <t>8x8x6"/219.1x219.1x168.3mm No 25 Reducing Tee Orange Grooved</t>
  </si>
  <si>
    <t>4"x76.1mm/114.3x76.1mm No 50 Concentric Reducer Orange</t>
  </si>
  <si>
    <t>8x6"/219.1x168.3mm No 50 Concentric Reducer Orange</t>
  </si>
  <si>
    <t>6x1"/168.3x33.7mm No 60 Cap Eccentric Tap Orange BSPT</t>
  </si>
  <si>
    <t>4"/114.3mm No. V10 QuickVic Elbow 90 Degree Orange</t>
  </si>
  <si>
    <t>8"/219.1mm No. V10 QuickVic Elbow 90 Degree Orange</t>
  </si>
  <si>
    <t>8"/219.1mm No. V11 QuickVic Elbow 45 Degree Orange</t>
  </si>
  <si>
    <t>4"/114.3mm Series 716 Vic-Check Valve Black EPDM Standard Machined No Drain Tap V040141000</t>
  </si>
  <si>
    <t>8"/219.1mm Series 716 Vic-Check Valve Black EPDM Standard Machined No Drain Tap V080141000</t>
  </si>
  <si>
    <t>8"/219.1mm Series 761 Vic-300 MasterSeal Butterfly Valve Black EPDM Dew Block Gear Operator and Handwheel</t>
  </si>
  <si>
    <t>Union DN20 P235Gh EN 10241</t>
  </si>
  <si>
    <t>Concentric Reduction P235 Gh Dn150xDn80</t>
  </si>
  <si>
    <t>Tubo S/C 6m P235 Gh Tc1 Dn15 Esp. 2,6mm</t>
  </si>
  <si>
    <t>Tubo S/C 6m P235 GH TC1 DN50 Esp.2,9mm</t>
  </si>
  <si>
    <t>Tubo S/C 6m P235 GH TC1 DN65 Esp.2,9mm</t>
  </si>
  <si>
    <t>Tubo S/C 6m 16mo3 Dn80 Esp. 3,2mm</t>
  </si>
  <si>
    <t>P/PIPE 4/114MM EN10217-2 WALL P235TR2</t>
  </si>
  <si>
    <t>Tubo S/C DN125 P235GH TC1 EN10217-2</t>
  </si>
  <si>
    <t>Tubo S/C 6m P235 Gh Tc1 Dn150 Esp. 4mm</t>
  </si>
  <si>
    <t>Tubo S/C 6m P235 GH TC1 DN200 Esp.6,3mm</t>
  </si>
  <si>
    <t>4"/114.3mm Style 107V Coupling Orange EHP VP Metric B/N</t>
  </si>
  <si>
    <t>2"/60.3mm No. V20 QuickVic Tee Orange</t>
  </si>
  <si>
    <t>139.7x139.7mmx4"/139.7x139.7x114.3mm No 25 Grooved Branch Reducing Tee Orange</t>
  </si>
  <si>
    <t>139.7x139.7mmx2"/139.7x139.7x60.3mm No 25 Grooved Branch Reducing Tee Orange</t>
  </si>
  <si>
    <t>2"/60.3mm Style 107V Coupling Orange EHP VP Metric B/N</t>
  </si>
  <si>
    <t>139.7mm Style 107V Coupling Orange EHP VP Metric B/N</t>
  </si>
  <si>
    <t>1 1/2"/48.3mm No 80 Adapter Nipple Cast Orange GroovedxBSPT Female</t>
  </si>
  <si>
    <t>2x1 1/2"/60.3x48.3mm No 50 Concentric Reducer Orange</t>
  </si>
  <si>
    <t>139.7mm No. V10 QuickVic Elbow 90 Degree Orange</t>
  </si>
  <si>
    <t>2"/60.3mm No. V11 QuickVic Elbow 45 Degree Orange</t>
  </si>
  <si>
    <t>8"/219.1mm No. V20 QuickVic Tee Orange</t>
  </si>
  <si>
    <t>10x8"/273x219.1mm No 51 Eccentric Reducer Orange E/E=7"</t>
  </si>
  <si>
    <t>10x8"/273x219.1mm No 50 Concentric Reducer Orange</t>
  </si>
  <si>
    <t>8x1"/219.1x33.7mm No 60 Cap Eccentric Tap Orange BSPT</t>
  </si>
  <si>
    <t>Tubo 6m A106 Gr.B Ø 1/2'' Xs</t>
  </si>
  <si>
    <t>Tubo 6m A106 Gr.B Ø 1 1/2'' Xs</t>
  </si>
  <si>
    <t>Tubo S/C 6m A106 Gr.B Ø 2 Xs</t>
  </si>
  <si>
    <t>3x1 1/2"/88.9x48.3mm No. 50 Concentric Reducer Orange E/E=2 1/2"</t>
  </si>
  <si>
    <t>8x3"/219.1x88.9mm No 50 Concentric Reducer Orange</t>
  </si>
  <si>
    <t>1 1/2x4"/48.3x102mm No 40 Groove x BSPM Thread Adapter Nipple Unpainted</t>
  </si>
  <si>
    <t>1 1/2"/48.3mm No 10 90 Degree Elbow Orange</t>
  </si>
  <si>
    <t>8"/219.1mm No 10 90 Degree Elbow Orange</t>
  </si>
  <si>
    <t>In-house prefabrication</t>
  </si>
  <si>
    <t>8"/219.1mm No 11 45 Degree Elbow Orange</t>
  </si>
  <si>
    <t>8"/219.1mm No. 13 Elbow 11 1/4 Degree Orange C/E=2"</t>
  </si>
  <si>
    <t>8"/219.1mm No. 12 Elbow 22 1/2 Degree Orange C/E=3.88"</t>
  </si>
  <si>
    <t>5"/141.3mm Style 107V Coupling Orange EHP VP Metric B/N</t>
  </si>
  <si>
    <t>5"/141.3mm No. V10 QuickVic Elbow 90 Degree Orange</t>
  </si>
  <si>
    <t>5"/141.3mm No. V11 QuickVic Elbow 45 Degree Orange</t>
  </si>
  <si>
    <t>12"/323.9mm Style 107V Coupling Orange EHP VP Metric B/N</t>
  </si>
  <si>
    <t>12"/323.9mm No. V10 QuickVic Elbow 90 Degree Orange</t>
  </si>
  <si>
    <t>6"/168.3mm No. V10 QuickVic Elbow 90 Degree Orange</t>
  </si>
  <si>
    <t>6"/168.3mm Series 761 Vic-300 MasterSeal Butterfly Valve Black EPDM Dew Block Gear Operator and Handwheel</t>
  </si>
  <si>
    <t>12"/323.9mm Series 761 Vic-300 MasterSeal Butterfly Valve Black EPDM Dew Block Gear Operator and Handwheel</t>
  </si>
  <si>
    <t>6"/168.3mm No. V11 QuickVic Elbow 45 Degree Orange</t>
  </si>
  <si>
    <t>Welded Pipe P235 Gh Tc1 DN300 Esp.5,6mm</t>
  </si>
  <si>
    <t>12"/323.9mm No. V11 QuickVic Elbow 45 Degree Orange</t>
  </si>
  <si>
    <t>Nuts M6M M8 FZB</t>
  </si>
  <si>
    <t>Neck Adjustment Muffler</t>
  </si>
  <si>
    <r>
      <t>6"/168.3mm No. 13 Elbow 11 1/4 Degree Orange C/E=2"</t>
    </r>
    <r>
      <rPr>
        <i/>
        <sz val="11"/>
        <color theme="1"/>
        <rFont val="Aptos Narrow"/>
        <family val="2"/>
        <scheme val="minor"/>
      </rPr>
      <t>x000D</t>
    </r>
  </si>
  <si>
    <t>6x4"/168.3x114.3mm No 50 Concentric Reducer Orange_x005F_x000D_</t>
  </si>
  <si>
    <t>4"/114.3mm No. V11 QuickVic Elbow 45 Degree Orange_x005F_x000D_</t>
  </si>
  <si>
    <r>
      <t>4"/114.3mm No. 13 Elbow 11 1/4 Degree Orange C/E=1 3/4"</t>
    </r>
    <r>
      <rPr>
        <i/>
        <sz val="11"/>
        <color theme="1"/>
        <rFont val="Aptos Narrow"/>
        <family val="2"/>
        <scheme val="minor"/>
      </rPr>
      <t>x000D</t>
    </r>
  </si>
  <si>
    <t>6x4"/168.3x114.3mm No 50 Concentric Reducer Orange</t>
  </si>
  <si>
    <t>8x4"/219.1x114.3mm No 50 Concentric Reducer Orange_x005F_x000D_</t>
  </si>
  <si>
    <t>Seamless Pipe ASTM A 333 Gr.P6 Ø 3/4" SCH xxx</t>
  </si>
  <si>
    <t>Seamless Pipe ASTM A 333 Gr.P6 Ø 2'' SCH 40</t>
  </si>
  <si>
    <t>Seamless Pipe ASTM A 333 Gr.P6 Ø 5'' Sch 40</t>
  </si>
  <si>
    <t>Seamless Pipe ASTM A 333 Gr.P6 Ø 6'' Sch 40</t>
  </si>
  <si>
    <t>Seamless Pipe ASTM A 333 Gr.P6 Ø 8'' Sch 40</t>
  </si>
  <si>
    <t>Seamless Pipe ASTM A 333 Gr.P6 Ø 12'' Sch 30</t>
  </si>
  <si>
    <t>2 Sch80 Pipe, Smls, Beveled Ends, CS, ASTM A106-B, Dims to ASME B36.10</t>
  </si>
  <si>
    <t>8x8x5"/219.1x219.1x141.3mm No 25 Reducing Tee Orange Grooved C/E=7 3/4"</t>
  </si>
  <si>
    <t>6"/168.3mm No. V20 QuickVic Tee Orange</t>
  </si>
  <si>
    <t>6x6x2"/168.3x168.3x60mm No 25 Reducing Tee Orange Grooved</t>
  </si>
  <si>
    <t>2"/60.3mm No. 60 Cap Orange</t>
  </si>
  <si>
    <t>12x12"x76.1mm/323.9x323.9x76.1mm No 25 Grooved Branch Reducing Tee Orange SWS</t>
  </si>
  <si>
    <t>12x12x10"/323.9x323.9x273mm No 25 Grooved Branch Reducing Tee Orange UL/FM-Marking</t>
  </si>
  <si>
    <t>12x12x8"/323.9x323.9x219.1mm No 25 Grooved Branch Reducing Tee Orange</t>
  </si>
  <si>
    <t>16"/406.4mm Series W761 AGS Vic-300MS Butterfly Valve Black EPDM Dew Block Gear Operator Handwheel W160761SE3/W160158320</t>
  </si>
  <si>
    <t>16x12 in/406.4x323.9 mm Style W50 AGS Concentric Reducer Orange Cast AGSxSTD GRV E/E=14</t>
  </si>
  <si>
    <t>16 in/406.4 mm Style W10 Advanced Groove System 90 Degree Elbow Orange C/E=16</t>
  </si>
  <si>
    <t>12x8"/323.9x203mm No 43 Adapter Nipple Unpainted Cut Groove x Cut Grooved</t>
  </si>
  <si>
    <t>12x10"/323.9x273mm No 50 Concentric Reducer Orange</t>
  </si>
  <si>
    <t>Seamless Pipe ASTM A333 Gr.6 Ø 8'' Sch 20</t>
  </si>
  <si>
    <t>6"/168.3mm No 10 90 Degree Elbow Orange</t>
  </si>
  <si>
    <t>Tubo 6m 2'' A106 Std</t>
  </si>
  <si>
    <t>76.1x76.1x2"/76.1x76.1x60.3mm No 25 Grooved Branch Reducing Tee Orange</t>
  </si>
  <si>
    <t>76.1mmx2"/76.1x60.3mm No 50 Concentric Reducer Orange E/E=2 1/2"</t>
  </si>
  <si>
    <t>76.1x102mm No 43 Adapter Nipple Unpainted Cut Grooved x Cut Grooved</t>
  </si>
  <si>
    <t>2"/60.3mm No. 10 Elbow 90 Degree Orange</t>
  </si>
  <si>
    <t>Seamless Pipe A333 Gr.6 Ø 3'' Std</t>
  </si>
  <si>
    <t>Seamless Pipe A333 Gr.6 Ø 4'' Std</t>
  </si>
  <si>
    <t>2"/60.3mm No 20 Tee Orange</t>
  </si>
  <si>
    <t>2x1 1/2"/60.3x48.3mm No. 52 Threaded Reducer Orange BSPT Male E/E=2 1/2"</t>
  </si>
  <si>
    <t>3"x76.1mm/88.9x76.1mm No. 50 Concentric Reducer Orange E/E=2 1/2"</t>
  </si>
  <si>
    <t>76.1mmx1 1/2"/76.1x48.3mm No 50 Concentric Reducer Orange E/E=63.5mm / 2 1/2"</t>
  </si>
  <si>
    <t>76.1mm Series 716 Vic-Check Valve PPS EPDM No Drain Tap V076312000</t>
  </si>
  <si>
    <t>4"/114.3mm No. V20 QuickVic Tee Orange</t>
  </si>
  <si>
    <t>4x4x3"/114.3x114.3x88.9mm No. 25 Reducing Tee Orange Grooved</t>
  </si>
  <si>
    <t>4x3"/114.3x88.9mm No 50 Concentric Reducer Orange E/E=3"</t>
  </si>
  <si>
    <t>4"/114.3mm No. 12 Elbow 22 1/2 Degree Orange C/E=2 7/8"</t>
  </si>
  <si>
    <t>Plastic Caps for Pipes 76.1mmm 2 1/2''</t>
  </si>
  <si>
    <t>PVC Boot With Steel Toe Cap And Insole 42</t>
  </si>
  <si>
    <t>PVC Boot With Steel Toe Cap And Insole 43</t>
  </si>
  <si>
    <t>Sweat-Shirt High visibility S</t>
  </si>
  <si>
    <t>Sweat-Shirt High visibility XXL</t>
  </si>
  <si>
    <t>PVC Boot With Steel Toe Cap And Insole 44</t>
  </si>
  <si>
    <t>Material por packing list (IG)</t>
  </si>
  <si>
    <t>Viseira Secret zone 0-38060-9101-98</t>
  </si>
  <si>
    <t>Sweat-Shirt High visibility L</t>
  </si>
  <si>
    <t>Sweat-Shirt High visibility XL</t>
  </si>
  <si>
    <t>White Roulette Helmet w/Mecwide Logo</t>
  </si>
  <si>
    <t>Anti-impact and anti-cut gloves No. 8</t>
  </si>
  <si>
    <t>Argon Welder Glove Handle 15cm No. 9</t>
  </si>
  <si>
    <t>Anti-impact and anti-cut gloves No. 7</t>
  </si>
  <si>
    <t>HiVis Winter Park Fluor Y/Blac Wenaas L</t>
  </si>
  <si>
    <t>Heating Pants L</t>
  </si>
  <si>
    <t>XXL Heating Pants</t>
  </si>
  <si>
    <t>XL High Visibility Cotton Jacket</t>
  </si>
  <si>
    <t>High visibility cotton jacket S</t>
  </si>
  <si>
    <t>High visibility cotton jacket M</t>
  </si>
  <si>
    <t>High visibility cotton jacket L</t>
  </si>
  <si>
    <t>Work Pants 58</t>
  </si>
  <si>
    <t>Work Pants 52</t>
  </si>
  <si>
    <t>Work Pants 48</t>
  </si>
  <si>
    <t>Marine Power Stretch Pants (Warehouse)</t>
  </si>
  <si>
    <t>XXL High Visibility Cotton Jacket</t>
  </si>
  <si>
    <t>Harness 2 Point Attack</t>
  </si>
  <si>
    <t>Y Rope For Harnesses With Absorber</t>
  </si>
  <si>
    <t>Work Pants 56</t>
  </si>
  <si>
    <t>Winter Boot 39</t>
  </si>
  <si>
    <t>EPIs</t>
  </si>
  <si>
    <t>Sweat-Shirt High visibility M</t>
  </si>
  <si>
    <t>Work Pants 50</t>
  </si>
  <si>
    <t>Locksmith Protection Boot 39</t>
  </si>
  <si>
    <t>Locksmith Protection Boot 38</t>
  </si>
  <si>
    <t>Locksmith Protection Boot 40</t>
  </si>
  <si>
    <t>Locksmith Protection Boot 43</t>
  </si>
  <si>
    <t>Locksmith Protection Boot 44</t>
  </si>
  <si>
    <t>Locksmith Protection Boot 45</t>
  </si>
  <si>
    <t>Locksmith Protection Boot 46</t>
  </si>
  <si>
    <t>HiVis Winter Parlier Fluor Y/Blac Wenaas S</t>
  </si>
  <si>
    <t>HiVis Winter Park Fluor Y/Blac Wenaas M</t>
  </si>
  <si>
    <t>Francalete with 3 attachment points for helmet 3M (G3501)</t>
  </si>
  <si>
    <t>Protective Visor. For Helmet</t>
  </si>
  <si>
    <t>Tool Safety Harness</t>
  </si>
  <si>
    <t>Replacement Sweatband for Welding Helmets Pyramex pack of 2 – WHBAND2</t>
  </si>
  <si>
    <t>Inside cover plate for Pyramex WHAM10 pack of 5 – RIWH10PH5</t>
  </si>
  <si>
    <t>Front cover plate for Pyramex WHAM10 pack of 5 - ROWH10PK5</t>
  </si>
  <si>
    <t>ANKLE BOOT VERNER SCOTIA - Size 44</t>
  </si>
  <si>
    <t>ANKLE BOOT VERNER SCOTIA - Size 43</t>
  </si>
  <si>
    <t>ANKLE BOOT VERNER SCOTIA - Size 42</t>
  </si>
  <si>
    <t>ANKLE BOOT VERNER SCOTIA - Size 41</t>
  </si>
  <si>
    <t>ANKLE BOOT VERNER SCOTIA - Size 40</t>
  </si>
  <si>
    <t>Softshell Visibility Jacket - Size M</t>
  </si>
  <si>
    <t>Softshell Visibility Jacket - Size L</t>
  </si>
  <si>
    <t>Berserk Borg Size 43</t>
  </si>
  <si>
    <t>Berserk Borg Size 42</t>
  </si>
  <si>
    <t>HiVis Sweatshirt - Size M</t>
  </si>
  <si>
    <t>HiVis Sweatshirt - Size L</t>
  </si>
  <si>
    <t>Y Rope For Harnesses Without Absorber</t>
  </si>
  <si>
    <t>Helmet with Roulette 4 points Green with Mecwide Logo</t>
  </si>
  <si>
    <t>ANKLE BOOT VERNER SCOTIA - Size 46</t>
  </si>
  <si>
    <t>Cut protection glove Wenaas 420 - nº10</t>
  </si>
  <si>
    <t>Filter Pr A1b1e1k1 P3 6059</t>
  </si>
  <si>
    <t>Berserk Borg Size 46</t>
  </si>
  <si>
    <t>Cut protection glove Wenaas 420 - nº11</t>
  </si>
  <si>
    <t>Glove Wenaas 485 8</t>
  </si>
  <si>
    <t>Glove Wenaas 485 9</t>
  </si>
  <si>
    <t>Glove Wenaas 485 10</t>
  </si>
  <si>
    <t>Glove Wenaas 485 11</t>
  </si>
  <si>
    <t>Nylon Disc with Spike for Straight Grinder</t>
  </si>
  <si>
    <t>Guide for Crane Drill 12mm Part Number: SRA3057</t>
  </si>
  <si>
    <t>13mm Open End Wrench</t>
  </si>
  <si>
    <t>24mm Open End Wrench</t>
  </si>
  <si>
    <t>Botigas Gás Rental Services</t>
  </si>
  <si>
    <t>EPI/EPC</t>
  </si>
  <si>
    <t>Industrial gases</t>
  </si>
  <si>
    <t>HE13280-18 Headquarters</t>
  </si>
  <si>
    <t>Staff store</t>
  </si>
  <si>
    <t>Cable reel - 10164 Runpolifer 4500</t>
  </si>
  <si>
    <t>Superstructure - Mv Switchroom 2</t>
  </si>
  <si>
    <t>Energen Fire Extinguishing System in Mechanical Space and IT Rooms</t>
  </si>
  <si>
    <t>RC Floor slab</t>
  </si>
  <si>
    <t>Chillers (material and installation), Part A</t>
  </si>
  <si>
    <t>Snow melting system</t>
  </si>
  <si>
    <t>Outside containment, POD,s and Genset (ca 60m/Pod and/genset)</t>
  </si>
  <si>
    <t>Supply and Installation Victaulic Valve</t>
  </si>
  <si>
    <t>IT supplies</t>
  </si>
  <si>
    <t>T-Shirt M c/Logo Dc Piping</t>
  </si>
  <si>
    <t>T-Shirt L c/Logo Dc Piping</t>
  </si>
  <si>
    <t>T-Shirt XL c/Logo Dc Piping</t>
  </si>
  <si>
    <t>T-Shirt XXL c/Logo Dc Piping</t>
  </si>
  <si>
    <t>T-Shirt XXXL c/Logo Dc Piping</t>
  </si>
  <si>
    <t>Technical Steel container structure</t>
  </si>
  <si>
    <t>Dowcal 200E (glycol)</t>
  </si>
  <si>
    <t>Wireless doorbell</t>
  </si>
  <si>
    <t>Snow broom with ice scraper</t>
  </si>
  <si>
    <t>9V Alkaline Battery</t>
  </si>
  <si>
    <t>Suitcase</t>
  </si>
  <si>
    <t>Cups</t>
  </si>
  <si>
    <t>Toilet paper</t>
  </si>
  <si>
    <t>Oleo GLP100 5L</t>
  </si>
  <si>
    <t>Opex Non-Fiscal Fines</t>
  </si>
  <si>
    <t>SEM62.2 Transformer 30VA</t>
  </si>
  <si>
    <t>Wrench 18</t>
  </si>
  <si>
    <t>Wrench 12</t>
  </si>
  <si>
    <t>Contentor Twist Lock</t>
  </si>
  <si>
    <t>Lifting Strap 1ton/1m</t>
  </si>
  <si>
    <t>Lifting Strap 2ton/1m</t>
  </si>
  <si>
    <t>Lifting Strap 2ton/3m</t>
  </si>
  <si>
    <t>Lifting Strap 3ton/2m</t>
  </si>
  <si>
    <t>Lifting Strap 4ton/3m</t>
  </si>
  <si>
    <t>IFC050W 230VAC MOD</t>
  </si>
  <si>
    <t>1 x 26 nipple socket Flex-press</t>
  </si>
  <si>
    <t>Half Mask 3M 4255+ FFA2P3RD</t>
  </si>
  <si>
    <t>3"/88.9mm Series 761 Vic-300 MasterSeal Butterfly Valve</t>
  </si>
  <si>
    <t>Industrial steel butterfly valve</t>
  </si>
  <si>
    <t>2"/60.3mm Series 761 Vic-300 MasterSeal Butterfly Valve</t>
  </si>
  <si>
    <t>4"/114.3mm Series 761 Vic-300 MasterSeal Butterfly Valve</t>
  </si>
  <si>
    <t>139.7mm Series 761 Vic-300 MasterSeal Butterfly Valve</t>
  </si>
  <si>
    <t>2"/60.3mm Series 761 Vic-300 Butterfly Valve (Bare Stem)</t>
  </si>
  <si>
    <t>8"/219.1mm Series 761 Vic-300 Butterfly Valve (Bare Stem)</t>
  </si>
  <si>
    <t>1 1/2"/48.3mm Series 726 Ball Valve</t>
  </si>
  <si>
    <t>Industrial steel ball valve</t>
  </si>
  <si>
    <t>3"/88.9mm Style 177N QuickVic Flexible Coupling</t>
  </si>
  <si>
    <t>Steel pipe flexible coupling</t>
  </si>
  <si>
    <t>2"/60.3mm Style 177N QuickVic Flexible Coupling</t>
  </si>
  <si>
    <t>4"/114.3mm Style 177N QuickVic Flexible Coupling</t>
  </si>
  <si>
    <t>6"/168.3mm Style 177N QuickVic Flexible Coupling</t>
  </si>
  <si>
    <t>8"/219.1mm Style 177N QuickVic Flexible Coupling</t>
  </si>
  <si>
    <t>10"/273mm Style 77 Standard Flexible Coupling</t>
  </si>
  <si>
    <t>1 1/2"/48.3mm Style 77 Standard Flexible Coupling</t>
  </si>
  <si>
    <t>1 1/2"/48.3mm Style 07 Zero-Flex Rigid Coupling</t>
  </si>
  <si>
    <t>Steel pipe rigid coupling</t>
  </si>
  <si>
    <t>2"/60.3mm Style 07 Zero-Flex Rigid Coupling</t>
  </si>
  <si>
    <t>6"/168.3mm Style 07 Zero-Flex Rigid Coupling</t>
  </si>
  <si>
    <t>2"/60.3mm No. V10 QuickVic Elbow 90 Degree</t>
  </si>
  <si>
    <t>Steel pipe elbow fitting</t>
  </si>
  <si>
    <t>4"/114.3mm No. V10 QuickVic Elbow 90 Degree</t>
  </si>
  <si>
    <t>4"/114.3mm No. V11 QuickVic Elbow 45 Degree</t>
  </si>
  <si>
    <t>139.7mmx2" Style 920N Mechanical-T</t>
  </si>
  <si>
    <t>Steel mechanical tee fitting</t>
  </si>
  <si>
    <t>139.7mmx1 1/2" Style 920N Mechanical-T</t>
  </si>
  <si>
    <t>8x2" Style 920 Mechanical-T</t>
  </si>
  <si>
    <t>8x8x2" Reducing Tee (Grooved Welded Steel)</t>
  </si>
  <si>
    <t>Welded steel pipe tee</t>
  </si>
  <si>
    <t>4-8x3/4" Style 923 Vic-Let Strapless Outlet</t>
  </si>
  <si>
    <t>Steel pipe outlet fitting</t>
  </si>
  <si>
    <t>4-8x1/2" Style 923 Vic-Let Strapless Outlet</t>
  </si>
  <si>
    <t>10-Larger x3/4" Style 923 Vic-Let Strapless Outlet</t>
  </si>
  <si>
    <t>8x6" No 41-DN Flanged Adapter Nipple</t>
  </si>
  <si>
    <t>Steel flanged adapter</t>
  </si>
  <si>
    <t>3"x64mm No 45RE Flanged Adapter Nipple</t>
  </si>
  <si>
    <t>6"x70mm No 45RE Flanged Adapter Nipple</t>
  </si>
  <si>
    <t>Welded steel pipes DN150 EN10217-2</t>
  </si>
  <si>
    <t>Welded steel pipes</t>
  </si>
  <si>
    <t>Steel coupling EN10241</t>
  </si>
  <si>
    <t>Steel pipe coupling</t>
  </si>
  <si>
    <t>Series 731-D Suction Diffuser</t>
  </si>
  <si>
    <t>Steel pipe suction diffuser</t>
  </si>
  <si>
    <t>Pi-Tape</t>
  </si>
  <si>
    <t>Measuring tape (industrial tool)</t>
  </si>
  <si>
    <t>VIC Lube</t>
  </si>
  <si>
    <t>Industrial lubricant</t>
  </si>
  <si>
    <t>Branded workwear t-shirt</t>
  </si>
  <si>
    <t>Seamless Pipe ASTM A333 Gr.P6 Ø16"</t>
  </si>
  <si>
    <t>Seamless alloy steel pipe</t>
  </si>
  <si>
    <t>5"/141.3mm Style 177N QuickVic Flexible Coupling</t>
  </si>
  <si>
    <t>12"/323.9mm Style 77 Standard Flexible Coupling</t>
  </si>
  <si>
    <t>5"/141.3mm Series 761 Vic-300 Butterfly Valve (Bare Stem)</t>
  </si>
  <si>
    <t>2x3/4"/60.3x26.9mm Style 920N Mechanical-T</t>
  </si>
  <si>
    <t>10-Larger x1/2" Style 923 Vic-Let Strapless Outlet</t>
  </si>
  <si>
    <t>12"/323.9mm Style 107V QuickVic Rigid Coupling</t>
  </si>
  <si>
    <t>16"/406.4mm Style W07 AGS Rigid Coupling</t>
  </si>
  <si>
    <t>10"/273mm Style 107V QuickVic Rigid Coupling</t>
  </si>
  <si>
    <t>8"/219.1mm Style 107V QuickVic Rigid Coupling</t>
  </si>
  <si>
    <t>2"/60.3mm Style 107V QuickVic Rigid Coupling</t>
  </si>
  <si>
    <t>16x16x12" Style W25 AGS Reducing Tee</t>
  </si>
  <si>
    <t>Welded steel reducing tee</t>
  </si>
  <si>
    <t>12x12x2" No 25 Grooved Branch Reducing Tee</t>
  </si>
  <si>
    <t>10"/273mm No. V10 QuickVic Elbow 90 Degree</t>
  </si>
  <si>
    <t>10"/273mm No. V11 QuickVic Elbow 45 Degree</t>
  </si>
  <si>
    <t>4"/114.3mm No 10 Elbow 90 Degree</t>
  </si>
  <si>
    <t>8x4"/219.1x114.3mm No 50 Concentric Reducer</t>
  </si>
  <si>
    <t>Steel concentric reducer</t>
  </si>
  <si>
    <t>10"/273mm Series 761 Vic-300 Butterfly Valve (Gear Operator)</t>
  </si>
  <si>
    <t>76.1mm No. V10 QuickVic Elbow 90 Degree</t>
  </si>
  <si>
    <t>76.1mm No 80 Adapter Nipple Cast Grooved x BSPT Female</t>
  </si>
  <si>
    <t>Cast steel adapter nipple</t>
  </si>
  <si>
    <t>1 1/4"/42.4mm No 80 Adapter Nipple Cast Grooved x BSPT Female</t>
  </si>
  <si>
    <t>2 Inch / 60.3mm Series 732 Wye Type Vic-Strainer</t>
  </si>
  <si>
    <t>Steel wye strainer</t>
  </si>
  <si>
    <t>3 Inch / 88.9mm Series 732 Wye Type Vic-Strainer</t>
  </si>
  <si>
    <t>4 Inch / 114.3mm Series 732 Wye Type Vic-Strainer</t>
  </si>
  <si>
    <t>76.1mm No. V11 QuickVic Elbow 45 Degree</t>
  </si>
  <si>
    <t>3"/88.9mm No. V11 QuickVic Elbow 45 Degree</t>
  </si>
  <si>
    <t>3"/88.9mm Style 107V QuickVic Rigid Coupling</t>
  </si>
  <si>
    <t>4"/114.3mm Style 107V QuickVic Rigid Coupling</t>
  </si>
  <si>
    <t>90mm HDPE × 3"/88.9mm Style 907 Coupling (HDPE–Steel)</t>
  </si>
  <si>
    <t>Plastic–steel pipe transition coupling</t>
  </si>
  <si>
    <t>12x4"/323.9x114.3mm No 50 Steel Concentric Reducer (with tangent)</t>
  </si>
  <si>
    <t>Structural steel construction</t>
  </si>
  <si>
    <t>LK Presspex tip union 32 mm x 1"</t>
  </si>
  <si>
    <t>Brass/metal pipe fitting</t>
  </si>
  <si>
    <t>Presspex union internal 32 mm x 1"</t>
  </si>
  <si>
    <t>Elbow 90° 50 mm for Alupex pipe</t>
  </si>
  <si>
    <t>Metal pipe elbow fitting</t>
  </si>
  <si>
    <t>LK Universal pipe PAL 40 mm (5 m)</t>
  </si>
  <si>
    <t>Composite metal–plastic pipe</t>
  </si>
  <si>
    <t>MUFFE LK Presspex A50mm</t>
  </si>
  <si>
    <t>Brass/metal pipe coupling</t>
  </si>
  <si>
    <t>Elbow 45° A50 for Alupex pipe</t>
  </si>
  <si>
    <t>3/4R Mess Nipple</t>
  </si>
  <si>
    <t>Brass threaded nipple</t>
  </si>
  <si>
    <t>Plug Brass 3/4R</t>
  </si>
  <si>
    <t>Brass plug fitting</t>
  </si>
  <si>
    <t>Pipe support 75 mm AISI 316</t>
  </si>
  <si>
    <t>Stainless steel pipe support</t>
  </si>
  <si>
    <t>Screw clamp w/ damping rubber 316</t>
  </si>
  <si>
    <t>Stainless steel clamp with rubber</t>
  </si>
  <si>
    <t>Screw clamp w/ damping rubber 2S</t>
  </si>
  <si>
    <t>Steel clamp with rubber</t>
  </si>
  <si>
    <t>Sensor MBT 3560</t>
  </si>
  <si>
    <t>Industrial temperature sensor</t>
  </si>
  <si>
    <t>Medical, precision and optical instruments</t>
  </si>
  <si>
    <t>Sensor pocket 1/2"</t>
  </si>
  <si>
    <t>Steel thermowell / sensor pocket</t>
  </si>
  <si>
    <t>Industrial heat transfer fluid</t>
  </si>
  <si>
    <t>Band saw blade</t>
  </si>
  <si>
    <t>Industrial cutting tool</t>
  </si>
  <si>
    <t>Insulation chemical diluent</t>
  </si>
  <si>
    <t>Globe valve DN32</t>
  </si>
  <si>
    <t>Industrial steel globe valve</t>
  </si>
  <si>
    <t>Rectangular front shovel</t>
  </si>
  <si>
    <t>Steel hand tool</t>
  </si>
  <si>
    <t>Check valve DN125 PN16</t>
  </si>
  <si>
    <t>Industrial steel check valve</t>
  </si>
  <si>
    <t>Black film roll 500 mm</t>
  </si>
  <si>
    <t>Plastic film</t>
  </si>
  <si>
    <t>Tape dispensing gun</t>
  </si>
  <si>
    <t>Plastic/metal hand tool</t>
  </si>
  <si>
    <t>Electronic consumer device</t>
  </si>
  <si>
    <t>Flange w/groove 114.3 mm</t>
  </si>
  <si>
    <t>Steel pipe flange</t>
  </si>
  <si>
    <t>1 1/4R Mess Nipple</t>
  </si>
  <si>
    <t>Nipple sleeve brass 1 1/4 x 1 1/2</t>
  </si>
  <si>
    <t>Brass threaded sleeve</t>
  </si>
  <si>
    <t>AGS Gasket FlushSeal EPDM</t>
  </si>
  <si>
    <t>Elastomer gasket</t>
  </si>
  <si>
    <t>6x4 No 50 Concentric Reducer</t>
  </si>
  <si>
    <t>Flex-press reduction sleeve</t>
  </si>
  <si>
    <t>Composite pipe fitting</t>
  </si>
  <si>
    <t>Alu-pex pipe 50 mm</t>
  </si>
  <si>
    <t>Nippelmuffe Flex-press</t>
  </si>
  <si>
    <t>Composite threaded fitting</t>
  </si>
  <si>
    <t>Saw blade Sabre 8TPI</t>
  </si>
  <si>
    <t>Industrial cutting blade</t>
  </si>
  <si>
    <t>LK Presspex T-pipe 32 mm</t>
  </si>
  <si>
    <t>Brass/metal T fitting</t>
  </si>
  <si>
    <t>Transition nipple Alu-LaserPlus</t>
  </si>
  <si>
    <t>Composite transition fitting</t>
  </si>
  <si>
    <t>Safety valve 3/4" 9 bar</t>
  </si>
  <si>
    <t>Industrial steel safety valve</t>
  </si>
  <si>
    <t>Administrative cost (no physical good)</t>
  </si>
  <si>
    <t>2 x 1 1/2 Mess transfer nipple</t>
  </si>
  <si>
    <t>Brass transfer nipple</t>
  </si>
  <si>
    <t>8x6 No 50 Concentric Reducer</t>
  </si>
  <si>
    <t>8" Style 107V Coupling</t>
  </si>
  <si>
    <t>Steel rigid coupling</t>
  </si>
  <si>
    <t>8x139.7 No 50 Concentric Reducer (cast)</t>
  </si>
  <si>
    <t>Cast steel concentric reducer</t>
  </si>
  <si>
    <t>139.7mm Style 107V Coupling</t>
  </si>
  <si>
    <t>6x139.7 No 50 Concentric Reducer</t>
  </si>
  <si>
    <t>Rent REMS machine + jaws</t>
  </si>
  <si>
    <t>Rental of machinery</t>
  </si>
  <si>
    <t>Argon gas cylinder</t>
  </si>
  <si>
    <t>Industrial gas</t>
  </si>
  <si>
    <t>8x139.7mm No 50 Concentric Reducer (Cast)</t>
  </si>
  <si>
    <t>139.7x70mm No 45RE Flanged Adapter Nipple</t>
  </si>
  <si>
    <t>Steel flanged adapter nipple</t>
  </si>
  <si>
    <t>Lifting Strap 1t / 2m</t>
  </si>
  <si>
    <t>Synthetic lifting strap</t>
  </si>
  <si>
    <t>Lifting Strap 3t / 4m</t>
  </si>
  <si>
    <t>Alkaline battery</t>
  </si>
  <si>
    <t>Transformer 200V–12V</t>
  </si>
  <si>
    <t>Electrical transformer</t>
  </si>
  <si>
    <t>TIG welding torch</t>
  </si>
  <si>
    <t>Welding torch equipment</t>
  </si>
  <si>
    <t>Steel flange RF 150# ASTM A105N</t>
  </si>
  <si>
    <t>Forged steel flange</t>
  </si>
  <si>
    <t>Travel luggage</t>
  </si>
  <si>
    <t>Floor cleaning mop</t>
  </si>
  <si>
    <t>Cleaning tool</t>
  </si>
  <si>
    <t>Cleaning bucket with plastic drainer</t>
  </si>
  <si>
    <t>Plastic cleaning bucket</t>
  </si>
  <si>
    <t>Pano banca</t>
  </si>
  <si>
    <t>Cleaning cloth</t>
  </si>
  <si>
    <t>Adhesive tape 45m x 48mm</t>
  </si>
  <si>
    <t>Adhesive plastic tape</t>
  </si>
  <si>
    <t>Household cups</t>
  </si>
  <si>
    <t>Household vacuum cleaner</t>
  </si>
  <si>
    <t>Electrical household appliance</t>
  </si>
  <si>
    <t>Kitchen cloth</t>
  </si>
  <si>
    <t>Plastic catcher</t>
  </si>
  <si>
    <t>Plastic household item</t>
  </si>
  <si>
    <t>Antifreeze 30% dilution 5L</t>
  </si>
  <si>
    <t>Antifreeze coolant</t>
  </si>
  <si>
    <t>Industrial lubricant oil</t>
  </si>
  <si>
    <t>14" Sch30 WN RF Flange 300# A105</t>
  </si>
  <si>
    <t>Balancing valve STA-F DN125</t>
  </si>
  <si>
    <t>Industrial steel balancing valve</t>
  </si>
  <si>
    <t>Flange w/ groove 139.7mm PN10/16</t>
  </si>
  <si>
    <t>Steel grooved flange</t>
  </si>
  <si>
    <t>Safety valve 1" Prescor</t>
  </si>
  <si>
    <t>Safety valve 1 1/4" Prescor</t>
  </si>
  <si>
    <t>Temp. sensor Pt500</t>
  </si>
  <si>
    <t>Temperature sensor</t>
  </si>
  <si>
    <t>PGS thermometer</t>
  </si>
  <si>
    <t>Industrial thermometer</t>
  </si>
  <si>
    <t>Slide element GLE J12</t>
  </si>
  <si>
    <t>Steel mechanical component</t>
  </si>
  <si>
    <t>50 T-pipe Flex-press</t>
  </si>
  <si>
    <t>Composite pipe T-fitting</t>
  </si>
  <si>
    <t>TR36 Pt100 sensor (120mm)</t>
  </si>
  <si>
    <t>TR36 Pt100 sensor (220mm)</t>
  </si>
  <si>
    <t>50x50 elbow 90 Flex-press</t>
  </si>
  <si>
    <t>Composite pipe elbow</t>
  </si>
  <si>
    <t>ABC fire extinguisher 6kg</t>
  </si>
  <si>
    <t>Fire safety equipment</t>
  </si>
  <si>
    <t>CO₂ fire extinguisher 5kg</t>
  </si>
  <si>
    <t>Heating panels 2kW</t>
  </si>
  <si>
    <t>Electrical heating equipment</t>
  </si>
  <si>
    <t>Pipe sticker 12mm</t>
  </si>
  <si>
    <t>Plastic label/sticker</t>
  </si>
  <si>
    <t>8" Series 732 Wye Type Vic-Strainer</t>
  </si>
  <si>
    <t>Brass elbow 3/4"</t>
  </si>
  <si>
    <t>Brass elbow fitting</t>
  </si>
  <si>
    <t>Material per packing list (IG)</t>
  </si>
  <si>
    <t>Miscellaneous packaged materials</t>
  </si>
  <si>
    <t>Public administration services</t>
  </si>
  <si>
    <t>Rent Rems machine + jaws 16–20–26–32</t>
  </si>
  <si>
    <t>Rental of pipe threading machine</t>
  </si>
  <si>
    <t>Lubricant Victaulic 1.4 kg</t>
  </si>
  <si>
    <t>Dispensing gun for sealant</t>
  </si>
  <si>
    <t>Manual dispensing tool</t>
  </si>
  <si>
    <t>Diamond drill bit SDS Plus M16</t>
  </si>
  <si>
    <t>Drilling tool / consumable</t>
  </si>
  <si>
    <t>Octagonal connector PK F100</t>
  </si>
  <si>
    <t>Steel structural connector</t>
  </si>
  <si>
    <t>Washer 10/40 HCP</t>
  </si>
  <si>
    <t>Steel washer</t>
  </si>
  <si>
    <t>Hole cover anchor M10</t>
  </si>
  <si>
    <t>Steel anchor</t>
  </si>
  <si>
    <t>Steel nut</t>
  </si>
  <si>
    <t>Threaded rod M10x2000 FZV 8.8</t>
  </si>
  <si>
    <t>Steel threaded rod</t>
  </si>
  <si>
    <t>Threaded rod M10x1000 FZV 8.8</t>
  </si>
  <si>
    <t>Threaded rod M12x1000 FZV 8.8</t>
  </si>
  <si>
    <t>Steel threaded stud</t>
  </si>
  <si>
    <t>Plastic wall plug</t>
  </si>
  <si>
    <t>Perfil FRAMO TP F100 (6 m)</t>
  </si>
  <si>
    <t>Steel mounting profile</t>
  </si>
  <si>
    <t>Black serrated plastic cable tie</t>
  </si>
  <si>
    <t>Plastic cable tie</t>
  </si>
  <si>
    <t>Band saw blade 2480x27x0.9</t>
  </si>
  <si>
    <t>Paper ribbon 50 mm</t>
  </si>
  <si>
    <t>Paper tape</t>
  </si>
  <si>
    <t>Pipe wrench 1 1/2"</t>
  </si>
  <si>
    <t>Hand tool</t>
  </si>
  <si>
    <t>Pipe wrench 1"</t>
  </si>
  <si>
    <t>Adjustable wrench 8"</t>
  </si>
  <si>
    <t>Key wrench 14</t>
  </si>
  <si>
    <t>Square with base 300 mm</t>
  </si>
  <si>
    <t>Measuring hand tool</t>
  </si>
  <si>
    <t>Cutting oil spray</t>
  </si>
  <si>
    <t>Cutting lubricant</t>
  </si>
  <si>
    <t>Loctite 55 thread seal</t>
  </si>
  <si>
    <t>Thread sealing compound</t>
  </si>
  <si>
    <t>Socket wrench 1/2" Nº24</t>
  </si>
  <si>
    <t>Bosch battery 18V 5.0Ah Li-Ion</t>
  </si>
  <si>
    <t>Rechargeable battery</t>
  </si>
  <si>
    <t>HSS step drill 6–39 mm</t>
  </si>
  <si>
    <t>Drilling tool</t>
  </si>
  <si>
    <t>Black plastic bucket</t>
  </si>
  <si>
    <t>Plastic bucket</t>
  </si>
  <si>
    <t>Signage cone 100 cm</t>
  </si>
  <si>
    <t>Plastic safety cone</t>
  </si>
  <si>
    <t>High resistance handle 7/8" 6.5 t</t>
  </si>
  <si>
    <t>Lifting accessory</t>
  </si>
  <si>
    <t>Socket wrench 1/2" Nº17</t>
  </si>
  <si>
    <t>Rod DIN975-4.8 M12x2000</t>
  </si>
  <si>
    <t>Base WBD F100-80</t>
  </si>
  <si>
    <t>Steel mounting base</t>
  </si>
  <si>
    <t>U-profile clamp SB F100-40</t>
  </si>
  <si>
    <t>Steel clamp</t>
  </si>
  <si>
    <t>Pipe clamp Stabil D-3G (108–115 mm)</t>
  </si>
  <si>
    <t>Steel pipe clamp with lining</t>
  </si>
  <si>
    <t>Base roscada GPL F100-M10</t>
  </si>
  <si>
    <t>Steel threaded base</t>
  </si>
  <si>
    <t>Stabil D-3G clamp (165–171)</t>
  </si>
  <si>
    <t>Steel pipe clamp</t>
  </si>
  <si>
    <t>Base roscada GPL F100-M12</t>
  </si>
  <si>
    <t>Steel fastening screw</t>
  </si>
  <si>
    <t>Steel profile component</t>
  </si>
  <si>
    <t>Connector M16/M10/M8</t>
  </si>
  <si>
    <t>Steel connector</t>
  </si>
  <si>
    <t>EV connector angle CC 41-1</t>
  </si>
  <si>
    <t>Steel angle connector</t>
  </si>
  <si>
    <t>Steel container locking mechanism</t>
  </si>
  <si>
    <t>Load Strap with Ratchet 1T (25mm x 5m)</t>
  </si>
  <si>
    <t>Ratchet tie-down strap</t>
  </si>
  <si>
    <t>Loading Tape with Ratchet 2T (35mm x 6m)</t>
  </si>
  <si>
    <t>Tubular Lifting Belt 3T / 6m</t>
  </si>
  <si>
    <t>Tubular polyester lifting belt</t>
  </si>
  <si>
    <t>Waterflux 3000F DN400 electromagnetic flow meter</t>
  </si>
  <si>
    <t>Industrial flow measurement equipment</t>
  </si>
  <si>
    <t>Flow meter electronic converter module</t>
  </si>
  <si>
    <t>Signal cable for flow meters</t>
  </si>
  <si>
    <t>Electrical signal cable</t>
  </si>
  <si>
    <t>Pressure Test Pump Manual 60 bar</t>
  </si>
  <si>
    <t>Manual pressure testing pump</t>
  </si>
  <si>
    <t>Electr. 2-way PI-CCV EPIV EP100F + MOD</t>
  </si>
  <si>
    <t>Electrically actuated control valve</t>
  </si>
  <si>
    <t>Hose Clamp ABA 11–17 AL-ZN</t>
  </si>
  <si>
    <t>Steel hose clamp</t>
  </si>
  <si>
    <t>Insulated Foot SHB SQF F80-350</t>
  </si>
  <si>
    <t>Insulated structural support foot (steel + elastomer)</t>
  </si>
  <si>
    <t>Slide Set GS F100 2G</t>
  </si>
  <si>
    <t>Steel sliding support set</t>
  </si>
  <si>
    <t>Octagonal Connector 280mm (Double)</t>
  </si>
  <si>
    <t>Sliding Bracket LC-HV 90 DN100</t>
  </si>
  <si>
    <t>Steel sliding pipe support</t>
  </si>
  <si>
    <t>Base WBD F80-80/120 (220x220)</t>
  </si>
  <si>
    <t>Steel base plate</t>
  </si>
  <si>
    <t>Fixed Point Support XW F80</t>
  </si>
  <si>
    <t>Fixed steel pipe support</t>
  </si>
  <si>
    <t>Steel structural base</t>
  </si>
  <si>
    <t>Articulated Union FRAMO GE F80-80</t>
  </si>
  <si>
    <t>Steel articulated joint</t>
  </si>
  <si>
    <t>Sliding Bracket LC-HV 90 DN150</t>
  </si>
  <si>
    <t>Fixed Point Guide XW F100</t>
  </si>
  <si>
    <t>Fixed steel pipe guide</t>
  </si>
  <si>
    <t>Pivot Joint GE F-ST F100 80/120</t>
  </si>
  <si>
    <t>Steel pivot joint</t>
  </si>
  <si>
    <t>Pivot Union GE F100-100</t>
  </si>
  <si>
    <t>Steel pivot union</t>
  </si>
  <si>
    <t>Pivot Joint GE F-ST F80/120-80</t>
  </si>
  <si>
    <t>Clamp STABIL D-3G 8 (219-225)</t>
  </si>
  <si>
    <t>Heavy-duty steel pipe clamp</t>
  </si>
  <si>
    <t>Grampo TCS 2 M12/M12</t>
  </si>
  <si>
    <t>Steel beam clamp</t>
  </si>
  <si>
    <t>STABIL D-3G 5 Clamp (138-144)</t>
  </si>
  <si>
    <t>Grampo TCS I M10/M10</t>
  </si>
  <si>
    <t>Beam Clamp TCS 41</t>
  </si>
  <si>
    <t>Slide Set GS 2G-PL</t>
  </si>
  <si>
    <t>Adapter AD f/f 1/2"–M16</t>
  </si>
  <si>
    <t>Steel threaded adapter</t>
  </si>
  <si>
    <t>Angle EV CC 41-1</t>
  </si>
  <si>
    <t>Quick Nut Profile NT CC 41 M10</t>
  </si>
  <si>
    <t>Steel channel nut</t>
  </si>
  <si>
    <t>STABIL Clamp D-3G 60-65</t>
  </si>
  <si>
    <t>Sliding Bracket LC-HV 90 DN125</t>
  </si>
  <si>
    <t>MS 5P M16 S Claw Mounting Set</t>
  </si>
  <si>
    <t>Steel mounting claw set</t>
  </si>
  <si>
    <t>Angle Connector EV CC 41-2</t>
  </si>
  <si>
    <t>Channel Nut NT HZ 41 M12</t>
  </si>
  <si>
    <t>Garra B 41/12</t>
  </si>
  <si>
    <t>Steel clamp component</t>
  </si>
  <si>
    <t>Universal Joint UG SS M12</t>
  </si>
  <si>
    <t>Stainless steel universal joint</t>
  </si>
  <si>
    <t>Holding Bracket HK 41/10</t>
  </si>
  <si>
    <t>Steel holding bracket</t>
  </si>
  <si>
    <t>Mounting Plate GPL F80-1/2"</t>
  </si>
  <si>
    <t>Steel mounting plate</t>
  </si>
  <si>
    <t>Consola AK F80-400</t>
  </si>
  <si>
    <t>Steel console bracket</t>
  </si>
  <si>
    <t>FLAT GASKET DN15 PN16/PN40 GRAPHITE</t>
  </si>
  <si>
    <t>Graphite flat gasket</t>
  </si>
  <si>
    <t>Channel Adapter SA F80/41</t>
  </si>
  <si>
    <t>Steel channel adapter</t>
  </si>
  <si>
    <t>BASE GPL F80-M10</t>
  </si>
  <si>
    <t>BASE GPL F80-M12</t>
  </si>
  <si>
    <t>Steel sliding element</t>
  </si>
  <si>
    <t>Slide Set GS F80 2G</t>
  </si>
  <si>
    <t>Joint JOI 41 T</t>
  </si>
  <si>
    <t>Steel T-joint connector</t>
  </si>
  <si>
    <t>Steel profile top component</t>
  </si>
  <si>
    <t>U-Holder SB F100/160-40</t>
  </si>
  <si>
    <t>Steel U-holder / support</t>
  </si>
  <si>
    <t>50 x 4.0 mm Alu-pex pipe (5 m)</t>
  </si>
  <si>
    <t>Composite metal-plastic pipe</t>
  </si>
  <si>
    <t>40 x 40 elbow 90 Flex-press</t>
  </si>
  <si>
    <t>76.1mm Style 107N QuickVic Rigid Coupling</t>
  </si>
  <si>
    <t>63mm elbow 45° Flex-press</t>
  </si>
  <si>
    <t>Adapter nipple 1 1/2" × 1 1/4"</t>
  </si>
  <si>
    <t>Brass threaded adapter</t>
  </si>
  <si>
    <t>Equipment / Tool Inspection</t>
  </si>
  <si>
    <t>Inspection service</t>
  </si>
  <si>
    <t>Steel elbow 90° 1/2" BSP (black)</t>
  </si>
  <si>
    <t>Reduction Tee A234 WPB 3/4" × 1/2" Sch 40</t>
  </si>
  <si>
    <t>Carbon steel reducing tee (ASME A234 WPB)</t>
  </si>
  <si>
    <t>Steel elbow 90° 3/4" BSP black</t>
  </si>
  <si>
    <t>Carbon steel elbow fitting</t>
  </si>
  <si>
    <t>Steel elbow 90° 1" BSP black</t>
  </si>
  <si>
    <t>Elbow 90° 1" black coated (internal thread)</t>
  </si>
  <si>
    <t>Carbon steel threaded elbow</t>
  </si>
  <si>
    <t>Pipe 1" Sch 40 ASTM A106 Gr.B</t>
  </si>
  <si>
    <t>Seamless carbon steel pipe</t>
  </si>
  <si>
    <t>Steel tubes seamless 1 1/2" Sch 40 ASTM A106 Gr.B</t>
  </si>
  <si>
    <t>Pipe 3/4" Sch 80 ASTM A106 Gr.B</t>
  </si>
  <si>
    <t>Seamless carbon steel pipe (NORSOK)</t>
  </si>
  <si>
    <t>Pipe 1/2" Sch 80 ASTM A106 Gr.B</t>
  </si>
  <si>
    <t>Pressure pipe 316L ASTM A269</t>
  </si>
  <si>
    <t>Stainless steel precision tube</t>
  </si>
  <si>
    <t>Brass plug 1"</t>
  </si>
  <si>
    <t>Brass threaded plug</t>
  </si>
  <si>
    <t>Brass nipple sleeve 1/2" × 3/8"</t>
  </si>
  <si>
    <t>Brass threaded nipple sleeve</t>
  </si>
  <si>
    <t>Brass transition nipple 1/2" × 1/8"</t>
  </si>
  <si>
    <t>Brass threaded transition nipple</t>
  </si>
  <si>
    <t>Adapter nipple brass 2" × 1"</t>
  </si>
  <si>
    <t>Brass threaded adapter nipple</t>
  </si>
  <si>
    <t>Transition nipple 3/4" × 1/2"</t>
  </si>
  <si>
    <t>Brass transition nipple</t>
  </si>
  <si>
    <t>Steel union 3/4" black</t>
  </si>
  <si>
    <t>Carbon steel union fitting</t>
  </si>
  <si>
    <t>Brass muffe</t>
  </si>
  <si>
    <t>Brass threaded coupling</t>
  </si>
  <si>
    <t>Transition nipple 2" × 1 1/4" brass</t>
  </si>
  <si>
    <t>Victaulic type lubricant mass 1.4 kg</t>
  </si>
  <si>
    <t>Industrial assembly lubricant</t>
  </si>
  <si>
    <t>32 × 3.0 mm Alu-pex pipe (5 m)</t>
  </si>
  <si>
    <t>40 × 3.5 mm Alu-pex pipe (5 m)</t>
  </si>
  <si>
    <t>20 × 2.0 mm Alu-pex pipe (5 m)</t>
  </si>
  <si>
    <t>26 × 3.0 mm Alu-pex pipe (5 m)</t>
  </si>
  <si>
    <t>26 × 26 elbow 90 Flex-press</t>
  </si>
  <si>
    <t>50 elbow 45 Flex-press</t>
  </si>
  <si>
    <t>26 × 20 reduction sleeve Flex-press</t>
  </si>
  <si>
    <t>Composite reduction sleeve</t>
  </si>
  <si>
    <t>32 × 26 reduction sleeve Flex-press</t>
  </si>
  <si>
    <t>40 × 26 reduction sleeve Flex-press</t>
  </si>
  <si>
    <t>40 × 32 reduction sleeve Flex-press</t>
  </si>
  <si>
    <t>50 × 32 reduction sleeve Flex-press</t>
  </si>
  <si>
    <t>50 × 40 reduction sleeve Flex-press</t>
  </si>
  <si>
    <t>40 T-piece Flex-press</t>
  </si>
  <si>
    <t>50 T-piece Flex-press</t>
  </si>
  <si>
    <t>3/4 × 20 nipple socket Flex-press</t>
  </si>
  <si>
    <t>Composite threaded socket</t>
  </si>
  <si>
    <t>5/4 × 32 nipple socket Flex-press</t>
  </si>
  <si>
    <t>5/4 × 40 nipple socket Flex-press</t>
  </si>
  <si>
    <t>26 × 26 joint sleeve Flex-press</t>
  </si>
  <si>
    <t>Composite joint sleeve</t>
  </si>
  <si>
    <t>40 × 40 joint sleeve Flex-press</t>
  </si>
  <si>
    <t>50 × 50 joint Flex-press</t>
  </si>
  <si>
    <t>Composite joint fitting</t>
  </si>
  <si>
    <t>Claw coupling 3/4" external thread</t>
  </si>
  <si>
    <t>Steel claw coupling</t>
  </si>
  <si>
    <t>32 x 32 elbow 90 Flex-press</t>
  </si>
  <si>
    <t>ZPR05 Retrofit + adapter kit for PR</t>
  </si>
  <si>
    <t>Valve retrofit kit (mechanical)</t>
  </si>
  <si>
    <t>Rotary Actuator 160 Nm PRKCA-BAC-S2-T</t>
  </si>
  <si>
    <t>Electric rotary actuator</t>
  </si>
  <si>
    <t>JRCA-BAC-S2-T Rotary Actuator 90 Nm</t>
  </si>
  <si>
    <t>Rod Coupling AD f/f M16 × 40</t>
  </si>
  <si>
    <t>Steel threaded rod coupling</t>
  </si>
  <si>
    <t>Gearbox for BOSCH GSB 18V-55</t>
  </si>
  <si>
    <t>Power tool gearbox (spare part)</t>
  </si>
  <si>
    <t>Start button for BOSCH GDS 18V-1050H</t>
  </si>
  <si>
    <t>Power tool electrical spare part</t>
  </si>
  <si>
    <t>Electronic module for BOSCH GDS 18V-1050H</t>
  </si>
  <si>
    <t>Power tool electronic module</t>
  </si>
  <si>
    <t>Rubber gasket for MAKITA DTW1001</t>
  </si>
  <si>
    <t>Rubber gasket</t>
  </si>
  <si>
    <t>Impact tool switch (DTW1001)</t>
  </si>
  <si>
    <t>Power tool electrical switch</t>
  </si>
  <si>
    <t>Button board for MAKITA DTW1001</t>
  </si>
  <si>
    <t>Power tool control board</t>
  </si>
  <si>
    <t>Variation button for MAKITA DTW1001</t>
  </si>
  <si>
    <t>Power tool control component</t>
  </si>
  <si>
    <t>Plate + button set for MILWAUKEE M18FIW2F12</t>
  </si>
  <si>
    <t>Power tool control assembly</t>
  </si>
  <si>
    <t>Start button for OPTIMUM SP13V</t>
  </si>
  <si>
    <t>Heat transfer fluid (glycol)</t>
  </si>
  <si>
    <t>Coquilha CQ 100 Ø139×080</t>
  </si>
  <si>
    <t>Pipe insulation shell</t>
  </si>
  <si>
    <t>Coquilha CQ 100 Ø114×080</t>
  </si>
  <si>
    <t>Security / consignment padlock</t>
  </si>
  <si>
    <t>Security padlock</t>
  </si>
  <si>
    <t>Stainless steel sheet (cutting aid)</t>
  </si>
  <si>
    <t>Stainless steel sheet</t>
  </si>
  <si>
    <t>X-Acto retractable security knife</t>
  </si>
  <si>
    <t>Hand cutting tool</t>
  </si>
  <si>
    <t>Inspection spray (chemical)</t>
  </si>
  <si>
    <t>Chemical descaling spray</t>
  </si>
  <si>
    <t>Anti Spill Kit</t>
  </si>
  <si>
    <t>Absorbent spill response kit</t>
  </si>
  <si>
    <t>Paroc HVAC Lamella Mat Alucoat 100mm</t>
  </si>
  <si>
    <t>HVAC insulation mat (mineral wool with alu foil)</t>
  </si>
  <si>
    <t>Coquilha CQ 100 Ø060×050</t>
  </si>
  <si>
    <t>50mm padlock</t>
  </si>
  <si>
    <t>Sensor MBT 5560 (200mm, -50–200°C)</t>
  </si>
  <si>
    <t>Industrial paper roll 400 m (double sheet)</t>
  </si>
  <si>
    <t>Industrial paper roll</t>
  </si>
  <si>
    <t>Transition nipple brass 2" × 1"</t>
  </si>
  <si>
    <t>Transition sleeve 2" × 1" black tempered</t>
  </si>
  <si>
    <t>Steel transition sleeve</t>
  </si>
  <si>
    <t>Aluminum tape 75mm × 50m</t>
  </si>
  <si>
    <t>Aluminium adhesive tape</t>
  </si>
  <si>
    <t>Aluminum tape 50mm × 50m</t>
  </si>
  <si>
    <t>Calibrated pressure gauge 60 bar</t>
  </si>
  <si>
    <t>Industrial pressure gauge</t>
  </si>
  <si>
    <t>T-pipe brass 1 1/2"</t>
  </si>
  <si>
    <t>Brass T-fitting</t>
  </si>
  <si>
    <t>Insulation cutting knife 280mm</t>
  </si>
  <si>
    <t>Pipe sticker 50mm × 250m</t>
  </si>
  <si>
    <t>Plastic identification tape</t>
  </si>
  <si>
    <t>Beam Section Holder TPH F100 80 C</t>
  </si>
  <si>
    <t>Steel beam section holder</t>
  </si>
  <si>
    <t>Steel mounting claw / fastening component</t>
  </si>
  <si>
    <t>Steel tightening / locking component</t>
  </si>
  <si>
    <t>50 × 50 elbow 90 Flex-press</t>
  </si>
  <si>
    <t>Personal protective respiratory mask (PPE)</t>
  </si>
  <si>
    <t>6.0×1.0 mm pipe 316L ASTM A269</t>
  </si>
  <si>
    <t>Stainless steel precision tube (acid resistant)</t>
  </si>
  <si>
    <t>Transition nipple 1/2" × 1/8" brass</t>
  </si>
  <si>
    <t>Union 6 mm acid resistant</t>
  </si>
  <si>
    <t>Stainless steel compression union</t>
  </si>
  <si>
    <t>Filter PR A1B1E1K1 P3 (6059)</t>
  </si>
  <si>
    <t>Respiratory filter cartridge (PPE)</t>
  </si>
  <si>
    <t>Flexible Rubber Hose DN25</t>
  </si>
  <si>
    <t>Flexible rubber industrial hose</t>
  </si>
  <si>
    <t>Flexible Rubber Hose DN50</t>
  </si>
  <si>
    <t>Individual Fire Blanket</t>
  </si>
  <si>
    <t>Personal fire protection blanket (PPE)</t>
  </si>
  <si>
    <t>Steel coupling black 1/2"</t>
  </si>
  <si>
    <t>Carbon steel threaded coupling</t>
  </si>
  <si>
    <t>Transition sleeve 1" × 1/2"</t>
  </si>
  <si>
    <t>DATACOOL FD83 coupling 1" hose barb</t>
  </si>
  <si>
    <t>Hose barb coupling (industrial)</t>
  </si>
  <si>
    <t>DATACOOL FD83 coupling 2" hose barb</t>
  </si>
  <si>
    <t>DATACOOL clamp EHW194 1"</t>
  </si>
  <si>
    <t>Hose clamp (industrial)</t>
  </si>
  <si>
    <t>DATACOOL clamp EHW194 2"</t>
  </si>
  <si>
    <t>Brass nipple 1/8" threaded</t>
  </si>
  <si>
    <t>T-pipe brass 1/4"</t>
  </si>
  <si>
    <t>Adapter nipple 1/4" × 1/8"</t>
  </si>
  <si>
    <t>Sensor MBT 3560 (150mm, G1/2)</t>
  </si>
  <si>
    <t>Sensor MBT 3560 (250mm, G1/4)</t>
  </si>
  <si>
    <t>Balancing valves</t>
  </si>
  <si>
    <t>Hydraulic balancing valve</t>
  </si>
  <si>
    <t>Ball valve DN50 PN40 (316 SS)</t>
  </si>
  <si>
    <t>Stainless steel flanged ball valve</t>
  </si>
  <si>
    <t>Ball valve DN80 PN40 (316 SS)</t>
  </si>
  <si>
    <t>Style 177N gasket EHP Vic-Plus</t>
  </si>
  <si>
    <t>Industrial rubber gasket</t>
  </si>
  <si>
    <t>Bolt M16 DIN 931 (8.8)</t>
  </si>
  <si>
    <t>Steel structural bolt</t>
  </si>
  <si>
    <t>Bolt M20×80 A4 DIN931</t>
  </si>
  <si>
    <t>Stainless steel bolt</t>
  </si>
  <si>
    <t>Bolt M24×100 HDG 8.8</t>
  </si>
  <si>
    <t>Galvanized steel bolt</t>
  </si>
  <si>
    <t>Washer M17 DIN125</t>
  </si>
  <si>
    <t>Brass elbow 1/2" (int/ext thread)</t>
  </si>
  <si>
    <t>Beam clamp Ø13 TK12</t>
  </si>
  <si>
    <t>8" Style 732 Basket 304SS (perforated)</t>
  </si>
  <si>
    <t>Stainless steel strainer basket</t>
  </si>
  <si>
    <t>Broca SDS Max Ø24×200/320</t>
  </si>
  <si>
    <t>Masonry drill bit (SDS Max)</t>
  </si>
  <si>
    <t>HIT-CB 300 chemical anchor cartridge holder</t>
  </si>
  <si>
    <t>Chemical anchor accessory (holder)</t>
  </si>
  <si>
    <t>Grounding bolt X-BT-ER M10/7</t>
  </si>
  <si>
    <t>Steel grounding fastener</t>
  </si>
  <si>
    <t>Brass nipple 3/8" Isiflo</t>
  </si>
  <si>
    <t>Dexter combination wrench set</t>
  </si>
  <si>
    <t>Hand tool set</t>
  </si>
  <si>
    <t>ZGI-015 reducer for form-fit adapter</t>
  </si>
  <si>
    <t>Precision metal reducer</t>
  </si>
  <si>
    <t>Stabil D-3G clamp 3/4" (24–28)</t>
  </si>
  <si>
    <t>Stabil D-3G clamp 1" (29–33)</t>
  </si>
  <si>
    <t>Stabil D-3G clamp 1 1/2" (47–52)</t>
  </si>
  <si>
    <t>Stabil D-3G clamp 1 1/4" (40–45)</t>
  </si>
  <si>
    <t>Expansion bolt HSA-F M20×170/55</t>
  </si>
  <si>
    <t>Heavy-duty steel anchor bolt</t>
  </si>
  <si>
    <t>Syrefast union 6mm × 1/8" AISI 316</t>
  </si>
  <si>
    <t>Stainless steel union fitting</t>
  </si>
  <si>
    <t>Locking clamp 3/4" (27mm)</t>
  </si>
  <si>
    <t>Steel locking clamp</t>
  </si>
  <si>
    <t>Aluminum ladder (3 steps)</t>
  </si>
  <si>
    <t>Aluminium ladder</t>
  </si>
  <si>
    <t>Cylindrical drill bit HSS M13</t>
  </si>
  <si>
    <t>HSS metal drill bit</t>
  </si>
  <si>
    <t>Square with base 300mm</t>
  </si>
  <si>
    <t>Measuring square (hand tool)</t>
  </si>
  <si>
    <t>100 grit iron sandpaper sheet</t>
  </si>
  <si>
    <t>Abrasive sheet</t>
  </si>
  <si>
    <t>Jigsaw blade for metal</t>
  </si>
  <si>
    <t>Metal cutting jigsaw blade</t>
  </si>
  <si>
    <t>Coupling union with flat gasket Flex-press</t>
  </si>
  <si>
    <t>Composite coupling union with flat gasket</t>
  </si>
  <si>
    <t>Coupling transition 26×3 – 3/4</t>
  </si>
  <si>
    <t>Composite–metal transition coupling</t>
  </si>
  <si>
    <t>Fitting – transition, brass 1" × 1 1/4"</t>
  </si>
  <si>
    <t>Brass transition fitting</t>
  </si>
  <si>
    <t>Transition nipple brass 1 1/2" × 2"</t>
  </si>
  <si>
    <t>Cylindrical drill bit HSS-Co 8%</t>
  </si>
  <si>
    <t>Cobalt alloy HSS drill bit</t>
  </si>
  <si>
    <t>Metric measuring tape 5 m</t>
  </si>
  <si>
    <t>Open end wrench 19 mm</t>
  </si>
  <si>
    <t>Hand wrench</t>
  </si>
  <si>
    <t>12V 1200mA booster charger</t>
  </si>
  <si>
    <t>Low-voltage battery charger</t>
  </si>
  <si>
    <t>Screwdriver set tips and bits (36 pcs)</t>
  </si>
  <si>
    <t>Hand tool set (screwdriver bits)</t>
  </si>
  <si>
    <t>Milwaukee RED Lithium M18 5.0Ah battery</t>
  </si>
  <si>
    <t>Rechargeable lithium-ion power tool battery</t>
  </si>
  <si>
    <t>Flat catch bolt 6.35mm × 75mm</t>
  </si>
  <si>
    <t>Steel fastening bolt</t>
  </si>
  <si>
    <t>Nylon disc with spike (straight grinder)</t>
  </si>
  <si>
    <t>Nylon abrasive disc</t>
  </si>
  <si>
    <t>Guide for crane drill 12mm</t>
  </si>
  <si>
    <t>Drill guide accessory</t>
  </si>
  <si>
    <t>Loctite 160M (thread sealant)</t>
  </si>
  <si>
    <t>Industrial thread sealing compound</t>
  </si>
  <si>
    <t>Expansion vessel (steel pressure tank)</t>
  </si>
  <si>
    <t>Master–Slave activation code</t>
  </si>
  <si>
    <t>Software / digital license</t>
  </si>
  <si>
    <t>Reflex VS 2-2/60 SC pump</t>
  </si>
  <si>
    <t>Circulation pump (electrical)</t>
  </si>
  <si>
    <t>Building automation communication module</t>
  </si>
  <si>
    <t>Bladder failure detection (diaphragm rupture detector)</t>
  </si>
  <si>
    <t>Monitoring / safety sensor device</t>
  </si>
  <si>
    <t>Variomat connection set G 1 1/4</t>
  </si>
  <si>
    <t>Mechanical connection set</t>
  </si>
  <si>
    <t>Control vessel connection set MAG R 1 1/4</t>
  </si>
  <si>
    <t>Reflex Servitec 75 (230/50)</t>
  </si>
  <si>
    <t>Water degassing &amp; pressurisation unit</t>
  </si>
  <si>
    <t>Adjustable wrench BAHCO 87</t>
  </si>
  <si>
    <t>Adjustable hand wrench</t>
  </si>
  <si>
    <t>Elbow brass 3/4" DN20 F/F</t>
  </si>
  <si>
    <t>Brass 90° elbow fitting</t>
  </si>
  <si>
    <t>Elbow brass 1 1/4"</t>
  </si>
  <si>
    <t>Transition nipple brass 1 1/4" × 1"</t>
  </si>
  <si>
    <t>Transition nipple brass 1" × 3/4"</t>
  </si>
  <si>
    <t>Adapter nipple brass 1/2" × 3/8"</t>
  </si>
  <si>
    <t>Brass fitting nipple 1/2"R</t>
  </si>
  <si>
    <t>Cylindrical drill bit HSS-Co 8% M6</t>
  </si>
  <si>
    <t>Cylindrical drill bit HSS-Co 8% M8</t>
  </si>
  <si>
    <t>Composite pipe T-fitting (Presspex)</t>
  </si>
  <si>
    <t>Presspex elbow 32 mm 45°</t>
  </si>
  <si>
    <t>Composite pipe elbow (Presspex)</t>
  </si>
  <si>
    <t>Hex bolt EN ISO 4014 M16×90 (8.8)</t>
  </si>
  <si>
    <t>Steel hexagon bolt</t>
  </si>
  <si>
    <t>Hex bolt ISO 4017 M20×90 (8.8)</t>
  </si>
  <si>
    <t>Sleeve 26×26 PPSU (PPLiplus)</t>
  </si>
  <si>
    <t>PPSU plastic pipe sleeve</t>
  </si>
  <si>
    <t>Ceramic tape 30×2 mm (50 m roll)</t>
  </si>
  <si>
    <t>High-temperature ceramic insulation tape</t>
  </si>
  <si>
    <t>High-temperature silicone 300 ml</t>
  </si>
  <si>
    <t>High-temperature silicone sealant</t>
  </si>
  <si>
    <t>Combination wrench with ratchet 19 mm</t>
  </si>
  <si>
    <t>Ratcheting combination wrench</t>
  </si>
  <si>
    <t>Combination wrench with ratchet 10 mm</t>
  </si>
  <si>
    <t>Aluminium coil 0.6 mm</t>
  </si>
  <si>
    <t>Aluminium sheet / coil material</t>
  </si>
  <si>
    <t>Group valve STA-D DN50 PN25</t>
  </si>
  <si>
    <t>Balancing / control valve with measuring nipples</t>
  </si>
  <si>
    <t>Reflex G 200 GY diaphragm expansion tank</t>
  </si>
  <si>
    <t>Diaphragm expansion vessel (steel)</t>
  </si>
  <si>
    <t>Safe Valve 1 1/4" 5.0 bar Prescor 550</t>
  </si>
  <si>
    <t>Pressure safety valve (steel body)</t>
  </si>
  <si>
    <t>Nipple sleeve brass 1 1/2" × 1 1/4"</t>
  </si>
  <si>
    <t>Office printer</t>
  </si>
  <si>
    <t>Office printing and copying services</t>
  </si>
  <si>
    <t>Internet and phones</t>
  </si>
  <si>
    <t>Internet and telecommunication services</t>
  </si>
  <si>
    <t>Communications</t>
  </si>
  <si>
    <t>Telecommunication and communication services</t>
  </si>
  <si>
    <t>SUB Engineering Services</t>
  </si>
  <si>
    <t>Engineering and technical consultancy services</t>
  </si>
  <si>
    <t>SUB Assembly Services</t>
  </si>
  <si>
    <t>Industrial assembly and installation services</t>
  </si>
  <si>
    <t>FSE Conservation and Repair – Buildings</t>
  </si>
  <si>
    <t>Building maintenance and repair services</t>
  </si>
  <si>
    <t>FSE Conservation and Repair – Passenger Vehicles</t>
  </si>
  <si>
    <t>Passenger vehicle maintenance and repair services</t>
  </si>
  <si>
    <t>Locksmith</t>
  </si>
  <si>
    <t>Locksmith and security services</t>
  </si>
  <si>
    <t>Rent equipment</t>
  </si>
  <si>
    <t>Rental services of machinery and equipment</t>
  </si>
  <si>
    <t>House rental (Viana Castelo)</t>
  </si>
  <si>
    <t>Real estate rental services</t>
  </si>
  <si>
    <t>Service: Lawyer</t>
  </si>
  <si>
    <t>Other business services (consultancy, legal, HR, accounting, security, professional services)</t>
  </si>
  <si>
    <t>Service: Consultant</t>
  </si>
  <si>
    <t>Consultancy services</t>
  </si>
  <si>
    <t>Service: Mobile</t>
  </si>
  <si>
    <t>Mobile telecommunication services</t>
  </si>
  <si>
    <t>Contractor (PMP)</t>
  </si>
  <si>
    <t>Professional project management services</t>
  </si>
  <si>
    <t>Sage Licenses</t>
  </si>
  <si>
    <t>Software licensing services</t>
  </si>
  <si>
    <t>Licences</t>
  </si>
  <si>
    <t>Software / service licences</t>
  </si>
  <si>
    <t>Taxsaver Ticket – Richard</t>
  </si>
  <si>
    <t>Employee transport benefit (land transport)</t>
  </si>
  <si>
    <t>Land transportation services</t>
  </si>
  <si>
    <t>Rent Car</t>
  </si>
  <si>
    <t>Vehicle rental services</t>
  </si>
  <si>
    <t>No. 60 Cap (grooved, orange)</t>
  </si>
  <si>
    <t>Grooved steel end cap</t>
  </si>
  <si>
    <t>No. 40 Adapter Nipple (grooved × BSPT male)</t>
  </si>
  <si>
    <t>Steel adapter nipple</t>
  </si>
  <si>
    <t>No. 25 Grooved Branch Reducing Tee (segment welded)</t>
  </si>
  <si>
    <t>Steel grooved reducing tee</t>
  </si>
  <si>
    <t>No. V20 QuickVic Tee</t>
  </si>
  <si>
    <t>Steel grooved tee</t>
  </si>
  <si>
    <t>No. 13 Elbow 11 1/4 Degree (grooved)</t>
  </si>
  <si>
    <t>Steel grooved elbow</t>
  </si>
  <si>
    <t>Gear Operator X-41 with handwheel</t>
  </si>
  <si>
    <t>Valve gear operator (mechanical)</t>
  </si>
  <si>
    <t>Combination hammer SDS-MAX M18</t>
  </si>
  <si>
    <t>Power tool (rotary hammer)</t>
  </si>
  <si>
    <t>Pointer R-TEC SDS-MAX 400 mm</t>
  </si>
  <si>
    <t>SDS-MAX chisel / pointer tool</t>
  </si>
  <si>
    <t>Lubricant WD-40</t>
  </si>
  <si>
    <t>General purpose lubricant</t>
  </si>
  <si>
    <t>Battery M18 FB8</t>
  </si>
  <si>
    <t>Rechargeable power tool battery</t>
  </si>
  <si>
    <t>Transport equipment, machinery and equipment</t>
  </si>
  <si>
    <t>Transport-related machinery and equipment</t>
  </si>
  <si>
    <t>Drift materials</t>
  </si>
  <si>
    <t>Operational consumables and miscellaneous materials</t>
  </si>
  <si>
    <t>Workwear and protective equipment</t>
  </si>
  <si>
    <t>Workwear, PPE and protective clothing</t>
  </si>
  <si>
    <t>Newspapers, journals, books, etc.</t>
  </si>
  <si>
    <t>Printed media and publications</t>
  </si>
  <si>
    <t>Comfort cooling – heat pump incl. wiring</t>
  </si>
  <si>
    <t>HVAC installation and commissioning services</t>
  </si>
  <si>
    <t>External walling (Paroc)</t>
  </si>
  <si>
    <t>Building envelope and insulation works</t>
  </si>
  <si>
    <t>David hoist for chiller gantry</t>
  </si>
  <si>
    <t>Lifting and hoisting services (construction support)</t>
  </si>
  <si>
    <t>Dock leveller</t>
  </si>
  <si>
    <t>Industrial loading bay equipment installation</t>
  </si>
  <si>
    <t>Floor cutting warehouse slab</t>
  </si>
  <si>
    <t>Concrete cutting and demolition services</t>
  </si>
  <si>
    <t>Column foundation under slab demolition</t>
  </si>
  <si>
    <t>Structural demolition services</t>
  </si>
  <si>
    <t>Sealing rainwater &amp; changing subterranean piping</t>
  </si>
  <si>
    <t>Drainage sealing and underground piping works</t>
  </si>
  <si>
    <t>MV system within site boundaries (route change)</t>
  </si>
  <si>
    <t>Medium-voltage electrical installation works</t>
  </si>
  <si>
    <t>Fiber ducts within site boundaries (route change)</t>
  </si>
  <si>
    <t>Fiber ducting and civil works</t>
  </si>
  <si>
    <t>VO-04 Asphalt and fence removal</t>
  </si>
  <si>
    <t>Asphalt removal and fencing works</t>
  </si>
  <si>
    <t>VO-03 Rock blasting &amp; excavation</t>
  </si>
  <si>
    <t>Rock blasting and excavation services</t>
  </si>
  <si>
    <t>Service lifts</t>
  </si>
  <si>
    <t>Lift installation and servicing</t>
  </si>
  <si>
    <t>Chillers (material and installation) – Part B</t>
  </si>
  <si>
    <t>Chiller installation and commissioning services</t>
  </si>
  <si>
    <t>Gantry steel work (gratings)</t>
  </si>
  <si>
    <t>Steel gantry installation works</t>
  </si>
  <si>
    <t>Provisional sums</t>
  </si>
  <si>
    <t>General construction provisional services</t>
  </si>
  <si>
    <t>MV cable trenches – concrete works</t>
  </si>
  <si>
    <t>Civil works for underground utilities</t>
  </si>
  <si>
    <t>Concrete works for foundations and sand pit</t>
  </si>
  <si>
    <t>Foundation and concrete civil works</t>
  </si>
  <si>
    <t>Groundworks for pits</t>
  </si>
  <si>
    <t>Earthworks and pit construction</t>
  </si>
  <si>
    <t>B7: Earthing</t>
  </si>
  <si>
    <t>Electrical earthing and grounding works</t>
  </si>
  <si>
    <t>Waterproofing elevator shaft</t>
  </si>
  <si>
    <t>Waterproofing and sealing services</t>
  </si>
  <si>
    <t>MV Building – ventilation and cooling</t>
  </si>
  <si>
    <t>Building ventilation and cooling services</t>
  </si>
  <si>
    <t>Changes to loading bay area</t>
  </si>
  <si>
    <t>Loading bay modification works</t>
  </si>
  <si>
    <t>Hydrostatic flushing, pressure testing &amp; commissioning</t>
  </si>
  <si>
    <t>Mechanical testing and commissioning services</t>
  </si>
  <si>
    <t>VO-40 Load banks (Aggreko)</t>
  </si>
  <si>
    <t>Temporary load bank testing services</t>
  </si>
  <si>
    <t>Flexible flooring covers</t>
  </si>
  <si>
    <t>Temporary floor protection services</t>
  </si>
  <si>
    <t>Other services (parking, dry-cleaning, personal services)</t>
  </si>
  <si>
    <t>VO-38 Repair &amp; painting works incl. plastering</t>
  </si>
  <si>
    <t>Repair, painting and finishing services</t>
  </si>
  <si>
    <t>CableCrew installation works (labour support)</t>
  </si>
  <si>
    <t>Electrical installation labour services</t>
  </si>
  <si>
    <t>VO-39 Domestic water connection point</t>
  </si>
  <si>
    <t>Water connection and plumbing services</t>
  </si>
  <si>
    <t>VO-100 Repair escape lights</t>
  </si>
  <si>
    <t>Emergency lighting repair services</t>
  </si>
  <si>
    <t>Cabling to emergency lights</t>
  </si>
  <si>
    <t>Electrical cabling installation services</t>
  </si>
  <si>
    <t>MV system within site boundaries (additional scope)</t>
  </si>
  <si>
    <t>Fiber ducts within project site boundaries</t>
  </si>
  <si>
    <t>VO-04 Asphalt and Fence Removal</t>
  </si>
  <si>
    <t>VO-03 Rock Blasting &amp; Excavation</t>
  </si>
  <si>
    <t>Service Lifts</t>
  </si>
  <si>
    <t>Chillers (material and installation), Part B</t>
  </si>
  <si>
    <t>MV cable trenches – underground utilities</t>
  </si>
  <si>
    <t>Waterproofing works for elevator shaft</t>
  </si>
  <si>
    <t>MV Building – Ventilation and cooling</t>
  </si>
  <si>
    <t>Hydrostatic flushing, pressure testing and commissioning</t>
  </si>
  <si>
    <t>VO-40 Load Banks – rental and testing</t>
  </si>
  <si>
    <t>VO-38 Repair and painting works</t>
  </si>
  <si>
    <t>CableCrew installation works</t>
  </si>
  <si>
    <t>VO-39 Domestic water connection works</t>
  </si>
  <si>
    <t>Domestic water connection and plumbing services</t>
  </si>
  <si>
    <t>RMU / TX PODS for Kvandal 75MW</t>
  </si>
  <si>
    <t>Mechanical</t>
  </si>
  <si>
    <t>Mechanical installation services</t>
  </si>
  <si>
    <t>Electrical (MV/LV)</t>
  </si>
  <si>
    <t>Outdoor light cabling</t>
  </si>
  <si>
    <t>Mechanical Project Manager</t>
  </si>
  <si>
    <t>Ground works for foundations, excavations and backfill</t>
  </si>
  <si>
    <t>Camp setup - Canteen &amp; Hotel barracks</t>
  </si>
  <si>
    <t>Construction site services (accommodation &amp; facilities)</t>
  </si>
  <si>
    <t>Prelims - Site Setup CTS Staff</t>
  </si>
  <si>
    <t>Construction site setup and preliminaries</t>
  </si>
  <si>
    <t>Construction site establishment services</t>
  </si>
  <si>
    <t>Electrical installation services</t>
  </si>
  <si>
    <t>Electrical cabling and installation services</t>
  </si>
  <si>
    <t>VO 032.6 - Plumbing Works to Barracks</t>
  </si>
  <si>
    <t>Plumbing installation services</t>
  </si>
  <si>
    <t>Engineering and project management services</t>
  </si>
  <si>
    <t>Commissioning - First Floor Whitespace</t>
  </si>
  <si>
    <t>Commissioning services (M&amp;E systems)</t>
  </si>
  <si>
    <t>VO 025.110 - Commissioning Mechanical &amp; Electrical</t>
  </si>
  <si>
    <t>Commissioning services (mechanical &amp; electrical)</t>
  </si>
  <si>
    <t>In-depth cleaning of the MMR</t>
  </si>
  <si>
    <t>Industrial and technical cleaning services</t>
  </si>
  <si>
    <t>All concrete, Foundations and reinforcement</t>
  </si>
  <si>
    <t>Concrete foundations and reinforced structures</t>
  </si>
  <si>
    <t>Concrete works / foundations - First commitment</t>
  </si>
  <si>
    <t>Concrete works and foundations</t>
  </si>
  <si>
    <t>Groundworks and concrete preparation</t>
  </si>
  <si>
    <t>Concrete cutting and slab works</t>
  </si>
  <si>
    <t>Concrete demolition works</t>
  </si>
  <si>
    <t>Steel structure (incl. extra for Narvik snow load) + steel gantries for Chillers</t>
  </si>
  <si>
    <t>Structural steel works</t>
  </si>
  <si>
    <t>Gantry steel work remaining (gratings)</t>
  </si>
  <si>
    <t>Structural steel components</t>
  </si>
  <si>
    <t>Steel lift structures</t>
  </si>
  <si>
    <t>Dock Leveller</t>
  </si>
  <si>
    <t>Steel loading bay equipment</t>
  </si>
  <si>
    <t>Steel lifting equipment</t>
  </si>
  <si>
    <t>Electrical power distribution equipment</t>
  </si>
  <si>
    <t>Busbar 4000 Amp - Main DB to Main DB (2N)</t>
  </si>
  <si>
    <t>Electrical distribution busbar system</t>
  </si>
  <si>
    <t>VO-40 Load Banks AGGREKO (equipment portion)</t>
  </si>
  <si>
    <t>Electrical testing equipment</t>
  </si>
  <si>
    <t>Comfort cooling – heat pump (equipment portion)</t>
  </si>
  <si>
    <t>HVAC electrical equipment</t>
  </si>
  <si>
    <t>Chillers (material portion)</t>
  </si>
  <si>
    <t>Industrial cooling machinery</t>
  </si>
  <si>
    <t>MV-Building - Ventilation and cooling (equipment)</t>
  </si>
  <si>
    <t>Ventilation and cooling machinery</t>
  </si>
  <si>
    <t>VO 045 - Additional PonCAT Loadbank Testing Rental</t>
  </si>
  <si>
    <t>Rental of testing equipment</t>
  </si>
  <si>
    <t>VO 047 - Temporary Power to HACs</t>
  </si>
  <si>
    <t>Temporary power supply services</t>
  </si>
  <si>
    <t>Medium voltage installation services within site</t>
  </si>
  <si>
    <t>Fiber duct installation and routing services</t>
  </si>
  <si>
    <t>Asphalt and fencing removal works</t>
  </si>
  <si>
    <t>Trenching and underground utility works</t>
  </si>
  <si>
    <t>Groundworks and excavation services</t>
  </si>
  <si>
    <t>Earthing and grounding installation works</t>
  </si>
  <si>
    <t>Loading bay modification and construction services</t>
  </si>
  <si>
    <t>Pressure testing and commissioning services</t>
  </si>
  <si>
    <t>Emergency lighting cabling services</t>
  </si>
  <si>
    <t>Concrete foundations and sand pit construction</t>
  </si>
  <si>
    <t>Lift structures and mechanical systems</t>
  </si>
  <si>
    <t>Structural steel gratings</t>
  </si>
  <si>
    <t>Industrial cooling equipment (material component)</t>
  </si>
  <si>
    <t>Ventilation and cooling equipment</t>
  </si>
  <si>
    <t>Load bank rental and testing services</t>
  </si>
  <si>
    <t>Temporary and protective floor coverings</t>
  </si>
  <si>
    <t>Repair, finishing and painting services</t>
  </si>
  <si>
    <t>Average_construction_combustion</t>
  </si>
  <si>
    <t>tonnes CO2e/tonne</t>
  </si>
  <si>
    <t>DEFRA (2023)</t>
  </si>
  <si>
    <t>With energy recovery</t>
  </si>
  <si>
    <t>Energy Recovery</t>
  </si>
  <si>
    <t>305A030</t>
  </si>
  <si>
    <t>Norway- Electricity</t>
  </si>
  <si>
    <t>101A007</t>
  </si>
  <si>
    <t>101A008</t>
  </si>
  <si>
    <t>101A009</t>
  </si>
  <si>
    <t>101A010</t>
  </si>
  <si>
    <t>101A011</t>
  </si>
  <si>
    <t>101A012</t>
  </si>
  <si>
    <t>201A022</t>
  </si>
  <si>
    <t>201A023</t>
  </si>
  <si>
    <t>201A024</t>
  </si>
  <si>
    <t>201A025</t>
  </si>
  <si>
    <t>201A026</t>
  </si>
  <si>
    <t>201A027</t>
  </si>
  <si>
    <t>201A029</t>
  </si>
  <si>
    <t>300S031</t>
  </si>
  <si>
    <t>300S032</t>
  </si>
  <si>
    <t>300S033</t>
  </si>
  <si>
    <t>300S034</t>
  </si>
  <si>
    <t>300S035</t>
  </si>
  <si>
    <t>300S036</t>
  </si>
  <si>
    <t>300S037</t>
  </si>
  <si>
    <t>300S038</t>
  </si>
  <si>
    <t>300S040</t>
  </si>
  <si>
    <t>300S041</t>
  </si>
  <si>
    <t>300S042</t>
  </si>
  <si>
    <t>300S043</t>
  </si>
  <si>
    <t>300S044</t>
  </si>
  <si>
    <t>300S045</t>
  </si>
  <si>
    <t>300S047</t>
  </si>
  <si>
    <t>300S048</t>
  </si>
  <si>
    <t>300S049</t>
  </si>
  <si>
    <t>300S050</t>
  </si>
  <si>
    <t>300S051</t>
  </si>
  <si>
    <t>300S052</t>
  </si>
  <si>
    <t>300S056</t>
  </si>
  <si>
    <t>301S018</t>
  </si>
  <si>
    <t>301S019</t>
  </si>
  <si>
    <t>301S020</t>
  </si>
  <si>
    <t>301S021</t>
  </si>
  <si>
    <t>301S023</t>
  </si>
  <si>
    <t>301S024</t>
  </si>
  <si>
    <t>301S025</t>
  </si>
  <si>
    <t>301S027</t>
  </si>
  <si>
    <t>301S028</t>
  </si>
  <si>
    <t>301S029</t>
  </si>
  <si>
    <t>301S030</t>
  </si>
  <si>
    <t>301S031</t>
  </si>
  <si>
    <t>301S032</t>
  </si>
  <si>
    <t>301S033</t>
  </si>
  <si>
    <t>301S034</t>
  </si>
  <si>
    <t>301S035</t>
  </si>
  <si>
    <t>301S036</t>
  </si>
  <si>
    <t>301S037</t>
  </si>
  <si>
    <t>301S038</t>
  </si>
  <si>
    <t>301S040</t>
  </si>
  <si>
    <t>301S041</t>
  </si>
  <si>
    <t>301S042</t>
  </si>
  <si>
    <t>301S044</t>
  </si>
  <si>
    <t>301S045</t>
  </si>
  <si>
    <t>301S046</t>
  </si>
  <si>
    <t>301S047</t>
  </si>
  <si>
    <t>301S048</t>
  </si>
  <si>
    <t>301S049</t>
  </si>
  <si>
    <t>301S050</t>
  </si>
  <si>
    <t>58 Scope 2+3 LB factor scope 2</t>
  </si>
  <si>
    <t>Goods: Hardware</t>
  </si>
  <si>
    <t>6"/168.3mm No. 60 Cap Orange</t>
  </si>
  <si>
    <t>76.1mmx4"/76.1x102mm No 40 Adapter Nipple Unpainted Grooved x Threaded Male BSPT</t>
  </si>
  <si>
    <t>8x8"x76.1mm/219.1x219.1x76.1mm No 25 Grooved Branch Reducing Tee Orange SWS</t>
  </si>
  <si>
    <t>10"/273mm No. 13 Elbow 11 1/4 Degree Orange C/E=2 1/8"</t>
  </si>
  <si>
    <t>10x10x8"/273x273x219.1mm No 25 Grooved Branch ReducingTee Orange</t>
  </si>
  <si>
    <t>139.7mm No 60 Cap Orange</t>
  </si>
  <si>
    <t>8x8"x139.7mm/219.1x219.1x139.7mm OD No 25 Grooved Branch Reducing Tee Orange Segmentally Welded</t>
  </si>
  <si>
    <t>Gear Operator X-41 Uses P125/12 Attached Handwheel</t>
  </si>
  <si>
    <t>10"/273mm No. 60 Cap Orange</t>
  </si>
  <si>
    <t>MS Office 365 Business</t>
  </si>
  <si>
    <t>Comfort cooling - heat pump including wiring</t>
  </si>
  <si>
    <t>David hoist for chiller gantry. Included under Schedule H, line 125</t>
  </si>
  <si>
    <t>Floor cutting warehouse slab dimension/thickness</t>
  </si>
  <si>
    <t>Column foundation under slab demolition T</t>
  </si>
  <si>
    <t>Sealing Rainwater and changing subterranian piping</t>
  </si>
  <si>
    <t>MV system wihin site boundaries additional scope due to changed route within Site. Included under Schedule J, line 010.</t>
  </si>
  <si>
    <t>Fiber ducts within VDC02 Project site boundaries additional scope due to changed route within Site. Included under Schedule J, line 010.</t>
  </si>
  <si>
    <t>MV - Cabel Trenches - Underground utilities: Concrete works for MV ducts</t>
  </si>
  <si>
    <t>MECWIDE VOR-010 Hydrostatic Flushing, Pressure Testing and Commissioning of Chilled Water pipe network</t>
  </si>
  <si>
    <t>VO-40 Load Banks AGGREKO COSTS</t>
  </si>
  <si>
    <t>VO-38 (EI-16) Repair and painting works including plastering, data hall existing structures</t>
  </si>
  <si>
    <t>CableCrew Installation works 3men + supervisor support</t>
  </si>
  <si>
    <t>VO-39 (EI-17) Domestic Water Connection Point in Verne OPS Corridor</t>
  </si>
  <si>
    <t>Car liesing</t>
  </si>
  <si>
    <t>Design</t>
  </si>
  <si>
    <t>Employee benefit</t>
  </si>
  <si>
    <t>Events</t>
  </si>
  <si>
    <t>Healthcare</t>
  </si>
  <si>
    <t>IT System</t>
  </si>
  <si>
    <t>Law support</t>
  </si>
  <si>
    <t>Licenses</t>
  </si>
  <si>
    <t>Recruiting</t>
  </si>
  <si>
    <t>Staff welfare</t>
  </si>
  <si>
    <t>Cabling to emergency lights from 433 SB</t>
  </si>
  <si>
    <t>VO 025.103 - Ground Floor Whitespace - Containment in WS and to IDF rooms</t>
  </si>
  <si>
    <t>VO 023.100 - Commissioning - First Floor Whitespace</t>
  </si>
  <si>
    <t>VO 025.110 - Ground Floor Whitespace - Commissioning - Mechanical and Electrical Services 20.8MW Level 1-3</t>
  </si>
  <si>
    <t>VO 32.1 - Barraks &amp; Car Park - TT Anlegg works</t>
  </si>
  <si>
    <t>VO 032.2 - Barraks &amp; Car Park - Mecwide works</t>
  </si>
  <si>
    <t>VO 032.3 - Barraks &amp; Car Park - Velox Works</t>
  </si>
  <si>
    <t>In-depth cleaning of the MMR by RFS</t>
  </si>
  <si>
    <t>Paroc wall system (external envelope)</t>
  </si>
  <si>
    <t>Establisment of construction site area</t>
  </si>
  <si>
    <t>Earthing works</t>
  </si>
  <si>
    <t>Prefab HCS elements (roof slab) + walls, internal staircase</t>
  </si>
  <si>
    <t>RMU / TX PODS for Kvandal 75MW (addin 1xRMU &amp; 1x TX Mech)</t>
  </si>
  <si>
    <t>Walls of warehouse/compartment</t>
  </si>
  <si>
    <t>Fit-out</t>
  </si>
  <si>
    <t>Groundworks (EWA), WP A&amp;B</t>
  </si>
  <si>
    <t>VO 032.5 - OneCo Works - Site Electricity to Barracks</t>
  </si>
  <si>
    <t>VO 032.6 - Egeland Ror - Plumbing Works to Barracks</t>
  </si>
  <si>
    <t>VO 050 - Aggreko 4x 2.5MW Testing to the Chillers - Level 4</t>
  </si>
  <si>
    <t>Outdoor light cabeling</t>
  </si>
  <si>
    <t>VO 015.2 - Velox</t>
  </si>
  <si>
    <t>1st instalment -Advance payment of 20%</t>
  </si>
  <si>
    <t>Annual accounts Payroll Income tax return for the company Accounting Crona Payroll</t>
  </si>
  <si>
    <t>fee for Infobric Ease October</t>
  </si>
  <si>
    <t>Office cleaning: Mäster Samuelsgatan 42, 111 57, Stockholm October</t>
  </si>
  <si>
    <t>Strategic competence supply premium - Consulting fee</t>
  </si>
  <si>
    <t>Fortnox account</t>
  </si>
  <si>
    <t>Invoice from COO - Marc Foulkes</t>
  </si>
  <si>
    <t>Office - Electricity and Electricity network invoice 2025/10 Rasundavagen 13, 169 67, Solna</t>
  </si>
  <si>
    <t>A request has been sent to cancel the license subscription</t>
  </si>
  <si>
    <t>Swedish Tax Agency</t>
  </si>
  <si>
    <t>Coffee machine rated cost</t>
  </si>
  <si>
    <t>Consulation regadring passage breaking and CCTVs</t>
  </si>
  <si>
    <t>Data bill</t>
  </si>
  <si>
    <t>Accounting &amp; Bookkeeping</t>
  </si>
  <si>
    <t>Filling toilets and sanitises</t>
  </si>
  <si>
    <t>Saxlift</t>
  </si>
  <si>
    <t>Delivery fee</t>
  </si>
  <si>
    <t>BMS - In line with the payment plan for 50% of Project management control, design &amp; Engineering, software confing, commissioning tool.</t>
  </si>
  <si>
    <t>Stensätra 16, Stensätravägen 2-4, 127 39, Skärholmen - Rent 2025/10/16 -2025/12/31</t>
  </si>
  <si>
    <t>Substation rental Electrical cabinet 63A -Septemeber</t>
  </si>
  <si>
    <t>Bluebeam Licenser - AECO collaboration solution</t>
  </si>
  <si>
    <t>ID06 Card standard printed</t>
  </si>
  <si>
    <t>Architects fee</t>
  </si>
  <si>
    <t>Service pack premium Canon ink</t>
  </si>
  <si>
    <t>3D scanning on sie and design</t>
  </si>
  <si>
    <t>Site offfice rent</t>
  </si>
  <si>
    <t>Design conslutant</t>
  </si>
  <si>
    <t>A distribution station containing a building, switchgear, general electrical systems, ventilation, and installation.</t>
  </si>
  <si>
    <t>BAS -P  and MEP Quality Assurances</t>
  </si>
  <si>
    <t>Söderberg &amp; Partners insurances</t>
  </si>
  <si>
    <t>Generators, Optionals</t>
  </si>
  <si>
    <t>D06 card standard laser engraved logo BB-2510-96888 Express Plus Pass/ID-skanning, drop-in ID06 card standard laser engraved logo BB-2510-968891 Card holder with lanyard sports hook Black Standard card holder with lanyard and metal hook Shipping when ordering accessories</t>
  </si>
  <si>
    <t>Norway -Shipment according to agreement and customs</t>
  </si>
  <si>
    <t>Bill of Materials (BOM) / supply schedule for installing a suspended (false) ceiling system</t>
  </si>
  <si>
    <t>Project insurance  2025/10/01 - 2025/04/30</t>
  </si>
  <si>
    <t>CTS had no keys to that door, and we wanted Ramirent to assemble the ID06 doorsystem; therefore, a locksmith was contacted.</t>
  </si>
  <si>
    <t>Threaded Rod AM10 × 3000 mm, Grade 4.8, Zinc-Plated Spring Nut MT-AS M10 Hex Nut M10 Zinc-Plated Concrete Screw HUS3-PL 6 Mounting Rail MT-40</t>
  </si>
  <si>
    <t>30 % of PO for 4xHAC-H CTS black 1 964000.00 964,000.00 - Customized ceiling-mounted HAC-H</t>
  </si>
  <si>
    <t>Office coffe</t>
  </si>
  <si>
    <t>Personnel for CSA fit out</t>
  </si>
  <si>
    <t>Amin behzadadirad PPE</t>
  </si>
  <si>
    <t>Rober Ortegren and Rose Oparaocha PPE</t>
  </si>
  <si>
    <t>White board Pen</t>
  </si>
  <si>
    <t>Laying protective mat on establisment accoriding to law</t>
  </si>
  <si>
    <t>20 % paid when recived PO 12pcs of E-pods 1,7MW 33kw according to Spec</t>
  </si>
  <si>
    <t>Henerik Falkenstrand PPE</t>
  </si>
  <si>
    <t>Rober Ortegren PPE</t>
  </si>
  <si>
    <t>Addtion PPE for guest and materials</t>
  </si>
  <si>
    <t>HSE for Mattias Tejne, Andreas Tonners and Aday Aciz</t>
  </si>
  <si>
    <t>Satra Datahall - Main office</t>
  </si>
  <si>
    <t>Satra Datahall - Blue Collar office</t>
  </si>
  <si>
    <t>Satra Datahall - Data site</t>
  </si>
  <si>
    <t>Satra Datahall - Fortica .6 m Main Runner 1.2 m Cross Tee L-Angle 25×25×3 mm Field-TG Perimeter-TG XL-TG Screws Turnbuckle Thermatex Alpha ceiling tiles Gasket Roll Transport Charge</t>
  </si>
  <si>
    <t>Satra Datahall - HSE</t>
  </si>
  <si>
    <t>Satra Datahall - Site Operation</t>
  </si>
  <si>
    <t>Warehouse Rent</t>
  </si>
  <si>
    <t>Material purchases from Ahlsell GIPSSKIVA BRAND F 15 mm STÅLREGEL SKIVA 40 Associated freight costs</t>
  </si>
  <si>
    <t>Accounting &amp; Bookkeeping 2025/10/01-2025/20/31</t>
  </si>
  <si>
    <t>Accounting &amp; Bookkeeping - Providing a license for Erik Berglund</t>
  </si>
  <si>
    <t>Fire consultant - Design</t>
  </si>
  <si>
    <t>Satra Datahall - Warehouse</t>
  </si>
  <si>
    <t>Satra Datahall - Fortica Mainly contains short-term hire of site equipment Fans Dehumidifiers Heaters Drywall sanders</t>
  </si>
  <si>
    <t>Georeferencing of point clouds data center</t>
  </si>
  <si>
    <t>Nordic Crane hire</t>
  </si>
  <si>
    <t>Erik Berglund PPE</t>
  </si>
  <si>
    <t>Adrian Enderborg PPE</t>
  </si>
  <si>
    <t>Material</t>
  </si>
  <si>
    <t>Accounting &amp; Bookkeeping - Providing a license for William Cocker</t>
  </si>
  <si>
    <t>Substation rental Electrical cabinet 63A -October</t>
  </si>
  <si>
    <t>The items supplied are all components of a suspended ceiling system, including: Main runners Cross tees L-angles ceiling tiles fixings turnbuckles gasket rolls transport charge manuals</t>
  </si>
  <si>
    <t>Swedish datacentre industry yearly membership</t>
  </si>
  <si>
    <t>Electrical grid invoice</t>
  </si>
  <si>
    <t>Scope: PowerStream busbar trunking system Bolt-on &amp; plug-in busbar sections elbows offsets fire-barrier tap-off boxes end closures</t>
  </si>
  <si>
    <t>(acceleration / forced works) carried out on 7–9 Nov overtime labour travel time drawings project management</t>
  </si>
  <si>
    <t>Production room - Rent, others - September 2025</t>
  </si>
  <si>
    <t>PO for Fortica fitout works installation of fire wall installation of tate cieling installation of Hilti grids</t>
  </si>
  <si>
    <t>Assembly of 46 tap off boxes</t>
  </si>
  <si>
    <t>Assembly of 20 tap off boxes</t>
  </si>
  <si>
    <t>Amin behzadadirad PPE (HALF VISOR S.PLASMA AQ V2 PLUS)</t>
  </si>
  <si>
    <t>Hammer drill</t>
  </si>
  <si>
    <t>Staff Cabin</t>
  </si>
  <si>
    <t>Crane requested by AndersnEkman</t>
  </si>
  <si>
    <t>Starline Busbars and tappoff boxes -630Amp and 1000Amp Busbars and 63Amp tappoff</t>
  </si>
  <si>
    <t>Smart sign cloud AI</t>
  </si>
  <si>
    <t>Andreas Karlsson PPE</t>
  </si>
  <si>
    <t>Stensätra 16, Stensätravägen 2-4, 127 39, Skärholmen - Rent 2025/01/16 -2025/03/31</t>
  </si>
  <si>
    <t>Security - Office Mäster Samuelsgatan 42, 111 57, Stockholm</t>
  </si>
  <si>
    <t>Miscellaneous Office Supplies</t>
  </si>
  <si>
    <t>Hammer Drill tip</t>
  </si>
  <si>
    <t>Scope explicitly stated: Central Operational Control and Automation BMS PMS preparation Commissioning Controls PLC programming BMS software hardware</t>
  </si>
  <si>
    <t>Personal insurances for employees -SP5652609</t>
  </si>
  <si>
    <t>Immanuel Moses PPE</t>
  </si>
  <si>
    <t>Switchboards</t>
  </si>
  <si>
    <t>4xHAC-H and Customized ceiling-mounted HAC-H he supply is for HAC-H Hot Aisle Containment including frames infill panels integration with TATE grid</t>
  </si>
  <si>
    <t>Office supply</t>
  </si>
  <si>
    <t>Disconnecting two carriages</t>
  </si>
  <si>
    <t>Logistics A Ekman</t>
  </si>
  <si>
    <t>Fortica Across pages 1–4 the invoice consists of temporary hire items and services including scissor lifts pallet trucks dehumidifiers heaters sanders</t>
  </si>
  <si>
    <t>Velox equipment Satra Datahall Fortica temporary hired plant and equipment storage units forklifts scissor lifts</t>
  </si>
  <si>
    <t>Security project manager oct-nov</t>
  </si>
  <si>
    <t>Security design</t>
  </si>
  <si>
    <t>Shipment according to agreement and customs</t>
  </si>
  <si>
    <t>fee for Infobric Ease November</t>
  </si>
  <si>
    <t>Office - Electricity and Electricity network invoice 2025/11 Rasundavagen 13, 169 67, Solna</t>
  </si>
  <si>
    <t>Production room - Rent, others - December</t>
  </si>
  <si>
    <t>Ceiling &amp; wall absorbers -AMF THERMATEX Alpha</t>
  </si>
  <si>
    <t>PHASE2 &amp; PHASE3 - PLUG-IN PARTS</t>
  </si>
  <si>
    <t>Corporate secretarial service Legal and financial administration services</t>
  </si>
  <si>
    <t>Moses Emmanuel accommodation</t>
  </si>
  <si>
    <t>Fana Ebuy accommodation</t>
  </si>
  <si>
    <t>EAE Shipment according to agreement and customs</t>
  </si>
  <si>
    <t>Morris Law - to draft an LLI agreement for the project</t>
  </si>
  <si>
    <t>Moses Immanuel PPE</t>
  </si>
  <si>
    <t>Bogesh Nar PPE</t>
  </si>
  <si>
    <t>Tobias Marklund PPE</t>
  </si>
  <si>
    <t>Christmas Gifts - 440 - All Inclusive</t>
  </si>
  <si>
    <t>Accomadtion for Iliana Kargakou</t>
  </si>
  <si>
    <t>Architects fee - November 2025</t>
  </si>
  <si>
    <t>Waste recycling</t>
  </si>
  <si>
    <t>Piotr Kopka, Measurement Engineer Reflextape</t>
  </si>
  <si>
    <t>Placement of Iliana Kargakou - Senior Quantity Surveyor - Sweden</t>
  </si>
  <si>
    <t>No sheet -Order of Leak detection Material according to offer Quotation CFHS - EU – 04112025 develop and produce advanced liquid leak detection solutions</t>
  </si>
  <si>
    <t>Installation for security</t>
  </si>
  <si>
    <t>Carl Chisholm - Rerouted previously pulled cable and got new cable and cable jacks onto the site, pulle new cable, cable jointed new cable to old cables</t>
  </si>
  <si>
    <t>Material lsit</t>
  </si>
  <si>
    <t>Connector cord and 3 way power supply</t>
  </si>
  <si>
    <t>Earlier invoiced 252.1015-EN-DR005-001 - 800A Tap off box 252.1015-EN-DR005-002 - 630A Tap off box Admin and documentation SKINTOP MS-M63 BRUSH SKINDICHT SM-PE-M Weidmuller 2-Port RJ45 Coupler</t>
  </si>
  <si>
    <t>Mechanical installation</t>
  </si>
  <si>
    <t>Steel door</t>
  </si>
  <si>
    <t>Installation of ventilataion accoridng to offeer</t>
  </si>
  <si>
    <t>MFT5D58S-C0HD-2VVB18N-STBD0-G617 Fused disconnect drop cord</t>
  </si>
  <si>
    <t>insurance and risk management services</t>
  </si>
  <si>
    <t>fee for Infobric Ease December</t>
  </si>
  <si>
    <t>103A002</t>
  </si>
  <si>
    <t>103A003</t>
  </si>
  <si>
    <t>103A004</t>
  </si>
  <si>
    <t>101S007</t>
  </si>
  <si>
    <t>BEIS (2025)</t>
  </si>
  <si>
    <t>Scope 2 District Heating</t>
  </si>
  <si>
    <t>EU</t>
  </si>
  <si>
    <t>UBA (2022)</t>
  </si>
  <si>
    <t xml:space="preserve"> District heating and steam (UK 2025 grid comparable proxy to EU/Nordic grids)</t>
  </si>
  <si>
    <t>District heating and steam (German 2022 grid comparable proxy for Polish grid)</t>
  </si>
  <si>
    <t>201A030</t>
  </si>
  <si>
    <t>201A031</t>
  </si>
  <si>
    <t>305A020</t>
  </si>
  <si>
    <t>305A021</t>
  </si>
  <si>
    <t>301D001</t>
  </si>
  <si>
    <t>301D002</t>
  </si>
  <si>
    <t>301D003</t>
  </si>
  <si>
    <t>301D004</t>
  </si>
  <si>
    <t>301D005</t>
  </si>
  <si>
    <t>301D006</t>
  </si>
  <si>
    <t>301D007</t>
  </si>
  <si>
    <t>301D008</t>
  </si>
  <si>
    <t>301D009</t>
  </si>
  <si>
    <t>301D010</t>
  </si>
  <si>
    <t>301D011</t>
  </si>
  <si>
    <t>301D012</t>
  </si>
  <si>
    <t>301D013</t>
  </si>
  <si>
    <t>301D014</t>
  </si>
  <si>
    <t>301D015</t>
  </si>
  <si>
    <t>301D016</t>
  </si>
  <si>
    <t>301D017</t>
  </si>
  <si>
    <t>301D018</t>
  </si>
  <si>
    <t>301D019</t>
  </si>
  <si>
    <t>301D020</t>
  </si>
  <si>
    <t>301D021</t>
  </si>
  <si>
    <t>301D022</t>
  </si>
  <si>
    <t>301D023</t>
  </si>
  <si>
    <t>301D024</t>
  </si>
  <si>
    <t>301D025</t>
  </si>
  <si>
    <t>301D026</t>
  </si>
  <si>
    <t>301D027</t>
  </si>
  <si>
    <t>301D028</t>
  </si>
  <si>
    <t>301D029</t>
  </si>
  <si>
    <t>301D030</t>
  </si>
  <si>
    <t>301D031</t>
  </si>
  <si>
    <t>301D032</t>
  </si>
  <si>
    <t>301D033</t>
  </si>
  <si>
    <t>301D034</t>
  </si>
  <si>
    <t>301D035</t>
  </si>
  <si>
    <t>301D036</t>
  </si>
  <si>
    <t>301D037</t>
  </si>
  <si>
    <t>Scope 3 Category 3 FERA Fuel Distance</t>
  </si>
  <si>
    <t>tonnes/l</t>
  </si>
  <si>
    <t>Large flammable</t>
  </si>
  <si>
    <t>Large flammable with sorting surcharge 1</t>
  </si>
  <si>
    <t>Large flammable with sorting surcharge 2</t>
  </si>
  <si>
    <t>Combustible waste</t>
  </si>
  <si>
    <t>Bulky waste</t>
  </si>
  <si>
    <t>mixed waste (estimated)</t>
  </si>
  <si>
    <t>construction waste, non-hazardous (ordinary)</t>
  </si>
  <si>
    <t>Ceramics, sanitary ware and bathroom fixtures</t>
  </si>
  <si>
    <t>Unsorted plastic</t>
  </si>
  <si>
    <t>Including building wood</t>
  </si>
  <si>
    <t>Pure wood (A1)</t>
  </si>
  <si>
    <t>Iron and Metal</t>
  </si>
  <si>
    <t>Steel</t>
  </si>
  <si>
    <t>Concrete (0-50 cm)</t>
  </si>
  <si>
    <t>Concrete (over 50cm)</t>
  </si>
  <si>
    <t>Including brick and concrete (over 50cm)</t>
  </si>
  <si>
    <t>Bricks, blocks, and concrete</t>
  </si>
  <si>
    <t>Pure plaster</t>
  </si>
  <si>
    <t>PVC (uncontaminated)</t>
  </si>
  <si>
    <t>Electronics (mixed)</t>
  </si>
  <si>
    <t>Stone wool/Rockwool for recycling (RGS)</t>
  </si>
  <si>
    <t>Soft plastic, clear (foil)</t>
  </si>
  <si>
    <t>Soft plastic for recycling</t>
  </si>
  <si>
    <t>Sortable Waste</t>
  </si>
  <si>
    <t>Cardboard bales</t>
  </si>
  <si>
    <t>Paper to be recycled</t>
  </si>
  <si>
    <t>3"/88.9mm No. 12 Elbow 22 1/2 Degree Orange C/E=2 1/4"</t>
  </si>
  <si>
    <t>Welded Pipe DN350 355,6x5,6 EN10217-2/P235GH-TC1</t>
  </si>
  <si>
    <t>Pipe 273 X 5 MM Welded, Welding fator Z=1.0 / P235TR2/ EN 10217-1</t>
  </si>
  <si>
    <t>Hardware Reflex</t>
  </si>
  <si>
    <t>Garrafa Gas Argon 5.0 B33 EVOS 10.1 m3 300 Bar</t>
  </si>
  <si>
    <t>Transformador 200v - 12v</t>
  </si>
  <si>
    <t>Loading Tape C/ Roquete 2Ton 35mm x 6m</t>
  </si>
  <si>
    <t>Daikin Fan Wall</t>
  </si>
  <si>
    <t>Ring Wall; to building perimeter.</t>
  </si>
  <si>
    <t>Containment</t>
  </si>
  <si>
    <t>Earthing - Initial Instal - Under Building</t>
  </si>
  <si>
    <t>EI-18 Fibre Topology and DSCO Connection</t>
  </si>
  <si>
    <t>MATEMA - various installation works, snagging, touch ups, logistics, support works as directed by CTS</t>
  </si>
  <si>
    <t>VELOX Installation of Busbar - night shift works</t>
  </si>
  <si>
    <t>VO 045 - Additional PonCAT Loabank Testing Rental</t>
  </si>
  <si>
    <t>EPODS</t>
  </si>
  <si>
    <t>Outdoor flooring/ greenery</t>
  </si>
  <si>
    <t>VO 032 - Ramirent Bus Shelters</t>
  </si>
  <si>
    <t>VO 032 - Minibus from Zone 04 to Site Entrance</t>
  </si>
  <si>
    <t>Outdoor taps for water phase 2</t>
  </si>
  <si>
    <t>VO 032.15 - WIFI to the Barracks</t>
  </si>
  <si>
    <t>CCTV / camera cabeling. Indoor</t>
  </si>
  <si>
    <t>Energy Meter Chiller Branches</t>
  </si>
  <si>
    <t>Busbar</t>
  </si>
  <si>
    <t>CRAH/Fan Wall</t>
  </si>
  <si>
    <t>Hollow Core &amp; Prefab Elements</t>
  </si>
  <si>
    <t>Site IT</t>
  </si>
  <si>
    <t>Excavations</t>
  </si>
  <si>
    <t>Pods , Generators , Chillers</t>
  </si>
  <si>
    <t>Piping</t>
  </si>
  <si>
    <t>Admin Prelims Electrical</t>
  </si>
  <si>
    <t>Threaded rods, nuts, rails and fixings (installation hardware)</t>
  </si>
  <si>
    <t>Man power and material purchases</t>
  </si>
  <si>
    <t>Satra Datahall - Fortica (suspended ceiling system materials)</t>
  </si>
  <si>
    <t>Transport Charge</t>
  </si>
  <si>
    <t>Material purchases from Ahlsell (plasterboard, steel studs, freight)</t>
  </si>
  <si>
    <t>Temporary hire of site equipment (fans, heaters, dehumidifiers, sanders)</t>
  </si>
  <si>
    <t>Permanent suspended ceiling works (not preliminaries)</t>
  </si>
  <si>
    <t>PowerStream busbar trunking system scope</t>
  </si>
  <si>
    <t>Acceleration / forced works (overtime, travel, PM)</t>
  </si>
  <si>
    <t>Starline Busbars and tap-off boxes</t>
  </si>
  <si>
    <t>BMS / PMS preparation &amp; automation scope</t>
  </si>
  <si>
    <t>HAC-H Hot Aisle Containment system</t>
  </si>
  <si>
    <t>Temporary hired plant and equipment (lifts, forklifts, heaters)</t>
  </si>
  <si>
    <t>Velox equipment hire</t>
  </si>
  <si>
    <t>Staff</t>
  </si>
  <si>
    <t>Staff / Consultant</t>
  </si>
  <si>
    <t>VAT-consultant  Finland</t>
  </si>
  <si>
    <t>MAKS-system</t>
  </si>
  <si>
    <t>Garanti- Dec 2025</t>
  </si>
  <si>
    <t>Garanti- Jan-Aug, 2026</t>
  </si>
  <si>
    <t>Kaman AS</t>
  </si>
  <si>
    <t>8101 ?</t>
  </si>
  <si>
    <t>Passenger Car 5 Seats</t>
  </si>
  <si>
    <t>Passenger Vehicle 9 Seats</t>
  </si>
  <si>
    <t>FSE Renting - Passenger Cars</t>
  </si>
  <si>
    <t>Renting Car</t>
  </si>
  <si>
    <t>Inventory</t>
  </si>
  <si>
    <t>Car allowance, reporting</t>
  </si>
  <si>
    <t>Subsistence costs, reporting</t>
  </si>
  <si>
    <t>Bank and card fees</t>
  </si>
  <si>
    <t>Representation, deductible</t>
  </si>
  <si>
    <t>Representation, not deductible</t>
  </si>
  <si>
    <t>LK Presspex tip union 32 mm x 1" 5051233</t>
  </si>
  <si>
    <t>Presspex union internal 32 mm x 1" 5051241</t>
  </si>
  <si>
    <t>Elbow 90° 50 mm f/Alupex pipe 5051537</t>
  </si>
  <si>
    <t>LK Universal pipe PAL, 40 mm, straight length 5 m 5050902</t>
  </si>
  <si>
    <t>MUFFE LK PRESSPEX A50MM / FOR LK PAL 5051522</t>
  </si>
  <si>
    <t>ELBOW 45° A50 F/ALU-PEX PIPE 5051538</t>
  </si>
  <si>
    <t>Item no. 5020375 3/4R MESS NIPPLE</t>
  </si>
  <si>
    <t>Item 5020485 PLUG BRASS 3/4R / NS1757</t>
  </si>
  <si>
    <t>Pipe support 75 mm Europipe Aisi 316 2171011</t>
  </si>
  <si>
    <t>Screw clamps w/damping rubber 316 60-64 mm 3532457</t>
  </si>
  <si>
    <t>Screw clamp w/ damping rubber 2S 10-14 mm 3485516</t>
  </si>
  <si>
    <t>Sensor MBT 3560 - 250mm -50 to 150ºC G1/4</t>
  </si>
  <si>
    <t>SENSOR POCKET 1/2X200MM ZT/E-MS2</t>
  </si>
  <si>
    <t>Sensor MBT 3560 - 150mm -50 to 100ºC G1/4</t>
  </si>
  <si>
    <t>Band saw 2480X27X0.9X6/10 3014427</t>
  </si>
  <si>
    <t>Rectangular Front Shovel</t>
  </si>
  <si>
    <t>Check Valve DN125 PN16</t>
  </si>
  <si>
    <t>Fita Cola Dispensing Gun</t>
  </si>
  <si>
    <t>Flange w/groove 114.3 mm PN10/16 orange 9254977</t>
  </si>
  <si>
    <t>Item no. 5020377 1 1/4R MESS NIPPLE</t>
  </si>
  <si>
    <t>Item 5020365 NIPPLE SLEEVE MESS 1 1/4X1 1/2</t>
  </si>
  <si>
    <t>Item G0W770160ZZNE0F AGS Gasket Flushseal EPDM Grade E</t>
  </si>
  <si>
    <t>F0050006004P000 168.3x114.3 mm Concentric Reducer Orange</t>
  </si>
  <si>
    <t>40 x 32 reduction sleeve Flex-press</t>
  </si>
  <si>
    <t>50 x 4,0 mm Alu-pex 5 mtr</t>
  </si>
  <si>
    <t>1 1/2" x 50 nippelmuffe Flex-press</t>
  </si>
  <si>
    <t>Lamina Serra Sabre 8TPI</t>
  </si>
  <si>
    <t>LK Presspex T-pipe 32 mm 5051268</t>
  </si>
  <si>
    <t>Transition nipple 32 mm x 1" MS Alu-LaserPlus 8357923</t>
  </si>
  <si>
    <t>Safety valve 3/4" 9 bar 5623329</t>
  </si>
  <si>
    <t>Item 5020444 2 x 11/2 mess transfer nipple Isiflo threaded fittings</t>
  </si>
  <si>
    <t>F0050008006P000 8x6/219.1x168.3mm No 50 Concentric Reducer Orange</t>
  </si>
  <si>
    <t>C107V0080ZZPEM0 8/219.1mm Style 107V Coupling Orange EHP VP Metric B/N</t>
  </si>
  <si>
    <t>F00500080MEP0C0 8x139.7mm/219.1x139.7mm No 50 Concentric Reducer Orange Cast</t>
  </si>
  <si>
    <t>C107VM139ZZPEM0 139.7mm Style 107V Coupling Orange EHP VP Metric B/N</t>
  </si>
  <si>
    <t>F00500060MEP000 6x139.7mm/168.3x139.7mm No 50 Concentric Reducer Orange</t>
  </si>
  <si>
    <t>Rent Rems machine + jaws 16-20-26-32</t>
  </si>
  <si>
    <t>F45REM13970PLM6 139.7x70mm No 45RE Flanged Adapter Nipple PN10/16 Raised Face Orange</t>
  </si>
  <si>
    <t>Lifting Strap 1ton/2m</t>
  </si>
  <si>
    <t>Lifting Strap 3ton/4m</t>
  </si>
  <si>
    <t>Torch Tig Drag</t>
  </si>
  <si>
    <t>Steel flange smooth RF 150# 4 ASTM A105N ASME/ANSI B16.5 1222097</t>
  </si>
  <si>
    <t>Fita 45m x 48mm</t>
  </si>
  <si>
    <t>220v household vacuum cleaner</t>
  </si>
  <si>
    <t>14 Sch30 Flange WN RF Smooth 300# A105 to B16.5</t>
  </si>
  <si>
    <t>Balancing Valve STA-F DN125 w/ Flanges PN16</t>
  </si>
  <si>
    <t>Flange w/ groove 139.7mm PN10/16 F45RE orange</t>
  </si>
  <si>
    <t>Safe Valve 1'' 5.0 Prescor 320 8405519</t>
  </si>
  <si>
    <t>Safe Valve 1.1/4'' 5.0 bar Prescor 550 8405539</t>
  </si>
  <si>
    <t>Temp. Sensor WZU5-1050 Pt500 PL 6.0 * 100mm 5.0m</t>
  </si>
  <si>
    <t>PGS Thermometers TB-T-63-(-20/60stC)-8-150-2%</t>
  </si>
  <si>
    <t>50 T-rør Flex-press</t>
  </si>
  <si>
    <t>TR36 Pt100 sensor -30...150°C 8x120mm G1/2</t>
  </si>
  <si>
    <t>50 x 50 elbow 90 m/2 sleeves Flex-press</t>
  </si>
  <si>
    <t>Po Quimico Abc 6kg Fire Extinguisher</t>
  </si>
  <si>
    <t>Co2 fire extinguisher 5kg</t>
  </si>
  <si>
    <t>Heat. Panels T17 2kW</t>
  </si>
  <si>
    <t>8 Inch/219.1mm Series 732 Wye Type Vic-Strainer Orange EPDM Gasket</t>
  </si>
  <si>
    <t>Elbow brass 3/4 3261 5072916</t>
  </si>
  <si>
    <t>Lubrificante LUBRICANT 1.4 KG VICTAULIC BOX 9257291</t>
  </si>
  <si>
    <t>Dispensing Gun for Sealant</t>
  </si>
  <si>
    <t>Broca P/Damanted Return M 16 SDS PLUS</t>
  </si>
  <si>
    <t>Threaded rod M10*1000 FZV 8.8</t>
  </si>
  <si>
    <t>Threaded rod M12*1000 FZV 8.8</t>
  </si>
  <si>
    <t>Black Serrated Plastic Cable Tie 160x2.5mm (100 units)</t>
  </si>
  <si>
    <t>Lisa Paper Ribbon 50mm</t>
  </si>
  <si>
    <t>Trench 11/2</t>
  </si>
  <si>
    <t>French Wrench 8</t>
  </si>
  <si>
    <t>Grifos Key 14</t>
  </si>
  <si>
    <t>Square with Base 300mm</t>
  </si>
  <si>
    <t>Socket Box Wrench 1/2'' Nº24''</t>
  </si>
  <si>
    <t>Bosch Battery 18V 5.0Ah Li-Ion</t>
  </si>
  <si>
    <t>HSS Step Drill 6-39mm</t>
  </si>
  <si>
    <t>Black Plastic Bucket Without Lid</t>
  </si>
  <si>
    <t>100cm signage cone</t>
  </si>
  <si>
    <t>High Resistance Handle 7/8" 6.5ton</t>
  </si>
  <si>
    <t>Socket Box Wrench 1/2'' Nº17''</t>
  </si>
  <si>
    <t>M16/M10/M8 CONNECTOR</t>
  </si>
  <si>
    <t>Load Strap with Ratchet 1Ton - 25mmx5.00mt</t>
  </si>
  <si>
    <t>Tubular Lifting Belt 3Ton/6m</t>
  </si>
  <si>
    <t>Waterflux 3000F DN400 - electromagnetic flow meter - flanges DN400 PN10</t>
  </si>
  <si>
    <t>Signal cable DS grey to flow meters</t>
  </si>
  <si>
    <t>Pressure Test Pump Push Manual 60b</t>
  </si>
  <si>
    <t>Electr. 2 way PI-CCV EPIV EP100F+MOD</t>
  </si>
  <si>
    <t>T-piece DN150 ZD7150</t>
  </si>
  <si>
    <t>HOSE CLAMP ABA 11-17 AL-ZN 9308207</t>
  </si>
  <si>
    <t>NIPPELMUFFE MESSING 3/4X 1 NS1757 5020359</t>
  </si>
  <si>
    <t>BASE WBD F80-80/120 (220x220)</t>
  </si>
  <si>
    <t>STABIL D-3G 5 CLAMP (138-144) W/REV HCP</t>
  </si>
  <si>
    <t>V0761M076BE2SD0 76.1mm S 761 Vic-300 MS Butterfly Valve Black EPDM Dew Block Handle w/Memory Stop</t>
  </si>
  <si>
    <t>Dynamometric Wrench Calibrated 40-200Nm</t>
  </si>
  <si>
    <t>LOCTITE 577</t>
  </si>
  <si>
    <t>Super Cola 3</t>
  </si>
  <si>
    <t>Item no. 5020334 1/2R MESS NIPPLE SLEEVE</t>
  </si>
  <si>
    <t>Vertical buffer Tank 8m3 carbon steel</t>
  </si>
  <si>
    <t>FLAT GASKET DN15 PN16/PN40 GRAPHITE BS EN1514-1 (for Hydrogen)</t>
  </si>
  <si>
    <t>40 x 40 elbow 90 m/2 sleeves Flex-press</t>
  </si>
  <si>
    <t>C107NM076ZZPEM0 76.1mm Style 107N QuickVic Rig Coupling Org EHP Vic-Plus Gasket Metric Bolt and nut</t>
  </si>
  <si>
    <t>63 elbow 45 w/2 sleeves Felx-press 594509</t>
  </si>
  <si>
    <t>Adapter nipple 1 1/2''X1 1/4'' 5020441</t>
  </si>
  <si>
    <t>Adapter nipple 1 1/2 x 3/4 5020438</t>
  </si>
  <si>
    <t>Item no 1010007 Steel elbow 90° 1/2 BSP black Bend</t>
  </si>
  <si>
    <t>Reduction Tee A234 WPB Ø 3/4 x Ø 1/2 Sch.40</t>
  </si>
  <si>
    <t>Item no 1010009 Steel elbow 90° 3/4 BSP black Bend</t>
  </si>
  <si>
    <t>Item no 1010012 Steel elbow 90° 1 BSP black Bend</t>
  </si>
  <si>
    <t>Elbow 90° 1 Black coated internal threads 1020012</t>
  </si>
  <si>
    <t>Item nr 1220045 1 Sch 40 pipe ASTM A106 Gr.B</t>
  </si>
  <si>
    <t>Steel tubes seamless 1 1/2 Sch. 40 ASTM A106 Gr. B 1220067</t>
  </si>
  <si>
    <t>Item nr 1220036 PIPE 3/4 SCH 80 SEAMLESS ASTM A106 GR B</t>
  </si>
  <si>
    <t>Item nr 1220023 PIPE 1/2 SCH 80 SEAMLESS ASTM A106 GR B</t>
  </si>
  <si>
    <t>Item nr 1900011 6.0x1.0 pres.rør 316L ASTM A269 Pipe</t>
  </si>
  <si>
    <t>Item nr 5020486 1R MESS PLUGG Cap</t>
  </si>
  <si>
    <t>Item 5020356 NIPPELMUFFE MESSING 1/2X 3/8 NS1757</t>
  </si>
  <si>
    <t>Item 5020424 OVERGANGSNIPPEL 1/2''X 1/8'' MESS</t>
  </si>
  <si>
    <t>Adapter nipple 2 x 1 brass 5020442</t>
  </si>
  <si>
    <t>Item 5020429 Transition nipple 3/4 x 1/2</t>
  </si>
  <si>
    <t>Item 1010989 Steel union 3/4 black</t>
  </si>
  <si>
    <t>Item 5020296 MESS MUFFE</t>
  </si>
  <si>
    <t>Item 5020443 TRANSITION NIPPLE 2X1 1/4 MESS NS1757</t>
  </si>
  <si>
    <t>32 x 3.0 mm Alu-pex pipes in straight lengths 5 mtr.</t>
  </si>
  <si>
    <t>40 x 3.5 mm Alu-pex pipes in straight lengths 5 mtr.</t>
  </si>
  <si>
    <t>26 x 26 elbow 90 w/2 sleeves Flex-press</t>
  </si>
  <si>
    <t>20 x 2.0 mm Alu-pex pipes in straight lengths 5 mtr</t>
  </si>
  <si>
    <t>26 x 3.0 mm Alu-pex pipes in straight lengths 5 mtr</t>
  </si>
  <si>
    <t>50 albue 45 m/2 muffer Flex-press 594507</t>
  </si>
  <si>
    <t>26 x 20 reduction sleeve Flex-press</t>
  </si>
  <si>
    <t>32 x 26 reduction sleeve Flex-press</t>
  </si>
  <si>
    <t>40 x 26 reducing sleeve Flex-press 590313</t>
  </si>
  <si>
    <t>50 x 32 reducing sleeve Flex-press 590317</t>
  </si>
  <si>
    <t>50 x 40 reduction sleeve Flex-press 590319</t>
  </si>
  <si>
    <t>40 T-rør Flex-press 591009</t>
  </si>
  <si>
    <t>3/4 x 20 nipple socket Flex-press</t>
  </si>
  <si>
    <t>5/4 x 32 nipple socket Flex-press</t>
  </si>
  <si>
    <t>5/4 x 40 nipple socket Flex-press</t>
  </si>
  <si>
    <t>Item 590005 26 x 26 joint sleeve Flex-press</t>
  </si>
  <si>
    <t>Item 590009 40 x 40 joint sleeve Flex-press</t>
  </si>
  <si>
    <t>50 x 50 joint Flex-press 590011</t>
  </si>
  <si>
    <t>Claw coupling 3/4 external thread 9252955</t>
  </si>
  <si>
    <t>32 x 32 elbow 90 w/2 sleeves Flex-press</t>
  </si>
  <si>
    <t>V07610020BE2SD0 2/60.3mm Series 761 Vic-300 MSeal Butterfly Valve EPDM Dew Block Handle w/ Mem stop</t>
  </si>
  <si>
    <t>ZPR05 - RetroFIT + adapter kit for PR</t>
  </si>
  <si>
    <t>Rotary Actuator 160Nm PRKCA-BAC-S2-T</t>
  </si>
  <si>
    <t>V07610080BE3SD0 8/219.1mm Series 761 Vic-300 MS Butterfly Valve Bk EPDM Dew Block Gear Oper handwhe</t>
  </si>
  <si>
    <t>JRCA-BAC-S2-T Rotary actuator 90 Nm</t>
  </si>
  <si>
    <t>Gearbox for BOSCH GSB 18V-55 PN 1600A0160S</t>
  </si>
  <si>
    <t>Start button for BOSCH GDS 18V-1050H PN 2607202501</t>
  </si>
  <si>
    <t>Electronic module for BOSCH GDS 18V-1050H PN 1607233 5LG</t>
  </si>
  <si>
    <t>Rubber gasket for MAKITA DTW1001 PN 424773-5</t>
  </si>
  <si>
    <t>Interruptor p/maq. Of Impact DTW1001 hand 143416-7</t>
  </si>
  <si>
    <t>Button board for MAKITA DTW1001 PN 143417-5</t>
  </si>
  <si>
    <t>Variation button for MAKITA DTW1001 PN 456268-0</t>
  </si>
  <si>
    <t>Plate + button set for MILWAUKEE M18FIW2F12 PN 4931473551</t>
  </si>
  <si>
    <t>Start Button for OPTIMUM SP13V Part Number 03630085M21</t>
  </si>
  <si>
    <t>Security/consignment padlock</t>
  </si>
  <si>
    <t>Stainless steel sheet P/X-Acto</t>
  </si>
  <si>
    <t>Step Drill Bit</t>
  </si>
  <si>
    <t>Sensor MBT 5560 200mm -50-200ºC G1/4</t>
  </si>
  <si>
    <t>Sensor Pocket for MBT 3560</t>
  </si>
  <si>
    <t>Industrial paper roll 400 mt with double sheet</t>
  </si>
  <si>
    <t>OVERG.ANS.NIPPEL 2X 1 MESS 5020406</t>
  </si>
  <si>
    <t>Transition sleeve 2 x 1 Black tempered no. 240 1366765</t>
  </si>
  <si>
    <t>Aluminum Tape 75mm x 50m</t>
  </si>
  <si>
    <t>Aluminum Tape 50mm x 50m</t>
  </si>
  <si>
    <t>Brass nipple 1 1/2R 5020378</t>
  </si>
  <si>
    <t>Adapter nipple 1 1/2 x 1 1020988</t>
  </si>
  <si>
    <t>T-pipe brass 1 1/2R</t>
  </si>
  <si>
    <t>Galv nut Din934 8 M12 Hexagon</t>
  </si>
  <si>
    <t>Union 6 mm Acid resistant 1780104</t>
  </si>
  <si>
    <t>Flexible Rubber Hose DN 25</t>
  </si>
  <si>
    <t>Flexible Rubber Hose DN 50</t>
  </si>
  <si>
    <t>Item no 1010367 COUPLING STEEL BLACK 1/2</t>
  </si>
  <si>
    <t>Transition sleeve 1R x 1/2R 5020319</t>
  </si>
  <si>
    <t>COUPLING DATACOOL FD83 1 HOSE BARB A303</t>
  </si>
  <si>
    <t>COUPLING DATACOOL FD83 2 HOSE BARB A303</t>
  </si>
  <si>
    <t>CLAMP DATACOOL FOR EHW194 1</t>
  </si>
  <si>
    <t>CLAMP DATACOOL FOR EHW194 2</t>
  </si>
  <si>
    <t>Brass nipple 1/8R threaded</t>
  </si>
  <si>
    <t>T-pipe brass 1/4R</t>
  </si>
  <si>
    <t>Adapter nipple 1/4 x 1/8 threaded</t>
  </si>
  <si>
    <t>Sensor MBT 3560 150mm -50-150ºC G1/2</t>
  </si>
  <si>
    <t>Sensor MBT 3560 250mm -50-200ºC G1/4</t>
  </si>
  <si>
    <t>Balancing Valves</t>
  </si>
  <si>
    <t>Ball valve 2-piece with flanges DN50 PN40 Steel 316 2019D FS with lever</t>
  </si>
  <si>
    <t>Ball valve 2-piece with flanges DN80 PN40 Steel 316 2019D FS with lever</t>
  </si>
  <si>
    <t>G177N0080ZZVE1N 8/219.1mm Style 177N Gasket EHP Vic-Plus Green/yellow Stripe</t>
  </si>
  <si>
    <t>C107V0040ZZPEM0 4/114.3mm Style 107V Coupling Orange EHP VP Metric B/N</t>
  </si>
  <si>
    <t>BOLT 8.8 M16 DIN931 65MM</t>
  </si>
  <si>
    <t>BOLT 8.8 M16 DIN931 70MM</t>
  </si>
  <si>
    <t>Head screw sext M20x80 A4 DIN931</t>
  </si>
  <si>
    <t>Bolt M24*100 HDG 8.8 partial threaded</t>
  </si>
  <si>
    <t>Washer M 17 VZ DIN 125 3521282</t>
  </si>
  <si>
    <t>Brass elbow internal/external thread 1/2 5020144</t>
  </si>
  <si>
    <t>8/219.1mm Style 732 Basket 304SS Perforated Underlay</t>
  </si>
  <si>
    <t>Broca SDS max Ø24 x 200/320</t>
  </si>
  <si>
    <t>Grounding bolt X-BT-ER M10/7 SN 8 72194352</t>
  </si>
  <si>
    <t>Item nr 5020484 1/2 MESS PLUGG Cap</t>
  </si>
  <si>
    <t>Brass nipple 3/8R Isiflo threaded fittings 5020373</t>
  </si>
  <si>
    <t>Dexter Combination Wrench Set</t>
  </si>
  <si>
    <t>ZGI-015 Reducer for form fit adapter ZGV-19 9xø17x15 mm</t>
  </si>
  <si>
    <t>Stabil D-3G w/lining HCP 24-28 3/4 M16/M10/M8</t>
  </si>
  <si>
    <t>Stabil D-3G w/lining HCP 1 29-33mm</t>
  </si>
  <si>
    <t>STABIL D-3G CLAMP 1 1/2 (47-52) W/ REV HCP</t>
  </si>
  <si>
    <t>Stabil D-3G w/lining HCP 11/4 40-45mm</t>
  </si>
  <si>
    <t>Expansion bolt HSA-F M20X170/55</t>
  </si>
  <si>
    <t>SO51121-06 Syrefast-union 6mm*1/8 utv A316</t>
  </si>
  <si>
    <t>Locking clamp 3/4 27mm 72136354</t>
  </si>
  <si>
    <t>Aluminum Ladder with 3 Steps</t>
  </si>
  <si>
    <t>Cylindrical Drill Bit From 338 Hss M 13</t>
  </si>
  <si>
    <t>Sleeves</t>
  </si>
  <si>
    <t>100 Grit Iron Sandpaper Sheet</t>
  </si>
  <si>
    <t>Serra P/METAL Tico tico</t>
  </si>
  <si>
    <t>1 x 32 elbow 90 m/utv.gj. Flex-press</t>
  </si>
  <si>
    <t>5/4 x 40 elbow 90 m/utv.gj. Flex-press</t>
  </si>
  <si>
    <t>5/4 x 50 nipple sleeve Flex-press</t>
  </si>
  <si>
    <t>2 x 63 nipple sleeve Flex-press</t>
  </si>
  <si>
    <t>Transition nipple brass 1 1/2 X 2</t>
  </si>
  <si>
    <t>50 x 40 x 50 T-rør Flex-press</t>
  </si>
  <si>
    <t>1 x 26 coupling union with flat gasket Flex-press</t>
  </si>
  <si>
    <t>Coupling transition 26x3-3/4</t>
  </si>
  <si>
    <t>5/4 x 32 coupling union with flat gasket Flex-press</t>
  </si>
  <si>
    <t>Fitting transition brass 1x1 1/4</t>
  </si>
  <si>
    <t>Cylindrical Drill Bit From 338 Hss M 4.5</t>
  </si>
  <si>
    <t>Cylindrical Drill Bit From 338 Hss M 9</t>
  </si>
  <si>
    <t>Cylindrical Drill Bit From 338 Hss M 7.5</t>
  </si>
  <si>
    <t>Cylindrical Drill Bit From 338 Hss M 8</t>
  </si>
  <si>
    <t>Cylindrical Drill Bit From 338 Hss M 2.5</t>
  </si>
  <si>
    <t>Cylindrical Drill Bit From 338 Hss-Co 8 percent M 5.5</t>
  </si>
  <si>
    <t>Cylindrical Drill Bit From 338 Hss-Co 8 percent M 3.5</t>
  </si>
  <si>
    <t>Cylindrical Drill Bit From 338 Hss M 5</t>
  </si>
  <si>
    <t>Cylindrical Drill Bit From 338 Hss M 4</t>
  </si>
  <si>
    <t>Cylindrical Drill Bit From 338 Hss M 6</t>
  </si>
  <si>
    <t>Cylindrical Drill Bit From 338 Hss M 3</t>
  </si>
  <si>
    <t>Cylindrical Drill Bit From 338 Hss M 11</t>
  </si>
  <si>
    <t>Cylindrical Drill Bit From 338 Hss M 7</t>
  </si>
  <si>
    <t>Cylindrical Drill Bit From 338 Hss M 12</t>
  </si>
  <si>
    <t>Fita Metric 5m/197</t>
  </si>
  <si>
    <t>19mm Open End Wrench</t>
  </si>
  <si>
    <t>Fita serra 1335 x 13 x 0.65 mm</t>
  </si>
  <si>
    <t>Screwdriver Set Tips and Bits 36 Pieces</t>
  </si>
  <si>
    <t>Bateria Milwaukee RED Lithium M18 5.0Ah</t>
  </si>
  <si>
    <t>Flat Catch Bolt 6.35mm 75mm</t>
  </si>
  <si>
    <t>Guide for Crane Drill 12mm Part Number SRA3057</t>
  </si>
  <si>
    <t>It touches Unilock 160M</t>
  </si>
  <si>
    <t>Master Slave Activation Code</t>
  </si>
  <si>
    <t>Reflex VS 2-2/60 SC 230/50 pump</t>
  </si>
  <si>
    <t>Bladder failure detection Diaphragm rupture detector with electrode complete</t>
  </si>
  <si>
    <t>Variomat connection set G 1 1/4 6940400</t>
  </si>
  <si>
    <t>Control Vessel Conn Set MAG R 1 1/4</t>
  </si>
  <si>
    <t>50 elbow 45 m/2 muffer flex-press</t>
  </si>
  <si>
    <t>Reflex Servitec 75 90C 230/50</t>
  </si>
  <si>
    <t>Adjustable Wrenches BACHO 87 English Chave</t>
  </si>
  <si>
    <t>Elbow 90 3/4 DN20 F/F Brass</t>
  </si>
  <si>
    <t>Elbow brass 1 1/4R</t>
  </si>
  <si>
    <t>3/4 x 26 nipple socket Flex-press</t>
  </si>
  <si>
    <t>1 x 32 nipple socket Flex-press</t>
  </si>
  <si>
    <t>1/2 x 20 nipple socket Flex-press</t>
  </si>
  <si>
    <t>Item 5020436 OVERGANGSNIPPEL 1 1/4 X 1 MESS</t>
  </si>
  <si>
    <t>Item 5020433 TRANSITION NIPPLE 1X 3/4</t>
  </si>
  <si>
    <t>Adapter nipple 1/2 x 3/8</t>
  </si>
  <si>
    <t>Item no 5020374 1/2R MESS FITTING NIPPLE</t>
  </si>
  <si>
    <t>Cylindrical Drill Bit From 338 Hss-Co 8% M 6</t>
  </si>
  <si>
    <t>Cylindrical Drill Bit From 338 Hss-Co 8% M 8</t>
  </si>
  <si>
    <t>Presspex elbow 32 mm 45° 5051253</t>
  </si>
  <si>
    <t>Prf Classe 8.8 EN ISO 4014 M16x90</t>
  </si>
  <si>
    <t>Hex Prf ISO 4017 M20x90 VG8.8</t>
  </si>
  <si>
    <t>Transition NIP brass R 1 x 3/4 5073039</t>
  </si>
  <si>
    <t>sleve 26 p 26 mm ppsu ppliplus 8377777</t>
  </si>
  <si>
    <t>T-PI 40 x 40 mp petsu alu-lasplus 835</t>
  </si>
  <si>
    <t>Ceramic Tape 30x2 Self-Adhesive Roll 50m</t>
  </si>
  <si>
    <t>High Temperature Silicone 300ml</t>
  </si>
  <si>
    <t>Combination wrench with ratchet 1RM 19 mm 9822983</t>
  </si>
  <si>
    <t>26 T-tube Flex-press</t>
  </si>
  <si>
    <t>Combination wrench with ratchet 1RM 10 mm 9822973</t>
  </si>
  <si>
    <t>ALUMINUM COIL 0.6MM</t>
  </si>
  <si>
    <t>Group valve STA-D DN 50 2 with measuring nipples PN25</t>
  </si>
  <si>
    <t>Nipple sleeve brass 1 1/2 x 1 1/4</t>
  </si>
  <si>
    <t>Equipment identification TAGS</t>
  </si>
  <si>
    <t>Portable Electric Welding Fume Extractor</t>
  </si>
  <si>
    <t>Battery screwdriver</t>
  </si>
  <si>
    <t>Battery Vacuum Cleaner</t>
  </si>
  <si>
    <t>Harness 220V Male CE Female SCHUKO IP67</t>
  </si>
  <si>
    <t>2P extension H07RN-F 220V/16A IP65+ Schucko</t>
  </si>
  <si>
    <t>Battery-Powered Tube Pressing Crimping Machine</t>
  </si>
  <si>
    <t>Laser Distance Meter</t>
  </si>
  <si>
    <t>Battery Line Laser Level</t>
  </si>
  <si>
    <t>Projector Led Bateria 50W 6000K</t>
  </si>
  <si>
    <t>Battery-Powered Band Saw</t>
  </si>
  <si>
    <t>Hydraulic Jack Pad 5Ton 6.5mm</t>
  </si>
  <si>
    <t>Manual Hydraulic Pump for Tablet Jack 700 Bar</t>
  </si>
  <si>
    <t>Slide Set GS F100 1G</t>
  </si>
  <si>
    <t>THREADED PIPE G 1/2 L=2Mts HCP</t>
  </si>
  <si>
    <t>COUPLING FD83 NPT F A 303</t>
  </si>
  <si>
    <t>High Pressure Curve Double Bicone AISI316 1/2 BSPT(M) 12mm</t>
  </si>
  <si>
    <t>Flange T-pipe DN200 x 150</t>
  </si>
  <si>
    <t>Flange adapter DN200 x 150 length 300 mm</t>
  </si>
  <si>
    <t>Goods: Software</t>
  </si>
  <si>
    <t>Goods: Internal IT</t>
  </si>
  <si>
    <t>Goods: Literatur</t>
  </si>
  <si>
    <t>Goods: Furnitures</t>
  </si>
  <si>
    <t>3/88.9mm Series 761 Vic-300 MasterSeal Butterfly Valve Black EPDM Dew Block Handle with Memory Stop</t>
  </si>
  <si>
    <t>2/60.3mm Series 761 Vic-300 MasterSeal Butterfly Valve Black EPDM Dew Block Handle with Memory Stop</t>
  </si>
  <si>
    <t>3/88.9mm Style 177N QuickVic Flexible Coupling Orange EHP Vic-Plus Gasket Metric Bolt and Nut</t>
  </si>
  <si>
    <t>2/60.3mm Style 177N QuickVic Flexible Coupling Orange EHP Vic-Plus Gasket Metric Bolt and Nut</t>
  </si>
  <si>
    <t>2/60.3mm No. V10 QuickVic Elbow 90 Degree Orange</t>
  </si>
  <si>
    <t>VIC Lube Quart New Formulation 32 oz / 946 ml</t>
  </si>
  <si>
    <t>4/114.3mm Series 761 Vic-300 MasterSeal Butterfly Valve Black EPDM Dew Block Handle with Memory Stop</t>
  </si>
  <si>
    <t>1 1/2/48.3mm Style 07 Zero-Flex Rigid Coupling Orange EPDM Gasket Metric Bolt and Nut</t>
  </si>
  <si>
    <t>8/219.1mm Style 177N QuickVic Flexible Coupling Orange EHP Vic-Plus Gasket Metric Bolt and Nut</t>
  </si>
  <si>
    <t>6/168.3mm Style 07 Zero-Flex Rigid Coupling Orange EPDM Gasket Metric Bolt and Nut</t>
  </si>
  <si>
    <t>4/114.3mm Style 177N QuickVic Flexible Coupling Orange EHP Vic-Plus Gasket Metric Bolt and Nut</t>
  </si>
  <si>
    <t>4/114.3mm Style 07 Zero-Flex Rigid Coupling Orange EPDM Gasket Metric Bolt and Nut</t>
  </si>
  <si>
    <t>4-8x3/4/114.3-219.1x26.9mm Style 923 Vic-Let Strapless Outlet Black EPDM Gasket BSPP Female</t>
  </si>
  <si>
    <t>4/114.3mm No. V10 QuickVic Elbow 90 Degree Orange</t>
  </si>
  <si>
    <t>4/114.3mm No. V11 QuickVic Elbow 45 Degree Orange</t>
  </si>
  <si>
    <t>76.1mm Style 177N QuickVic Flexible Coupling Orange EHP Vic-Plus Gasket Metric Bolt and Nut</t>
  </si>
  <si>
    <t>8x6/219.1x152mm No 41-DN Flanged Adapter Nipple PN16 Raised Face Orange</t>
  </si>
  <si>
    <t>3x64mm/88.9x64mm No 45RE Flanged Adapter Nipple PN10/16 Raised Face Orange</t>
  </si>
  <si>
    <t>6x70mm/168.3x70mm No 45RE Flanged Adapter Nipple PN10/16 Raised Face Orange</t>
  </si>
  <si>
    <t>76.1x64mm No 45RE Flanged Adapter Nipple PN10/16 Raised Face Orange</t>
  </si>
  <si>
    <t>Welded steel pipes DN150 168.3mm x 4mm EN10217-2 P235GHTC1</t>
  </si>
  <si>
    <t>Item no. 1010663 1/2x1/4 black steel tip EN10241 Coupling</t>
  </si>
  <si>
    <t>6x4/168.3x114.3mm Series 731-D Suction Diffuser Orange EPDM Gasket PN10/16</t>
  </si>
  <si>
    <t>139.7mm Series 761 Vic-300 MasterSeal Butterfly Valve Black EPDM Dew Block Handle with Memory Stop</t>
  </si>
  <si>
    <t>4-8x1/2/114.3-219.1x21.3mm Style 923 Vic-Let Strapless Outlet Black EPDM Gasket BSPP Female</t>
  </si>
  <si>
    <t>139.7mmx2/139.7x60.3mm Style 920N Mechanical-T Orange EPDM Gasket Metric Bolt and Nut BSP/Rc Outlet</t>
  </si>
  <si>
    <t>139.7mmx1 1/2/139.7x48.3mm Style 920N Mechanical-T Orange EPDM Gasket Metric Bolt and Nut BSP/Rc Outlet</t>
  </si>
  <si>
    <t>2/60.3mm Series 761 Vic-300 MasterSeal Butterfly Valve Black EPDM Bare with Direct Actuation Stem</t>
  </si>
  <si>
    <t>8/219.1mm Series 761 Vic-300 MasterSeal Butterfly Valve Black EPDM Bare with Direct Actuation Stem</t>
  </si>
  <si>
    <t>8x8x2/219.1x219.1x60.3mm No 25 Reducing Tee Orange Grooved Segmentally Welded Steel</t>
  </si>
  <si>
    <t>8x2/219.1x60.3mm Style 920 Mechanical-T Orange EPDM Gasket Metric Bolt and Nut BSP/Rc Outlet</t>
  </si>
  <si>
    <t>8x6/219.1x152mm No 41-DN Flanged Adapter Nipple PN10 Raised Face Orange</t>
  </si>
  <si>
    <t>10/273mm Style 77 Standard Flexible Coupling Orange EPDM Gasket Metric Bolt and Nut</t>
  </si>
  <si>
    <t>Pi-Tape 0.75 - 7</t>
  </si>
  <si>
    <t>Pi-Tape 2-12</t>
  </si>
  <si>
    <t>10-Larger x3/4/273.0-Larger x26.9mm Style 923 Vic-Let Strapless Outlet Black EPDM Gasket BSPP Female</t>
  </si>
  <si>
    <t>1 1/2/48.3mm Style 77 Standard Flexible Coupling Orange EPDM Gasket Metric Bolt and Nut</t>
  </si>
  <si>
    <t>1 1/2/48.3mm Series 726 Ball Valve Black with Two Position Handle with Locking Device</t>
  </si>
  <si>
    <t>Seamless Pipe ASTM A333 Gr.P6 Ø16 SCH STD</t>
  </si>
  <si>
    <t>5/141.3mm Style 177N QuickVic Flexible Coupling Orange EHP Vic-Plus Gasket Metric Bolt and Nut</t>
  </si>
  <si>
    <t>5/141.3mm Series 761 Vic-300 MasterSeal Butterfly Valve Black EPDM Bare with Direct Actuation Stem</t>
  </si>
  <si>
    <t>10-Larger x1/2/273.0-Larger x21.3mm Style 923 Vic-Let Strapless Outlet Black EPDM Gasket BSPP Female</t>
  </si>
  <si>
    <t>6/168.3mm Style 177N QuickVic Flexible Coupling Orange EHP Vic-Plus Gasket Metric Bolt and Nut</t>
  </si>
  <si>
    <t>12/323.9mm Style 77 Standard Flexible Coupling Orange EPDM Gasket Metric Bolt and Nut</t>
  </si>
  <si>
    <t>2x3/4/60.3x26.9mm Style 920N Mechanical-T Orange EPDM Gasket Metric Bolt And Nut BSP/Rc Outlet</t>
  </si>
  <si>
    <t>12/323.9mm Style 107V QuickVic Rigid Coupling Orange EHP Vic-Plus Gasket Metric Bolt and Nut</t>
  </si>
  <si>
    <t>16/406.4mm Style W07 AGS Rigid Coupling Orange FlushSeal EPDM Gasket Imperial Bolt and Nut</t>
  </si>
  <si>
    <t>16x16x12 in/406.4x406.4x323.9mm Style W25 AGS Reducing Tee Orange Segment Welded Steel</t>
  </si>
  <si>
    <t>10/273mm Style 107V QuickVic Rigid Coupling Orange EHP Vic-Plus Gasket Metric Bolt and Nut</t>
  </si>
  <si>
    <t>10/273mm No. V10 QuickVic Elbow 90 Degree Orange</t>
  </si>
  <si>
    <t>10/273mm No. V11 QuickVic Elbow 45 Degree Orange</t>
  </si>
  <si>
    <t>12x12x2/323.9x323.9x60.3mm No 25 Grooved Branch Reducing Tee Orange Segmentally Welded Steel</t>
  </si>
  <si>
    <t>8x4/219.1x114.3mm No 50 Concentric Reducer Orange</t>
  </si>
  <si>
    <t>2/60.3mm Style 107V QuickVic Rigid Coupling Orange EHP Vic-Plus Gasket Metric Bolt and Nut</t>
  </si>
  <si>
    <t>8/219.1mm Style 107V QuickVic Rigid Coupling Orange EHP Vic-Plus Gasket Metric Bolt and Nut</t>
  </si>
  <si>
    <t>76.1mm No. V10 QuickVic Elbow 90 Degree Orange</t>
  </si>
  <si>
    <t>76.1mm Series 761 Vic-300 MasterSeal Butterfly Valve Black EPDM Dew Block Handle with Memory Stop</t>
  </si>
  <si>
    <t>3/88.9mm Style 107V QuickVic Rigid Coupling Orange EHP Vic-Plus Gasket Metric Bolt and Nut</t>
  </si>
  <si>
    <t>2 Inch/60.3 mm Series 732 Wye Type Vic-Strainer Orange EPDM Gasket</t>
  </si>
  <si>
    <t>2x64mm/60.3x64mm No 45RE Flanged Adapter Nipple PN10/16 Raised Face Orange</t>
  </si>
  <si>
    <t>1 1/4/42.4mm Style 07 Zero-Flex Rigid Coupling Orange EPDM Gasket Metric Bolt and Nut</t>
  </si>
  <si>
    <t>76.1mm No. V11 QuickVic Elbow 45 Degree Orange</t>
  </si>
  <si>
    <t>4/114.3mm Style 107V QuickVic Rigid Coupling Orange EHP Vic-Plus Gasket Metric Bolt and Nut</t>
  </si>
  <si>
    <t>3 Inch/88.9mm Series 732 Wye Type Vic-Strainer Orange EPDM Gasket</t>
  </si>
  <si>
    <t>4 Inch/114.3mm Series 732 Wye Type Vic-Strainer Orange EPDM Gasket</t>
  </si>
  <si>
    <t>90mm HDPE PLEx3/88.9mm GRV End Style 907 Coupling f/HDPE to Steel Pipe Black EPDM VP Gasket</t>
  </si>
  <si>
    <t>1 1/2x64mm/48.3x64mm No 45RE Flanged Adapter Nipple PN10/16 Raised Face Orange</t>
  </si>
  <si>
    <t>12x4/323.9x114.3mm No 50 Steel Concentric Reducer Orange with Tangent</t>
  </si>
  <si>
    <t>3/88.9mm No. V11 QuickVic Elbow 45 Degree Orange</t>
  </si>
  <si>
    <t>10/273mm No. V20 QuickVic Tee Orange</t>
  </si>
  <si>
    <t>139.7mm Style 107V QuickVic Rigid Coupling Orange EHP Vic-Plus Gasket Metric Bolt and Nut</t>
  </si>
  <si>
    <t>139.7mm No. V20 QuickVic Tee Orange</t>
  </si>
  <si>
    <t>139.7mm Style 177N QuickVic Flexible Coupling Orange EHP Vic-Plus Gasket Metric Bolt and Nut</t>
  </si>
  <si>
    <t>139.7mm Series 761 Vic-300 MasterSeal Butterfly Valve Black EPDM Dew Block Gear Operator and Handwheel</t>
  </si>
  <si>
    <t>5/141.3mm Series 761 Vic-300 MasterSeal Butterfly Valve Black EPDM Dew Block Handle with Memory Stop</t>
  </si>
  <si>
    <t>5x5x2/141.3x141.3x60.3mm No 25 Reducing Tee Orange Grooved Segmentally Welded Steel</t>
  </si>
  <si>
    <t>5/141.3mm Style 107V QuickVic Rigid Coupling Orange EHP Vic-Plus Gasket Metric Bolt and Nut</t>
  </si>
  <si>
    <t>Monitor</t>
  </si>
  <si>
    <t>Item 8997705 Reflex I/O Modul VS</t>
  </si>
  <si>
    <t>Metal construction</t>
  </si>
  <si>
    <t>Raw materials</t>
  </si>
  <si>
    <t>Insulations</t>
  </si>
  <si>
    <t>Tests and quality inspections</t>
  </si>
  <si>
    <t>Crimping pliers</t>
  </si>
  <si>
    <t>Kit M18 FPP4E - 555T</t>
  </si>
  <si>
    <t>Blades</t>
  </si>
  <si>
    <t>Drill bit</t>
  </si>
  <si>
    <t>Clamps</t>
  </si>
  <si>
    <t>Socket</t>
  </si>
  <si>
    <t>Phone</t>
  </si>
  <si>
    <t>Standard Online AS</t>
  </si>
  <si>
    <t>HSE</t>
  </si>
  <si>
    <t>Service: Insurance</t>
  </si>
  <si>
    <t>Service: Recruiting</t>
  </si>
  <si>
    <t>IT - Software</t>
  </si>
  <si>
    <t>Contractor</t>
  </si>
  <si>
    <t>Publicity</t>
  </si>
  <si>
    <t>House Renting cleaning</t>
  </si>
  <si>
    <t>Additional bag</t>
  </si>
  <si>
    <t>House Renting</t>
  </si>
  <si>
    <t>Rent computer systems / Software abroad</t>
  </si>
  <si>
    <t>Other foreign service (abroad)</t>
  </si>
  <si>
    <t>Audit fee</t>
  </si>
  <si>
    <t>Advertising Cost</t>
  </si>
  <si>
    <t>Other cost</t>
  </si>
  <si>
    <t>VIC Lube Quart New Formulation Tan With Expanded Content Label 32 oz/946ml</t>
  </si>
  <si>
    <t>Welded steel pipes 6'' DN150 168,3mm*4mm; 6.000mm EN10217-2 P235GHTC1 Cert. 3.1</t>
  </si>
  <si>
    <t>6x4"/168.3x114.3mm Series 731-D Suction Diffuser Orange EPDM Gasket PN10/16 AS 1074 Table E JIS10K</t>
  </si>
  <si>
    <t>1 1/2"/48.3mm Series 726 Ball Valve Black with Two Position Handle with Locking Device and Standard Trim B014116616</t>
  </si>
  <si>
    <t>90mm HDPE PLEx3"/88.9mm GRV End Style 907 Coupling f/HDPE to Steel Pipe Black EPDM VP Gasket Fluoropolymer Metric B/N</t>
  </si>
  <si>
    <t>ELBOW 45° A50 F/ALU-PEX PIPE / 1872594 LK. 5051538</t>
  </si>
  <si>
    <t>Tire Inflator Gun With Pressure Gauge</t>
  </si>
  <si>
    <t>Item 5020365 NIPPLE SLEEVE MESS.1 1/4X1 1/2 / NS1757</t>
  </si>
  <si>
    <t>Item G0W770160ZZNE0F 16 in/406.4 mm Style W77/W07/W89 AGS Gasket Flushseal EPDM Grade E</t>
  </si>
  <si>
    <t>139.7x114.3 over grooved red S 50 -VKS</t>
  </si>
  <si>
    <t>Gasket C-4324 PN10-40, Tubman DN125 HD Flange gasket Tubman PN 10-16. 141x192x2 mm 9508354</t>
  </si>
  <si>
    <t>Gasket C-4324 PN10-40, Tubman DN150 HD Flange gasket Tubman PN 10-16. 169x218x2 mm 9508355</t>
  </si>
  <si>
    <t>Balancing Valve STAG DN100</t>
  </si>
  <si>
    <t>TEC7 CLEANER - Universal cleaner and degreaser - Tec7</t>
  </si>
  <si>
    <t>TA-SCOPE Balancing Instrument</t>
  </si>
  <si>
    <t>Male Thread M24</t>
  </si>
  <si>
    <t>Set of Cylindrical Drills Din 338 Hss 2-16mm</t>
  </si>
  <si>
    <t>Long Socket Impact Wrench 1/2'' Nº17''</t>
  </si>
  <si>
    <t>Long Shank Impact Wrench 1/2'' Nº19''</t>
  </si>
  <si>
    <t>Measuring tape diameters/grooves PT-101</t>
  </si>
  <si>
    <t>40mm padlock</t>
  </si>
  <si>
    <t>HOSE CLAMP ABA 11-17 AL-ZN / 08116108014 9308207</t>
  </si>
  <si>
    <t>Metal Square 1000*500</t>
  </si>
  <si>
    <t>Item nr 1220045 1 Sch 40 (33.40x3.38) rør ASTM A106 Gr.B Pipe</t>
  </si>
  <si>
    <t>Steel tubes seamless 1 1/2 Sch. 40 (48.3 x 3.7 mm) ASTM A106 Gr. B 1220067</t>
  </si>
  <si>
    <t>Item nr 1220036 PIPE 3/4 SCH 80 (26,7x3,9) SEAMLESS TUBES ASTM A106 GR B. NORSOK MDS-630 C01/C31</t>
  </si>
  <si>
    <t>Item nr 1220023 PIPE 1/2 SCH 80 (21,3x3,7) SEAMLESS TUBES ASTM A106 GR B. NORSOK MDS-630 C01/C31</t>
  </si>
  <si>
    <t>Union for 2mm cable</t>
  </si>
  <si>
    <t>Item no 1010367 COUPLING STEEL BLACK 1/2 - Coupling</t>
  </si>
  <si>
    <t>Blind flange, DIN EN 1092-1/TYP11/FL/B1-304L-Dn80-PN16</t>
  </si>
  <si>
    <t>Blind Flange EN1092-1 P250GH PN16 DN50</t>
  </si>
  <si>
    <t>Junta Epdm Pn16 Dn50</t>
  </si>
  <si>
    <t>Item 9508352 DN80 HD Flenspakning Tubman PN 10-40. 89x142x2 mm</t>
  </si>
  <si>
    <t>8"/219.1mm Style 732 Basket 304SS 3/16" Perfor. 11 Gauge 32 Mesh Underlay</t>
  </si>
  <si>
    <t>Flange WN (Welding Neck) A105 Ø 6 Sch.40 150# RF</t>
  </si>
  <si>
    <t>Aluminum Rivet 4x12</t>
  </si>
  <si>
    <t>Pressure gauge ø100, 0...10bar, G1/2B lower, SS304 housing</t>
  </si>
  <si>
    <t>3x10 Aluminum Rivet</t>
  </si>
  <si>
    <t>F005000201HP000 2x1 1/2/60.3x48.3mm No 50 Concentric Reducer Orange</t>
  </si>
  <si>
    <t>Union AISI 316L Ø 1/8 BSP(F/M) 3000#</t>
  </si>
  <si>
    <t>Solid Vaseline</t>
  </si>
  <si>
    <t>Item 554590 Power bits Impact PH2 long Ironside 75mm 2pk 201251</t>
  </si>
  <si>
    <t>Windshield washer fluid with antifreeze 3 L</t>
  </si>
  <si>
    <t>Polyurethane Pu Foam</t>
  </si>
  <si>
    <t>Cleaning agent Soudal Gun &amp; Foam</t>
  </si>
  <si>
    <t>Quick Coupler Closure Lock (Inox)</t>
  </si>
  <si>
    <t>ISOFIT Adhesive spray 500ml</t>
  </si>
  <si>
    <t>Anti-Slip Retractable 7.5m</t>
  </si>
  <si>
    <t>Nipple sleeve brass 1/2" x 3/4" 5020357</t>
  </si>
  <si>
    <t>Flexible pipe thr. G M/F DN20</t>
  </si>
  <si>
    <t>Acid-resistant tip union with conical seal 1 1/4 1941249</t>
  </si>
  <si>
    <t>SILICONE NEUTRO ULTIMATE ALCOXY INOX RAL 9007</t>
  </si>
  <si>
    <t>Black Serrated Plastic Cable Tie 300 x 3.6mm (100 units)</t>
  </si>
  <si>
    <t>Transition sleeve 32 mm x 1" MS Alu-LaserPlus</t>
  </si>
  <si>
    <t>IBC S60x6 M/1" sl.spout</t>
  </si>
  <si>
    <t>Pressure gauge ø100, 0...1000kPa, 1/2NPT lower, bass/SST, Cal.cert</t>
  </si>
  <si>
    <t>Travel expenses, not subject to reporting</t>
  </si>
  <si>
    <t>Travel expenses, not subject to reporting without VAT</t>
  </si>
  <si>
    <t>Maintenance and repair, other</t>
  </si>
  <si>
    <t>8"/219.1mm Style 732 Basket 304SS 3/16" Perfor. 11 Gauge 32 Mesh Underlay (45.7% Open Area) (0.5mm P</t>
  </si>
  <si>
    <t>T-PI 40 X 40 mpsa alu-lasplus 835</t>
  </si>
  <si>
    <t>Item no. 5020374 1/2 inch socket nipple Isiflo thread fittings Nipple</t>
  </si>
  <si>
    <t>304A002</t>
  </si>
  <si>
    <t>304A001</t>
  </si>
  <si>
    <t>304A003</t>
  </si>
  <si>
    <t>304A005</t>
  </si>
  <si>
    <t>304A007</t>
  </si>
  <si>
    <t>304A011</t>
  </si>
  <si>
    <t>304A008</t>
  </si>
  <si>
    <t>304A009</t>
  </si>
  <si>
    <t>304A010</t>
  </si>
  <si>
    <t>304A012</t>
  </si>
  <si>
    <t>304A015</t>
  </si>
  <si>
    <t>304A016</t>
  </si>
  <si>
    <t>304A017</t>
  </si>
  <si>
    <t>304A018</t>
  </si>
  <si>
    <t>304A019</t>
  </si>
  <si>
    <t>304A020</t>
  </si>
  <si>
    <t>300S057</t>
  </si>
  <si>
    <t>Educational services</t>
  </si>
  <si>
    <t>kg/euros</t>
  </si>
  <si>
    <t>Other commercial and industrial machinery and equipment rental and leasing</t>
  </si>
  <si>
    <t>Other non-metallic mineral products</t>
  </si>
  <si>
    <t>Other Materials</t>
  </si>
  <si>
    <t>Consumer goods and general rental centres</t>
  </si>
  <si>
    <t>Consumer Goods Rental</t>
  </si>
  <si>
    <t>Repair services of computers and personal and household goods</t>
  </si>
  <si>
    <t>kg/pound</t>
  </si>
  <si>
    <t>Equipment Repair</t>
  </si>
  <si>
    <t>Food products (not elsewhere specified)</t>
  </si>
  <si>
    <t>Products of forestry/logging and related services</t>
  </si>
  <si>
    <t>Timber and Forestry Products</t>
  </si>
  <si>
    <t>Consumer goods and general rental centers</t>
  </si>
  <si>
    <t>Products of agriculture/hunting and related services</t>
  </si>
  <si>
    <t>Agriculture/Hunting/Forestry/Fishing</t>
  </si>
  <si>
    <t>Hotel and restaurant (services)</t>
  </si>
  <si>
    <t>Restaurants and Accommodation</t>
  </si>
  <si>
    <t>Collected and purified water / distribution of water (services)</t>
  </si>
  <si>
    <t>Water Treatment</t>
  </si>
  <si>
    <t>Fish and other fishing products / services incidental to fishing</t>
  </si>
  <si>
    <t>Fishing/Aquaculture/Hunting</t>
  </si>
  <si>
    <t>301K001</t>
  </si>
  <si>
    <t>301K002</t>
  </si>
  <si>
    <t>301K003</t>
  </si>
  <si>
    <t>301K004</t>
  </si>
  <si>
    <t>301K005</t>
  </si>
  <si>
    <t>301K006</t>
  </si>
  <si>
    <t>301K007</t>
  </si>
  <si>
    <t>301K008</t>
  </si>
  <si>
    <t>301K009</t>
  </si>
  <si>
    <t>301K010</t>
  </si>
  <si>
    <t>301K011</t>
  </si>
  <si>
    <t>301K012</t>
  </si>
  <si>
    <t>301K013</t>
  </si>
  <si>
    <t>Pipe S/C 6m A106 Gr.B Ø 2'' Xxs''</t>
  </si>
  <si>
    <t>Plastic Caps for Pipes 139.7mm (5'')</t>
  </si>
  <si>
    <t>Plastic Caps for Pipes</t>
  </si>
  <si>
    <t>Protective Steel Toe Shoes (Overshoes) 47</t>
  </si>
  <si>
    <t>Protective footwear</t>
  </si>
  <si>
    <t>Sweatshirt-Shirt High visibility XXL</t>
  </si>
  <si>
    <t>High visibility clothing</t>
  </si>
  <si>
    <t>Drill P/Diamond Lathe M 16 SDS PLUS</t>
  </si>
  <si>
    <t>Power tool / drill</t>
  </si>
  <si>
    <t>Bosch 18V 5.0Ah Li-Ion Battery</t>
  </si>
  <si>
    <t>Tool battery</t>
  </si>
  <si>
    <t>Heavy Duty Handle 7/8" 6.5ton</t>
  </si>
  <si>
    <t>Mechanical tool component</t>
  </si>
  <si>
    <t>Viseira Zekler zone clear 0-38060-9101-98</t>
  </si>
  <si>
    <t>Safety visor / PPE</t>
  </si>
  <si>
    <t>HiVis Winter Parka Floor Y/Black Waistcoat</t>
  </si>
  <si>
    <t>Switch P/Maq. of Impact Dtw1001</t>
  </si>
  <si>
    <t>Switch / electrical component</t>
  </si>
  <si>
    <t>Sleeve 26 x 26 mm PPSU Alu-LaserPlus</t>
  </si>
  <si>
    <t>Pipe fitting (plastic/metal)</t>
  </si>
  <si>
    <t>T-pipe 40 x 40 x 40 mm PPSU Alu-LaserPlus</t>
  </si>
  <si>
    <t>Insurance employees</t>
  </si>
  <si>
    <t>Employee insurance</t>
  </si>
  <si>
    <t>Rent for employee housing</t>
  </si>
  <si>
    <t>Housing / real estate rent</t>
  </si>
  <si>
    <t>Electricity, water, waste</t>
  </si>
  <si>
    <t>Utilities services</t>
  </si>
  <si>
    <t>Maintenance and repair</t>
  </si>
  <si>
    <t>Maintenance services</t>
  </si>
  <si>
    <t>Vehicle expenses</t>
  </si>
  <si>
    <t>Transport services</t>
  </si>
  <si>
    <t>Leasing vehicles</t>
  </si>
  <si>
    <t>Vehicle leasing services</t>
  </si>
  <si>
    <t>Private parts on vehicles</t>
  </si>
  <si>
    <t>Vehicle parts and accessories</t>
  </si>
  <si>
    <t>Administrative expenses</t>
  </si>
  <si>
    <t>Administrative services</t>
  </si>
  <si>
    <t>Office expenses</t>
  </si>
  <si>
    <t>Transport costs and customs</t>
  </si>
  <si>
    <t>IT costs</t>
  </si>
  <si>
    <t>Hotels, meals, travels</t>
  </si>
  <si>
    <t>Hospitality and travel services</t>
  </si>
  <si>
    <t>Proffessional fees</t>
  </si>
  <si>
    <t>Professional services</t>
  </si>
  <si>
    <t>Housing rent</t>
  </si>
  <si>
    <t>Switch P/Maq. of Impact Dtw1001 Sees 143416-7</t>
  </si>
  <si>
    <t>Electrical switch / component</t>
  </si>
  <si>
    <t>Sleeve 26 x 26 mm PPSU Alu-LaserPlus 8357767</t>
  </si>
  <si>
    <t>Pipe fitting sleeve (PPSU)</t>
  </si>
  <si>
    <t>T-pipe 40 x 40 x 40 mm PPSU Alu-LaserPlus 8357609</t>
  </si>
  <si>
    <t>Pipe fitting T-piece (PPSU)</t>
  </si>
  <si>
    <t>Underground utilities - Site Wide (MV/LV/Fibre/Water/Pits)</t>
  </si>
  <si>
    <t>Underground utilities installation works</t>
  </si>
  <si>
    <t>Walls External</t>
  </si>
  <si>
    <t>External walls / construction works</t>
  </si>
  <si>
    <t>Threaded Rod AM10 × 3000 mm, Grade 4.8, Zinc-Plated (bundle)</t>
  </si>
  <si>
    <t>Fixings bundle (threaded rod, nuts, rail, concrete screw)</t>
  </si>
  <si>
    <t>Material purchases from Ahlsell (plasterboard + steel studs + freight)</t>
  </si>
  <si>
    <t>Drywall materials (plasterboard + steel studs) incl. freight</t>
  </si>
  <si>
    <t>Satra Datahall - Fortica (short-term hire of site equipment)</t>
  </si>
  <si>
    <t>Short-term hire of site equipment (fans, heaters, dehumidifiers, etc.)</t>
  </si>
  <si>
    <t>Waste removal</t>
  </si>
  <si>
    <t>Waste removal service</t>
  </si>
  <si>
    <t>Work permit extension + Swedish Migration Board registration fee (Immanuel Moses)</t>
  </si>
  <si>
    <t>Public administration / permits and fees</t>
  </si>
  <si>
    <t>Proffessional Services</t>
  </si>
  <si>
    <t>Financial license</t>
  </si>
  <si>
    <t>License / registration fees</t>
  </si>
  <si>
    <t>Starline Busbars and tappoff boxes (630A/1000A)</t>
  </si>
  <si>
    <t>Electrical busbar system and accessories</t>
  </si>
  <si>
    <t>HAC-H ceiling-mounted hot aisle containment (custom)</t>
  </si>
  <si>
    <t>Data hall containment hardware (frames, panels, integration)</t>
  </si>
  <si>
    <t>Project 2001 Sales &amp; Market - Bid &amp; Opportunity Manager</t>
  </si>
  <si>
    <t>Professional services / bid management</t>
  </si>
  <si>
    <t>delivery - its not clear what is being delivered</t>
  </si>
  <si>
    <t>Delivery / transport service</t>
  </si>
  <si>
    <t>Leak detection material order (CFHS - EU – 04112025)</t>
  </si>
  <si>
    <t>Leak detection equipment/materials</t>
  </si>
  <si>
    <t>Site contractor</t>
  </si>
  <si>
    <t>Construction contractor services</t>
  </si>
  <si>
    <t>Credit Office rent invoice (Stockholm) + Office Utilities</t>
  </si>
  <si>
    <t>Office rent (incl. utilities mentioned on invoice)</t>
  </si>
  <si>
    <t>Prepayment material</t>
  </si>
  <si>
    <t>Materials (unspecified)</t>
  </si>
  <si>
    <t>Late fee - Ramirent (Satra Datahall - HSE)</t>
  </si>
  <si>
    <t>Late fee / service charge</t>
  </si>
  <si>
    <t>Cable contractor</t>
  </si>
  <si>
    <t>Cable installation contractor</t>
  </si>
  <si>
    <t>Peter Boderus</t>
  </si>
  <si>
    <t>Professional services (employee)</t>
  </si>
  <si>
    <t>Fredrik</t>
  </si>
  <si>
    <t>Philip Awad</t>
  </si>
  <si>
    <t>Fana Ebuy</t>
  </si>
  <si>
    <t>Johan Marklund</t>
  </si>
  <si>
    <t>Tobias Marklund</t>
  </si>
  <si>
    <t>Site Facilities</t>
  </si>
  <si>
    <t>Site facilities / preliminaries</t>
  </si>
  <si>
    <t>Cramo missed payment</t>
  </si>
  <si>
    <t>Site deposit</t>
  </si>
  <si>
    <t>Deposit (site services)</t>
  </si>
  <si>
    <t>CTS Management</t>
  </si>
  <si>
    <t>Threaded Rod + fixings bundle</t>
  </si>
  <si>
    <t>Steel fixings and rails</t>
  </si>
  <si>
    <t>Office coffee</t>
  </si>
  <si>
    <t>Catering supplies</t>
  </si>
  <si>
    <t>Suspended ceiling system components</t>
  </si>
  <si>
    <t>Ceiling construction materials</t>
  </si>
  <si>
    <t>Material purchases from Ahlsell (plasterboard + studs)</t>
  </si>
  <si>
    <t>Drywall materials</t>
  </si>
  <si>
    <t>Temporary hire of site equipment (Fortica)</t>
  </si>
  <si>
    <t>Short-term equipment hire</t>
  </si>
  <si>
    <t>Permanent suspended ceiling works package</t>
  </si>
  <si>
    <t>Ceiling installation materials</t>
  </si>
  <si>
    <t>PowerStream busbar trunking system</t>
  </si>
  <si>
    <t>Electrical distribution equipment</t>
  </si>
  <si>
    <t>Acceleration works (overtime labour etc.)</t>
  </si>
  <si>
    <t>Construction services / overtime works</t>
  </si>
  <si>
    <t>Work permit extension + Migration Board fee</t>
  </si>
  <si>
    <t>Public administration fees</t>
  </si>
  <si>
    <t>Starline busbars and tappoff boxes</t>
  </si>
  <si>
    <t>Electrical busbar system</t>
  </si>
  <si>
    <t>HAC-H hot aisle containment system</t>
  </si>
  <si>
    <t>Data hall containment hardware</t>
  </si>
  <si>
    <t>Metering install</t>
  </si>
  <si>
    <t>Electrical installation works</t>
  </si>
  <si>
    <t>Temporary hired plant and equipment (Velox/Fortica)</t>
  </si>
  <si>
    <t>Temporary equipment hire</t>
  </si>
  <si>
    <t>Supplementary payment / invoice settlement</t>
  </si>
  <si>
    <t>Professional services payment</t>
  </si>
  <si>
    <t>Leak detection material order</t>
  </si>
  <si>
    <t>Detection equipment</t>
  </si>
  <si>
    <t>Reimbursement Form - Björn Tell</t>
  </si>
  <si>
    <t>Employee expense reimbursement</t>
  </si>
  <si>
    <t>Office rent invoice + utilities (Stockholm)</t>
  </si>
  <si>
    <t>Office rent</t>
  </si>
  <si>
    <t>Pre-payment for load banks</t>
  </si>
  <si>
    <t>HSE Manager for Conapto according to contract</t>
  </si>
  <si>
    <t>Professional HSE services</t>
  </si>
  <si>
    <t>Sales outside Norway - CTS Group</t>
  </si>
  <si>
    <t>Sales &amp; marketing services</t>
  </si>
  <si>
    <t xml:space="preserve">DEFRA 2024 </t>
  </si>
  <si>
    <t xml:space="preserve">AIB 2023 </t>
  </si>
  <si>
    <t xml:space="preserve">EU ETS 2024 </t>
  </si>
  <si>
    <t xml:space="preserve">Fingrid 2024 </t>
  </si>
  <si>
    <t xml:space="preserve">RTE -2024 </t>
  </si>
  <si>
    <t>UBA 2024</t>
  </si>
  <si>
    <t>IEA 2023</t>
  </si>
  <si>
    <t xml:space="preserve">IEA 2023 </t>
  </si>
  <si>
    <t xml:space="preserve">Landsnet 2024 </t>
  </si>
  <si>
    <t xml:space="preserve">CEA 2023 </t>
  </si>
  <si>
    <t xml:space="preserve">EPA Ireland 2024 </t>
  </si>
  <si>
    <t xml:space="preserve">Terna 2024 </t>
  </si>
  <si>
    <t xml:space="preserve">ENTSO-E -2024 </t>
  </si>
  <si>
    <t xml:space="preserve">NVE -2024 </t>
  </si>
  <si>
    <t xml:space="preserve">REN -2024 </t>
  </si>
  <si>
    <t>REE -2024</t>
  </si>
  <si>
    <t xml:space="preserve">Svenska Kraftnät - 2024 </t>
  </si>
  <si>
    <t xml:space="preserve">Swissgrid -2024 </t>
  </si>
  <si>
    <t xml:space="preserve">DEFRA -2025 </t>
  </si>
  <si>
    <t>Project 2001 Sales &amp; Market - Bide &amp; Opportunity Manager</t>
  </si>
  <si>
    <t>Threaded Rod AM10 × 3000 mm, Grade 4.8, Zinc-Plated - Used for suspending structures (e.g. ceiling systems, supports)
Spring Nut MT-AS M10 - Nut designed to fit mounting rails (e.g. strut channels)
Hex Nut M10, Zinc-Plated (DIN 934, Grade 8) - Standard fastening nut for M10 bolts/rods
Concrete Screw HUS3-PL 6 - Heavy-duty concrete fixing screw (commonly Hilti-type anchor)
Mounting Rail MT-40 -Steel installation rail/channel used for suspended or framed installations</t>
  </si>
  <si>
    <t>Steel fixings and mounting hardware</t>
  </si>
  <si>
    <t>30% upon submission of approved drawings</t>
  </si>
  <si>
    <t>Progress payment for services</t>
  </si>
  <si>
    <t>Satra Datahall - Fortica
.6 m Main Runner
1.2 m Cross Tee
L-Angle 25×25×3 mm – RAL 9016 – 3 m
Field-TG RAL 9005 ASTM A48 Class 30
Perimeter-TG RAL 9005 ASTM A48 Class 30
XL-TG RAL 9005 ASTM A48 Class 30
1/4"-20 × 1-3/16" Screws &amp; Washer
Turnbuckle M10 ES HW-226 Steel, powder-coated black
Torque Limiter – 4 Nm
TGHDC 42×30×25×0.7 DX51D+Z125 – Perimeter
Bolt 1/4-20 × 1/2 ASME B18.6.3-304 – Perimeter
Lock Washer 1/4 ASME B18.21.1-A2 – Perimeter
TGHDC 42×30×25×0.7 DX51D+Z125 – Field
Bolt 1/4-20 × 1/2 ASME B18.6.3-304 – Field
Lock Washer 1/4 ASME B18.21.1-A2 – Field
Thermatex Alpha ceiling tiles 1180×580×19 mm
Gasket Roll (400 m)
Transport Charge
Transport Charge
Thermatex Alpha ceiling tiles 1180×580×19 mm (FOC)</t>
  </si>
  <si>
    <t>Material purchases from Ahlsell
GIPSSKIVA BRAND F 15 mm (fire-rated plasterboard)
STÅLREGEL SKIVA 40 (steel studs for drywall partitions)
Associated freight costs</t>
  </si>
  <si>
    <t>Satra Datahall - Fortica
Mainly contains:
The charges are for short-term hire of site equipment, including:
Fans / ventilation units
Dehumidifiers
Heaters
Drywall sanders
Associated services, insurance, and bulk charges
These are temporary construction aids, not permanent works and not tied to a single trade scope (SUP / ELEC / MECH).</t>
  </si>
  <si>
    <t>10% at order date</t>
  </si>
  <si>
    <t>Advance payment</t>
  </si>
  <si>
    <t>The items supplied are all components of a suspended ceiling system, including:
Main runners (3.6 m)
Cross tees (1.2 m)
L-angles (perimeter trim)
Field / perimeter / XL ceiling tiles
Fixings, turnbuckles, gasket rolls
Transport charge
Installation manuals / safety guidelines (FOC)
These are permanent ceiling works, not preliminaries and not electrical containment.</t>
  </si>
  <si>
    <t>Scope: PowerStream busbar trunking system
Bolt-on &amp; plug-in busbar sections
Elbows, offsets, phase sequence changers
Fire-barrier busbar sections
Tap-off boxes
End closures &amp; joint sets</t>
  </si>
  <si>
    <t>(acceleration / forced works) carried out on 7–9 Nov
Cost breakdown includes:
Overtime labour (100% / 200%)
Travel time, service car
Drawings / documentation
Project management</t>
  </si>
  <si>
    <t>Application for extension of work permit-Immanuel Moses and Registration fee for application to the Swedish Migration Board-Immanuel Moses</t>
  </si>
  <si>
    <t>Fredrik Attack</t>
  </si>
  <si>
    <t>Starline Busbars and tappoff boxes -630Amp and 1000Amp Busbars and 63Amp tappoff
Supplier: Starline Holding Technology Limited
Scope includes:
Busway straight sections (630A / 1000A)
End feeds (STD / REV)
Joint kits
Hangers, end caps, installation tools
Incoterms: DDP</t>
  </si>
  <si>
    <t>4xHAC-H and Customized ceiling-mounted HAC-H
he supply is for HAC-H (Hot Aisle Containment – ceiling-mounted), including:
Customised ceiling-mounted HAC-H units
Frames, infill panels, sliding panels
Integration with TATE grid
Data-hall specific containment geometry (rack heights, corridors, hot aisle)
Staged delivery, credits, and shipping</t>
  </si>
  <si>
    <t>Final invoice</t>
  </si>
  <si>
    <t>Final payment</t>
  </si>
  <si>
    <t>Fortica
Across pages 1–4, the invoice consists of temporary hire items and services, including:
Scissor lifts (battery, electric – multiple periods)
Pallet trucks
Dehumidifiers
Electric fan heaters
Dust extractors
Drywall sanders
Cables, filters, plastics (ancillary to hired equipment)</t>
  </si>
  <si>
    <t>Velox equipment
Satra Datahall - Fortica
The costs are for temporary hired plant and equipment, including:
Storage units (3.0 m insulated)
Pedestrian stackers
Counterbalance forklifts
Scissor lifts (electric, short 6 m)
Delivery, congestion, transport charges
Hire insurance</t>
  </si>
  <si>
    <t>This is a supplementary payment of the whole proforma 134 756,25 EUR  since we have previously made a payment of 107 805 EUR Inv1880.</t>
  </si>
  <si>
    <t>Invoice settlement</t>
  </si>
  <si>
    <t>No sheet -Order of Leak detection Material according to offer Quotation CFHS - EU – 04112025
develop and produce advanced liquid leak detection solutions to monitor and detect leaks of water, oil/fuel, acids, coolants and other liquids</t>
  </si>
  <si>
    <t>Refund 30% upon submission of approved drawings</t>
  </si>
  <si>
    <t>Refund</t>
  </si>
  <si>
    <t>Correction on previous credits</t>
  </si>
  <si>
    <t>Accounting adjustment</t>
  </si>
  <si>
    <t>50% at delivery</t>
  </si>
  <si>
    <t>Milestone payment</t>
  </si>
  <si>
    <t>Credit Office rent invoice: Mäster Samuelsgatan 42, 111 57,  Stockholm
Office Utilities</t>
  </si>
  <si>
    <t>Pre-payment for load banks for CON-416
10% administration fee for Marcus and Jonn</t>
  </si>
  <si>
    <t>Fortica</t>
  </si>
  <si>
    <t>Service provider costs</t>
  </si>
  <si>
    <t>Velox</t>
  </si>
  <si>
    <t>concrete waste, piece size &lt; 500 mm</t>
  </si>
  <si>
    <t>mixed sheet metal, grade A clean</t>
  </si>
  <si>
    <t>Dishwashing service (estimated)</t>
  </si>
  <si>
    <t>Biowaste (estimated)</t>
  </si>
  <si>
    <t>Plastic (estimated)</t>
  </si>
  <si>
    <t>Magazines and advertisements (estimated)</t>
  </si>
  <si>
    <t>brick waste</t>
  </si>
  <si>
    <t>mixed metal sheets</t>
  </si>
  <si>
    <t>LER 200301 General Mixed Municipal Waste</t>
  </si>
  <si>
    <t>LER 150102 Plastic Packaging Waste</t>
  </si>
  <si>
    <t>LER 150101 Paper and Cardboard</t>
  </si>
  <si>
    <t>LER 170201 Wood from construction and Demolition</t>
  </si>
  <si>
    <t>LER 170904 Mixed Construction and Demolition Waste</t>
  </si>
  <si>
    <t>LER 170203 Plastic Waste</t>
  </si>
  <si>
    <t xml:space="preserve">Paper and cardboard </t>
  </si>
  <si>
    <t>Stationary</t>
  </si>
  <si>
    <t>Cofee</t>
  </si>
  <si>
    <t>Toners &amp; ink cartridges</t>
  </si>
  <si>
    <t>IT material</t>
  </si>
  <si>
    <t>office fruit</t>
  </si>
  <si>
    <t>Plastic Covers for 219mm Pipe (8)</t>
  </si>
  <si>
    <t>Item no 1010663 1/2x1/4 black steel overg.nipp EN10241 Coupling</t>
  </si>
  <si>
    <t>3x1"/88.9x33.7mm No 60 Cap Concentric Tap Red BSPT</t>
  </si>
  <si>
    <t>3"/88.9mm No. 60 Cap Red</t>
  </si>
  <si>
    <t>12"/323.9mm No. 60 Cap Orange</t>
  </si>
  <si>
    <t>2 1/2x2"/73x60.3mm No 50 Concentric Reducer Orange E/E=2 1/2"</t>
  </si>
  <si>
    <t>8"/219.1mm No. 60 Cap Orange</t>
  </si>
  <si>
    <t>3"/88.9mm No. 60 Cap Orange</t>
  </si>
  <si>
    <t>6x6x5"/168.3x168.3x141.3mm No 25 Reducing Tee Orange Grooved</t>
  </si>
  <si>
    <t>3"/88.9mm No 60 Cap Red</t>
  </si>
  <si>
    <t>12x12x6"/323.9x323.9x168.3mm No. 25 Grooved Branch Reducing Tee Orange C/E=254mm</t>
  </si>
  <si>
    <t>12x8"/323.9x203mm No 41-DN Flanged Adapter Nipple PN16 Raised Face Orange</t>
  </si>
  <si>
    <t>2x1"/60.3x33.7mm Style 72 Outlet Coupling Orange EPDM Gasket BSP/Rc Metric Bolt and Nut</t>
  </si>
  <si>
    <t>4x4x2"/114.3x114.3x60.3mm No. 25 Reducing Tee Orange Grooved</t>
  </si>
  <si>
    <t>4x2"/114.3x60.3mm No 50 Concentric Reducer Orange</t>
  </si>
  <si>
    <t>5x5x4"/141.3x141.3x114.3mm No 25 Reducing Tee Orange Grooved</t>
  </si>
  <si>
    <t>5"/141.3mm No 60 Cap Red</t>
  </si>
  <si>
    <t>10x10x5"/273x273x141.3mm No 25 Grooved Branch Reducing Tee Orange Segmentally Welded Steel</t>
  </si>
  <si>
    <t>Seamless Pipe A333 Gr.6 Ø 14'' Sch 20</t>
  </si>
  <si>
    <t>Plastic Caps for Tubing 219mm (8")</t>
  </si>
  <si>
    <t>Welded Pipe Stainless Steel Dn 150 1.4306 (304L) Esp 2mm</t>
  </si>
  <si>
    <t>Welded Pipe Stainless Steel DN 150 1.4306 (304L) Esp. 3mm</t>
  </si>
  <si>
    <t>Tubo S/C 12m A312 Tp316l Ø 3/4'' Xs/80s Pl''</t>
  </si>
  <si>
    <t>Tubo S/C 6M A312 TP316L Ø 1 Sch.80S</t>
  </si>
  <si>
    <t>Tubo A312 TP316L Ø 1 1/4'' Sch 160</t>
  </si>
  <si>
    <t>CLS Brands, Lda</t>
  </si>
  <si>
    <t>Means for rental</t>
  </si>
  <si>
    <t>Measurement/Marking</t>
  </si>
  <si>
    <t>Lenovo ThinkPad T16 Gen 4 (intel)</t>
  </si>
  <si>
    <t>Smartsign Cloud Pro</t>
  </si>
  <si>
    <t>ERP MS DBC - BASE OUT-OF.- THE-BOX</t>
  </si>
  <si>
    <t>MS Dynamics 365 Business Central Essentials AA</t>
  </si>
  <si>
    <t>CS Contrato Suporte Base</t>
  </si>
  <si>
    <t>Microsoft Copilot for MS 365</t>
  </si>
  <si>
    <t>Starlink</t>
  </si>
  <si>
    <t>Extraction pump</t>
  </si>
  <si>
    <t>Computer equipment not deductible</t>
  </si>
  <si>
    <t>Newspapers, pamphlets, books, etc. without VAT</t>
  </si>
  <si>
    <t>Others</t>
  </si>
  <si>
    <t>Office Material</t>
  </si>
  <si>
    <t>Pipes Shrinks Clamps</t>
  </si>
  <si>
    <t>Internal</t>
  </si>
  <si>
    <t>Accomodation</t>
  </si>
  <si>
    <t>Security Staff</t>
  </si>
  <si>
    <t>Roller doors (additiopnal roll-up door in loading bay area)</t>
  </si>
  <si>
    <t>Foundations, main building</t>
  </si>
  <si>
    <t>Underground utilities, sewage system, drainage pipe, subsoil drainage up to the gantry &amp; building boundary</t>
  </si>
  <si>
    <t>Busbar 2000 Amp - From SWB to STS, IP68/55, installation</t>
  </si>
  <si>
    <t>433 DB - Delivering,</t>
  </si>
  <si>
    <t>Water tank and foundations</t>
  </si>
  <si>
    <t>433 DB - SB, Delivering,</t>
  </si>
  <si>
    <t>Busbar 3200 Amp - From POD, IP55</t>
  </si>
  <si>
    <t>Gypsum walls</t>
  </si>
  <si>
    <t>Self-leveling screed 40mm thick, office floors</t>
  </si>
  <si>
    <t>Underground utilities: Groundworks and piping for fiber routes (Lossitie&amp;Ratostie)</t>
  </si>
  <si>
    <t>Secundary steel structures</t>
  </si>
  <si>
    <t>Variation Order 42 Client Fit Out</t>
  </si>
  <si>
    <t>Additional Scope - Buffer Pipe Drains and Vents</t>
  </si>
  <si>
    <t>Additional Scope - Flushing  as a component of test and commissioning</t>
  </si>
  <si>
    <t>Piping in CRH loop in MMR</t>
  </si>
  <si>
    <t>Early warning Fire alarm in WS and installation (2 zone type)</t>
  </si>
  <si>
    <t>Snow Clearence</t>
  </si>
  <si>
    <t>Walls Internal</t>
  </si>
  <si>
    <t>Load Bearing Internal Walls, Pre-cast walls: to building core</t>
  </si>
  <si>
    <t>Other Installations (Lifts etc.)</t>
  </si>
  <si>
    <t>Site (Staff PPE)</t>
  </si>
  <si>
    <t>Structural Steel Gantry</t>
  </si>
  <si>
    <t>Variation Order VO 006 Alternative Plot for Site Accommodation Hotel</t>
  </si>
  <si>
    <t>Heating - All works</t>
  </si>
  <si>
    <t>Test and Commission</t>
  </si>
  <si>
    <t>Variation Order VO 006 Alternative Plot for Site Accommodation , Plot Reindeer  Excavation , Fill and Levelling</t>
  </si>
  <si>
    <t>Site Facilities Canteen</t>
  </si>
  <si>
    <t>Site Facilities Hotel</t>
  </si>
  <si>
    <t>Cranage</t>
  </si>
  <si>
    <t>Structural Steel</t>
  </si>
  <si>
    <t>Internal services</t>
  </si>
  <si>
    <t>mobilising personnel, materiel, tools, and management/engineering teams</t>
  </si>
  <si>
    <t>mobilising personnel, materiel, tools, and management/engineering teams 2. invoice is 20% of PO on signing</t>
  </si>
  <si>
    <t>Sustainability Working Group</t>
  </si>
  <si>
    <t>Central Operational Control and Automation / BMS / PLC / Commissioning / Software / Hardware</t>
  </si>
  <si>
    <t>Central Operational Control and Automation</t>
  </si>
  <si>
    <t>Tap off boxes / electrical components / admin and documentation</t>
  </si>
  <si>
    <t>Tap off boxes / electrical components</t>
  </si>
  <si>
    <t>The remaining amount of the costs that CTS should pay us for October &amp; November</t>
  </si>
  <si>
    <t>Cost settlement</t>
  </si>
  <si>
    <t>Office Electricity and network invoice</t>
  </si>
  <si>
    <t>Office Electricity</t>
  </si>
  <si>
    <t>Legal and financial</t>
  </si>
  <si>
    <t>Commissioning</t>
  </si>
  <si>
    <t>Architects</t>
  </si>
  <si>
    <t>Printing</t>
  </si>
  <si>
    <t>Superstructure</t>
  </si>
  <si>
    <t>Consultants</t>
  </si>
  <si>
    <t>Udevella plant</t>
  </si>
  <si>
    <t>Mechanical Installations</t>
  </si>
  <si>
    <t>Workers’ Compensation</t>
  </si>
  <si>
    <t>Fit Outs Works</t>
  </si>
  <si>
    <t>Donation</t>
  </si>
  <si>
    <t>Fire Extinguishing</t>
  </si>
  <si>
    <t>Food and drinks</t>
  </si>
  <si>
    <t>External Doors</t>
  </si>
  <si>
    <t>Proffesional Services</t>
  </si>
  <si>
    <t>Electric Power Installations</t>
  </si>
  <si>
    <t>Ventilation Systems</t>
  </si>
  <si>
    <t>Financial licence</t>
  </si>
  <si>
    <t>Temporary power installation</t>
  </si>
  <si>
    <t>HSE Ink for printer</t>
  </si>
  <si>
    <t>Rent for the Solna office</t>
  </si>
  <si>
    <t>Batteries for the mice and keyboards on site</t>
  </si>
  <si>
    <t>Scaffolding</t>
  </si>
  <si>
    <t>Parking space rental cost</t>
  </si>
  <si>
    <t>Ground rent</t>
  </si>
  <si>
    <t>Fire safety</t>
  </si>
  <si>
    <t>Tension straps</t>
  </si>
  <si>
    <t>Wide plaster</t>
  </si>
  <si>
    <t>Additional PPE for noise</t>
  </si>
  <si>
    <t>Financial consultancy services</t>
  </si>
  <si>
    <t>HSE - First aid material</t>
  </si>
  <si>
    <t>Temporary lighting on site</t>
  </si>
  <si>
    <t>Safety glasses</t>
  </si>
  <si>
    <t>News subscription</t>
  </si>
  <si>
    <t>Insurance services</t>
  </si>
  <si>
    <t>Cable services on site</t>
  </si>
  <si>
    <t>AHU / VRV commissioning services</t>
  </si>
  <si>
    <t>Support steel for cabelling</t>
  </si>
  <si>
    <t>Steel mounting and installation services</t>
  </si>
  <si>
    <t>Structural steel package</t>
  </si>
  <si>
    <t>Property and real estate services</t>
  </si>
  <si>
    <t>Preparing and submitting customs declarations</t>
  </si>
  <si>
    <t>Site office rent and heating</t>
  </si>
  <si>
    <t>Staff electronic tagging onsite</t>
  </si>
  <si>
    <t>Engineering &amp; calculation / BIM / CAD</t>
  </si>
  <si>
    <t>Engineering &amp; calculation</t>
  </si>
  <si>
    <t>Accessories for ceiling</t>
  </si>
  <si>
    <t>Infobric Ease fee</t>
  </si>
  <si>
    <t>HSE Management invoice</t>
  </si>
  <si>
    <t>Surveying Engineer</t>
  </si>
  <si>
    <t>Network security solutions</t>
  </si>
  <si>
    <t>License platform</t>
  </si>
  <si>
    <t>Advanced Core License</t>
  </si>
  <si>
    <t>power</t>
  </si>
  <si>
    <t>internet and landline</t>
  </si>
  <si>
    <t>meo</t>
  </si>
  <si>
    <t>Ativ</t>
  </si>
  <si>
    <t>Service: Bank</t>
  </si>
  <si>
    <t>Service: Authority Norway</t>
  </si>
  <si>
    <t>Software licence</t>
  </si>
  <si>
    <t>Taxsaver Ticket - Andy Gove</t>
  </si>
  <si>
    <t>3ton forklift</t>
  </si>
  <si>
    <t>Office Container</t>
  </si>
  <si>
    <t>SUB Fire Extinguisher Inspection Service</t>
  </si>
  <si>
    <t>SUB Services Thermometer Calibration</t>
  </si>
  <si>
    <t>fire extinguisher maintenance</t>
  </si>
  <si>
    <t>occupational safety audit</t>
  </si>
  <si>
    <t>generator rental</t>
  </si>
  <si>
    <t>Lawyer</t>
  </si>
  <si>
    <t>freight transport</t>
  </si>
  <si>
    <t>Man Power</t>
  </si>
  <si>
    <t>Rent, electricity, heating and other costs related to the apartment</t>
  </si>
  <si>
    <t>Rent, machinery</t>
  </si>
  <si>
    <t>Rent, means of transport</t>
  </si>
  <si>
    <t>Auditor's fees</t>
  </si>
  <si>
    <t>Rent, computer systems</t>
  </si>
  <si>
    <t>Rent, fixtures and furniture</t>
  </si>
  <si>
    <t>Maintenance and repair, buildings</t>
  </si>
  <si>
    <t>Maintenance and repair, equipment</t>
  </si>
  <si>
    <t>insulation waste (wool waste)</t>
  </si>
  <si>
    <t>hazardous/mixed waste (lithium batteries)</t>
  </si>
  <si>
    <t>metal waste (iron &amp; metal scrap)</t>
  </si>
  <si>
    <t>cardboard waste (corrugated cardboard)</t>
  </si>
  <si>
    <t>Installation (general site installation works)</t>
  </si>
  <si>
    <t>Internal doors</t>
  </si>
  <si>
    <t>HSE Manager</t>
  </si>
  <si>
    <t>Thermal Imaging Equipment Hire</t>
  </si>
  <si>
    <t>Commissioning (HVAC systems etc.)</t>
  </si>
  <si>
    <t>Access Equipment (rental)</t>
  </si>
  <si>
    <t>Secondary Steel</t>
  </si>
  <si>
    <t>Site Establishment</t>
  </si>
  <si>
    <t>Cables LV</t>
  </si>
  <si>
    <t>BMS</t>
  </si>
  <si>
    <t>Earthing and grounding</t>
  </si>
  <si>
    <t>Card Readers</t>
  </si>
  <si>
    <t>Site Signage</t>
  </si>
  <si>
    <t>Concrete Works</t>
  </si>
  <si>
    <t>Site Safety</t>
  </si>
  <si>
    <t>Snow Clearance</t>
  </si>
  <si>
    <t>Underground utilities</t>
  </si>
  <si>
    <t>Chillers / Coolers</t>
  </si>
  <si>
    <t>Dust binding</t>
  </si>
  <si>
    <t>Distribution of Power</t>
  </si>
  <si>
    <t>CDU Units</t>
  </si>
  <si>
    <t>RMU / TX PODS</t>
  </si>
  <si>
    <t>Dry Coolers</t>
  </si>
  <si>
    <t>Outdoor flooring / greenery</t>
  </si>
  <si>
    <t>Steel pipe fittings and valves</t>
  </si>
  <si>
    <t>Industrial tools (roll sets, tooling equipment)</t>
  </si>
  <si>
    <t>Self-levelling screed 40mm thick, office floors</t>
  </si>
  <si>
    <t>Snow Melting</t>
  </si>
  <si>
    <t>ACO Drains</t>
  </si>
  <si>
    <t>L4 -L5 Commissioning (Script) Activity Ordered by Verne Global PM</t>
  </si>
  <si>
    <t>External Single Doors, steel</t>
  </si>
  <si>
    <t>Variation Order 43 - Operational Support</t>
  </si>
  <si>
    <t>6"/168.3mm Style 77 Standard Flexible Coupling Galvanized EPDM Gasket Metric Bolt and Nut</t>
  </si>
  <si>
    <t>Maintenance access ladder with safety rails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</si>
</sst>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theme="1"/>
      <name val="Segoe UI"/>
      <family val="2"/>
    </font>
    <font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0"/>
      <color rgb="FF37415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0" fillId="0" borderId="3" xfId="0" applyBorder="1" applyAlignment="1">
      <alignment wrapText="1"/>
    </xf>
    <xf numFmtId="0" fontId="0" fillId="0" borderId="3" xfId="0" applyBorder="1"/>
    <xf numFmtId="0" fontId="3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11" fontId="5" fillId="0" borderId="3" xfId="0" applyNumberFormat="1" applyFont="1" applyBorder="1"/>
    <xf numFmtId="0" fontId="1" fillId="2" borderId="3" xfId="0" applyFont="1" applyFill="1" applyBorder="1" applyAlignment="1">
      <alignment horizontal="center"/>
    </xf>
    <xf numFmtId="0" fontId="4" fillId="0" borderId="3" xfId="0" applyFont="1" applyBorder="1"/>
    <xf numFmtId="11" fontId="4" fillId="0" borderId="3" xfId="0" applyNumberFormat="1" applyFont="1" applyBorder="1"/>
    <xf numFmtId="0" fontId="1" fillId="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4" borderId="3" xfId="0" applyFill="1" applyBorder="1"/>
    <xf numFmtId="11" fontId="0" fillId="0" borderId="3" xfId="0" applyNumberFormat="1" applyBorder="1"/>
    <xf numFmtId="0" fontId="0" fillId="0" borderId="3" xfId="0" applyBorder="1" applyAlignment="1">
      <alignment vertical="center"/>
    </xf>
    <xf numFmtId="0" fontId="7" fillId="0" borderId="3" xfId="0" applyFont="1" applyBorder="1"/>
    <xf numFmtId="0" fontId="8" fillId="0" borderId="3" xfId="1" applyBorder="1"/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11" fontId="0" fillId="0" borderId="3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wrapText="1"/>
    </xf>
    <xf numFmtId="0" fontId="1" fillId="2" borderId="3" xfId="0" applyFont="1" applyFill="1" applyBorder="1"/>
    <xf numFmtId="0" fontId="0" fillId="0" borderId="3" xfId="0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3" xfId="0" applyFill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/>
    <xf numFmtId="0" fontId="3" fillId="3" borderId="5" xfId="0" applyFont="1" applyFill="1" applyBorder="1"/>
    <xf numFmtId="11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164" fontId="0" fillId="7" borderId="3" xfId="0" applyNumberFormat="1" applyFill="1" applyBorder="1" applyAlignment="1">
      <alignment horizontal="center" vertical="center"/>
    </xf>
    <xf numFmtId="0" fontId="12" fillId="0" borderId="3" xfId="0" applyFont="1" applyBorder="1"/>
    <xf numFmtId="0" fontId="0" fillId="2" borderId="3" xfId="0" applyFill="1" applyBorder="1" applyAlignment="1">
      <alignment wrapText="1"/>
    </xf>
    <xf numFmtId="0" fontId="5" fillId="2" borderId="3" xfId="0" applyFont="1" applyFill="1" applyBorder="1"/>
    <xf numFmtId="0" fontId="0" fillId="2" borderId="3" xfId="0" applyFill="1" applyBorder="1"/>
    <xf numFmtId="0" fontId="0" fillId="2" borderId="0" xfId="0" applyFill="1"/>
    <xf numFmtId="0" fontId="0" fillId="6" borderId="4" xfId="0" applyFill="1" applyBorder="1" applyAlignment="1">
      <alignment wrapText="1"/>
    </xf>
    <xf numFmtId="0" fontId="0" fillId="0" borderId="4" xfId="0" applyBorder="1"/>
  </cellXfs>
  <cellStyles count="2">
    <cellStyle name="Normal" xfId="0" builtinId="0"/>
    <cellStyle name="Normal 3" xfId="1" xr:uid="{05C2D616-ADC9-45D1-8C25-056343B86B96}"/>
  </cellStyles>
  <dxfs count="90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ian Demir" id="{BE2FB1A3-B4D9-472A-8B6F-C310D4743A20}" userId="florian.d@cts-nordics.com" providerId="PeoplePicker"/>
  <person displayName="Marta Gulman" id="{5B8F44D1-1A3C-4910-A1B5-770FDA60F886}" userId="S::marta.g@cts-nordics.com::98a4c153-4b12-468d-847f-7f7d109b22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9-24T07:34:53.20" personId="{5B8F44D1-1A3C-4910-A1B5-770FDA60F886}" id="{50910F7A-F890-4E52-AF47-25BDB98891C3}">
    <text xml:space="preserve">This is an activity emission factor, we need spend based exiobase @Florian Demir </text>
    <mentions>
      <mention mentionpersonId="{BE2FB1A3-B4D9-472A-8B6F-C310D4743A20}" mentionId="{988071C3-E716-4AB1-8AF1-17DF16D2F00A}" startIndex="66" length="14"/>
    </mentions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C85-F256-4009-BED1-E5D4B090235F}">
  <dimension ref="A1:I13"/>
  <sheetViews>
    <sheetView workbookViewId="0">
      <selection activeCell="E12" sqref="E12"/>
    </sheetView>
  </sheetViews>
  <sheetFormatPr defaultRowHeight="15" x14ac:dyDescent="0.25"/>
  <cols>
    <col min="1" max="1" width="25.85546875" customWidth="1"/>
    <col min="2" max="2" width="28.28515625" customWidth="1"/>
    <col min="3" max="3" width="12.5703125" customWidth="1"/>
    <col min="4" max="4" width="32.5703125" customWidth="1"/>
    <col min="5" max="5" width="27.42578125" customWidth="1"/>
    <col min="6" max="6" width="25.42578125" customWidth="1"/>
    <col min="7" max="7" width="24.42578125" customWidth="1"/>
    <col min="8" max="8" width="25" customWidth="1"/>
    <col min="9" max="9" width="28.8554687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9</v>
      </c>
      <c r="B2" s="6" t="s">
        <v>10</v>
      </c>
      <c r="C2" s="6">
        <v>1</v>
      </c>
      <c r="D2" s="6" t="s">
        <v>11</v>
      </c>
      <c r="E2" s="6" t="s">
        <v>12</v>
      </c>
      <c r="F2" s="8">
        <v>3.5580000000000002E-5</v>
      </c>
      <c r="G2" s="6" t="s">
        <v>13</v>
      </c>
      <c r="H2" s="6" t="s">
        <v>14</v>
      </c>
      <c r="I2" s="6" t="s">
        <v>11</v>
      </c>
    </row>
    <row r="3" spans="1:9" x14ac:dyDescent="0.25">
      <c r="A3" s="6" t="s">
        <v>15</v>
      </c>
      <c r="B3" s="6" t="s">
        <v>15</v>
      </c>
      <c r="C3" s="6">
        <v>1</v>
      </c>
      <c r="D3" s="6" t="s">
        <v>11</v>
      </c>
      <c r="E3" s="6" t="s">
        <v>16</v>
      </c>
      <c r="F3" s="8">
        <v>9.0100000000000001E-6</v>
      </c>
      <c r="G3" s="6" t="s">
        <v>13</v>
      </c>
      <c r="H3" s="6" t="s">
        <v>14</v>
      </c>
      <c r="I3" s="6" t="s">
        <v>11</v>
      </c>
    </row>
    <row r="4" spans="1:9" x14ac:dyDescent="0.25">
      <c r="A4" s="6" t="s">
        <v>17</v>
      </c>
      <c r="B4" s="6" t="s">
        <v>17</v>
      </c>
      <c r="C4" s="6">
        <v>1</v>
      </c>
      <c r="D4" s="6" t="s">
        <v>11</v>
      </c>
      <c r="E4" s="6" t="s">
        <v>18</v>
      </c>
      <c r="F4" s="8">
        <v>4.4942000000000002E-4</v>
      </c>
      <c r="G4" s="6" t="s">
        <v>13</v>
      </c>
      <c r="H4" s="6" t="s">
        <v>14</v>
      </c>
      <c r="I4" s="6" t="s">
        <v>11</v>
      </c>
    </row>
    <row r="5" spans="1:9" x14ac:dyDescent="0.25">
      <c r="A5" s="6" t="s">
        <v>19</v>
      </c>
      <c r="B5" s="6" t="s">
        <v>19</v>
      </c>
      <c r="C5" s="6">
        <v>1</v>
      </c>
      <c r="D5" s="6" t="s">
        <v>11</v>
      </c>
      <c r="E5" s="6" t="s">
        <v>20</v>
      </c>
      <c r="F5" s="8">
        <v>2.51279E-3</v>
      </c>
      <c r="G5" s="6" t="s">
        <v>13</v>
      </c>
      <c r="H5" s="6" t="s">
        <v>14</v>
      </c>
      <c r="I5" s="6" t="s">
        <v>11</v>
      </c>
    </row>
    <row r="6" spans="1:9" x14ac:dyDescent="0.25">
      <c r="A6" s="6" t="s">
        <v>21</v>
      </c>
      <c r="B6" s="6" t="s">
        <v>21</v>
      </c>
      <c r="C6" s="6">
        <v>1</v>
      </c>
      <c r="D6" s="6" t="s">
        <v>11</v>
      </c>
      <c r="E6" s="6" t="s">
        <v>22</v>
      </c>
      <c r="F6" s="8">
        <v>1.5571300000000001E-3</v>
      </c>
      <c r="G6" s="6" t="s">
        <v>13</v>
      </c>
      <c r="H6" s="6" t="s">
        <v>14</v>
      </c>
      <c r="I6" s="6" t="s">
        <v>11</v>
      </c>
    </row>
    <row r="7" spans="1:9" x14ac:dyDescent="0.25">
      <c r="A7" s="6" t="s">
        <v>23</v>
      </c>
      <c r="B7" s="6" t="s">
        <v>23</v>
      </c>
      <c r="C7" s="6">
        <v>1</v>
      </c>
      <c r="D7" s="6" t="s">
        <v>11</v>
      </c>
      <c r="E7" s="6" t="s">
        <v>24</v>
      </c>
      <c r="F7" s="8">
        <v>2.0844000000000001E-3</v>
      </c>
      <c r="G7" s="6" t="s">
        <v>13</v>
      </c>
      <c r="H7" s="6" t="s">
        <v>14</v>
      </c>
      <c r="I7" s="6" t="s">
        <v>11</v>
      </c>
    </row>
    <row r="8" spans="1:9" ht="30" x14ac:dyDescent="0.25">
      <c r="A8" s="37" t="s">
        <v>3473</v>
      </c>
      <c r="B8" s="37" t="s">
        <v>3473</v>
      </c>
      <c r="C8" s="37">
        <v>1</v>
      </c>
      <c r="D8" s="37" t="s">
        <v>1345</v>
      </c>
      <c r="E8" s="6" t="s">
        <v>4739</v>
      </c>
      <c r="F8" s="36">
        <v>2.6619999999999999</v>
      </c>
      <c r="G8" s="36" t="s">
        <v>3472</v>
      </c>
      <c r="H8" s="36" t="s">
        <v>3491</v>
      </c>
      <c r="I8" s="37" t="s">
        <v>3492</v>
      </c>
    </row>
    <row r="9" spans="1:9" x14ac:dyDescent="0.25">
      <c r="A9" s="37" t="s">
        <v>3476</v>
      </c>
      <c r="B9" s="37" t="s">
        <v>3476</v>
      </c>
      <c r="C9" s="37">
        <v>1</v>
      </c>
      <c r="D9" s="37" t="s">
        <v>1345</v>
      </c>
      <c r="E9" s="6" t="s">
        <v>4740</v>
      </c>
      <c r="F9" s="36">
        <v>0.45</v>
      </c>
      <c r="G9" s="36" t="s">
        <v>3472</v>
      </c>
      <c r="H9" s="36" t="s">
        <v>3494</v>
      </c>
      <c r="I9" s="37" t="s">
        <v>3492</v>
      </c>
    </row>
    <row r="10" spans="1:9" ht="30" x14ac:dyDescent="0.25">
      <c r="A10" s="37" t="s">
        <v>3480</v>
      </c>
      <c r="B10" s="37" t="s">
        <v>3480</v>
      </c>
      <c r="C10" s="37">
        <v>1</v>
      </c>
      <c r="D10" s="37" t="s">
        <v>1345</v>
      </c>
      <c r="E10" s="6" t="s">
        <v>4741</v>
      </c>
      <c r="F10" s="36">
        <v>2.8</v>
      </c>
      <c r="G10" s="36" t="s">
        <v>3479</v>
      </c>
      <c r="H10" s="36" t="s">
        <v>3496</v>
      </c>
      <c r="I10" s="37" t="s">
        <v>3492</v>
      </c>
    </row>
    <row r="11" spans="1:9" x14ac:dyDescent="0.25">
      <c r="A11" s="37" t="s">
        <v>3483</v>
      </c>
      <c r="B11" s="37" t="s">
        <v>3483</v>
      </c>
      <c r="C11" s="37">
        <v>1</v>
      </c>
      <c r="D11" s="37" t="s">
        <v>1345</v>
      </c>
      <c r="E11" s="6" t="s">
        <v>4742</v>
      </c>
      <c r="F11" s="36">
        <v>3.073</v>
      </c>
      <c r="G11" s="36" t="s">
        <v>3479</v>
      </c>
      <c r="H11" s="36" t="s">
        <v>3497</v>
      </c>
      <c r="I11" s="37" t="s">
        <v>3492</v>
      </c>
    </row>
    <row r="12" spans="1:9" x14ac:dyDescent="0.25">
      <c r="A12" s="37" t="s">
        <v>3484</v>
      </c>
      <c r="B12" s="37" t="s">
        <v>3484</v>
      </c>
      <c r="C12" s="37">
        <v>1</v>
      </c>
      <c r="D12" s="37" t="s">
        <v>1345</v>
      </c>
      <c r="E12" s="6" t="s">
        <v>4743</v>
      </c>
      <c r="F12" s="36">
        <v>0.111</v>
      </c>
      <c r="G12" s="36" t="s">
        <v>3479</v>
      </c>
      <c r="H12" s="36" t="s">
        <v>3497</v>
      </c>
      <c r="I12" s="37" t="s">
        <v>3492</v>
      </c>
    </row>
    <row r="13" spans="1:9" x14ac:dyDescent="0.25">
      <c r="A13" s="6" t="s">
        <v>2905</v>
      </c>
      <c r="B13" s="6" t="s">
        <v>4738</v>
      </c>
      <c r="C13" s="37">
        <v>1</v>
      </c>
      <c r="D13" s="6" t="s">
        <v>11</v>
      </c>
      <c r="E13" s="6" t="s">
        <v>4744</v>
      </c>
      <c r="F13" s="8">
        <v>5.9860909602624203E-4</v>
      </c>
      <c r="G13" s="6" t="s">
        <v>177</v>
      </c>
      <c r="H13" s="6" t="s">
        <v>178</v>
      </c>
      <c r="I13" s="6" t="s">
        <v>11</v>
      </c>
    </row>
  </sheetData>
  <phoneticPr fontId="2" type="noConversion"/>
  <conditionalFormatting sqref="A8:B12">
    <cfRule type="expression" dxfId="89" priority="18">
      <formula>MOD(ROW(),2)=0</formula>
    </cfRule>
  </conditionalFormatting>
  <conditionalFormatting sqref="D8:D12">
    <cfRule type="expression" dxfId="88" priority="27">
      <formula>MOD(ROW(),2)=0</formula>
    </cfRule>
  </conditionalFormatting>
  <conditionalFormatting sqref="F8:G12">
    <cfRule type="expression" dxfId="87" priority="20">
      <formula>MOD(ROW(),2)=0</formula>
    </cfRule>
  </conditionalFormatting>
  <conditionalFormatting sqref="H8:H10">
    <cfRule type="expression" dxfId="86" priority="3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CF03-7F88-426A-92E3-13F9C54C1A92}">
  <dimension ref="A1:I6"/>
  <sheetViews>
    <sheetView workbookViewId="0">
      <selection activeCell="C27" sqref="C27"/>
    </sheetView>
  </sheetViews>
  <sheetFormatPr defaultRowHeight="15" x14ac:dyDescent="0.25"/>
  <cols>
    <col min="1" max="1" width="31" customWidth="1"/>
    <col min="2" max="2" width="28.42578125" customWidth="1"/>
    <col min="3" max="3" width="28.140625" customWidth="1"/>
    <col min="5" max="5" width="16.42578125" customWidth="1"/>
    <col min="6" max="6" width="17.7109375" customWidth="1"/>
    <col min="7" max="7" width="19.5703125" customWidth="1"/>
    <col min="8" max="8" width="19.28515625" customWidth="1"/>
    <col min="9" max="9" width="39.4257812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29</v>
      </c>
      <c r="B2" s="6" t="s">
        <v>29</v>
      </c>
      <c r="C2" s="6">
        <v>1</v>
      </c>
      <c r="D2" s="6" t="s">
        <v>30</v>
      </c>
      <c r="E2" s="6" t="s">
        <v>31</v>
      </c>
      <c r="F2" s="8">
        <v>0</v>
      </c>
      <c r="G2" s="6" t="s">
        <v>32</v>
      </c>
      <c r="H2" s="6" t="s">
        <v>14</v>
      </c>
      <c r="I2" s="6" t="s">
        <v>33</v>
      </c>
    </row>
    <row r="3" spans="1:9" x14ac:dyDescent="0.25">
      <c r="A3" s="6" t="s">
        <v>34</v>
      </c>
      <c r="B3" s="6" t="s">
        <v>34</v>
      </c>
      <c r="C3" s="6">
        <v>1</v>
      </c>
      <c r="D3" s="6" t="s">
        <v>30</v>
      </c>
      <c r="E3" s="6" t="s">
        <v>35</v>
      </c>
      <c r="F3" s="8">
        <v>28</v>
      </c>
      <c r="G3" s="6" t="s">
        <v>32</v>
      </c>
      <c r="H3" s="6" t="s">
        <v>14</v>
      </c>
      <c r="I3" s="6" t="s">
        <v>33</v>
      </c>
    </row>
    <row r="4" spans="1:9" x14ac:dyDescent="0.25">
      <c r="A4" s="6" t="s">
        <v>36</v>
      </c>
      <c r="B4" s="6" t="s">
        <v>36</v>
      </c>
      <c r="C4" s="6">
        <v>1</v>
      </c>
      <c r="D4" s="6" t="s">
        <v>30</v>
      </c>
      <c r="E4" s="6" t="s">
        <v>37</v>
      </c>
      <c r="F4" s="8">
        <v>16100</v>
      </c>
      <c r="G4" s="6" t="s">
        <v>32</v>
      </c>
      <c r="H4" s="6" t="s">
        <v>14</v>
      </c>
      <c r="I4" s="6" t="s">
        <v>33</v>
      </c>
    </row>
    <row r="5" spans="1:9" x14ac:dyDescent="0.25">
      <c r="A5" s="6" t="s">
        <v>38</v>
      </c>
      <c r="B5" s="6" t="s">
        <v>38</v>
      </c>
      <c r="C5" s="6">
        <v>1</v>
      </c>
      <c r="D5" s="6" t="s">
        <v>30</v>
      </c>
      <c r="E5" s="6" t="s">
        <v>39</v>
      </c>
      <c r="F5" s="8">
        <v>265</v>
      </c>
      <c r="G5" s="6" t="s">
        <v>32</v>
      </c>
      <c r="H5" s="6" t="s">
        <v>14</v>
      </c>
      <c r="I5" s="6" t="s">
        <v>33</v>
      </c>
    </row>
    <row r="6" spans="1:9" x14ac:dyDescent="0.25">
      <c r="A6" s="6" t="s">
        <v>40</v>
      </c>
      <c r="B6" s="6" t="s">
        <v>40</v>
      </c>
      <c r="C6" s="6">
        <v>1</v>
      </c>
      <c r="D6" s="6" t="s">
        <v>30</v>
      </c>
      <c r="E6" s="6" t="s">
        <v>41</v>
      </c>
      <c r="F6" s="8">
        <v>23500</v>
      </c>
      <c r="G6" s="6" t="s">
        <v>32</v>
      </c>
      <c r="H6" s="6" t="s">
        <v>14</v>
      </c>
      <c r="I6" s="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6C0B-F039-422C-8A2A-33408D69D99C}">
  <dimension ref="A1:I5"/>
  <sheetViews>
    <sheetView zoomScale="70" zoomScaleNormal="70" workbookViewId="0">
      <selection activeCell="E5" sqref="E5"/>
    </sheetView>
  </sheetViews>
  <sheetFormatPr defaultRowHeight="15" x14ac:dyDescent="0.25"/>
  <cols>
    <col min="1" max="1" width="20.42578125" customWidth="1"/>
    <col min="2" max="2" width="27.140625" customWidth="1"/>
    <col min="3" max="3" width="20.7109375" customWidth="1"/>
    <col min="4" max="4" width="27" customWidth="1"/>
    <col min="5" max="5" width="24.7109375" customWidth="1"/>
    <col min="6" max="6" width="29.7109375" customWidth="1"/>
    <col min="7" max="7" width="33.42578125" customWidth="1"/>
    <col min="8" max="8" width="34.7109375" customWidth="1"/>
    <col min="9" max="9" width="30.710937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42</v>
      </c>
      <c r="B2" s="6" t="s">
        <v>43</v>
      </c>
      <c r="C2" s="6">
        <v>1</v>
      </c>
      <c r="D2" s="6" t="s">
        <v>44</v>
      </c>
      <c r="E2" s="6" t="s">
        <v>45</v>
      </c>
      <c r="F2" s="8">
        <v>2.0454200000000001E-3</v>
      </c>
      <c r="G2" s="6" t="s">
        <v>46</v>
      </c>
      <c r="H2" s="6" t="s">
        <v>3458</v>
      </c>
      <c r="I2" s="6" t="s">
        <v>47</v>
      </c>
    </row>
    <row r="3" spans="1:9" x14ac:dyDescent="0.25">
      <c r="A3" s="37" t="s">
        <v>3475</v>
      </c>
      <c r="B3" s="37" t="s">
        <v>3475</v>
      </c>
      <c r="C3" s="37">
        <v>1</v>
      </c>
      <c r="D3" s="37" t="s">
        <v>1345</v>
      </c>
      <c r="E3" s="6" t="s">
        <v>4991</v>
      </c>
      <c r="F3" s="36">
        <v>1.016</v>
      </c>
      <c r="G3" s="36" t="s">
        <v>3474</v>
      </c>
      <c r="H3" s="36" t="s">
        <v>3493</v>
      </c>
      <c r="I3" s="37" t="s">
        <v>3492</v>
      </c>
    </row>
    <row r="4" spans="1:9" x14ac:dyDescent="0.25">
      <c r="A4" s="37" t="s">
        <v>3487</v>
      </c>
      <c r="B4" s="37" t="s">
        <v>3487</v>
      </c>
      <c r="C4" s="37">
        <v>1</v>
      </c>
      <c r="D4" s="37" t="s">
        <v>1345</v>
      </c>
      <c r="E4" s="6" t="s">
        <v>4992</v>
      </c>
      <c r="F4" s="36">
        <v>1.544</v>
      </c>
      <c r="G4" s="36" t="s">
        <v>3479</v>
      </c>
      <c r="H4" s="36" t="s">
        <v>3497</v>
      </c>
      <c r="I4" s="37" t="s">
        <v>3492</v>
      </c>
    </row>
    <row r="5" spans="1:9" x14ac:dyDescent="0.25">
      <c r="A5" s="37" t="s">
        <v>3486</v>
      </c>
      <c r="B5" s="37" t="s">
        <v>3486</v>
      </c>
      <c r="C5" s="37">
        <v>1</v>
      </c>
      <c r="D5" s="37" t="s">
        <v>3500</v>
      </c>
      <c r="E5" s="6" t="s">
        <v>4993</v>
      </c>
      <c r="F5" s="36">
        <v>2.0249999999999999</v>
      </c>
      <c r="G5" s="36" t="s">
        <v>3485</v>
      </c>
      <c r="H5" s="36" t="s">
        <v>3497</v>
      </c>
      <c r="I5" s="37" t="s">
        <v>3501</v>
      </c>
    </row>
  </sheetData>
  <phoneticPr fontId="2" type="noConversion"/>
  <conditionalFormatting sqref="A3:B5">
    <cfRule type="expression" dxfId="85" priority="4">
      <formula>MOD(ROW(),2)=0</formula>
    </cfRule>
  </conditionalFormatting>
  <conditionalFormatting sqref="D3:D5">
    <cfRule type="expression" dxfId="84" priority="37">
      <formula>MOD(ROW(),2)=0</formula>
    </cfRule>
  </conditionalFormatting>
  <conditionalFormatting sqref="F3:G5">
    <cfRule type="expression" dxfId="83" priority="6">
      <formula>MOD(ROW(),2)=0</formula>
    </cfRule>
  </conditionalFormatting>
  <conditionalFormatting sqref="H3">
    <cfRule type="expression" dxfId="82" priority="3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AE59-CDE4-44C9-BC99-805E6A7917A3}">
  <dimension ref="A1:I8"/>
  <sheetViews>
    <sheetView workbookViewId="0">
      <selection activeCell="E29" sqref="E29"/>
    </sheetView>
  </sheetViews>
  <sheetFormatPr defaultRowHeight="15" x14ac:dyDescent="0.25"/>
  <cols>
    <col min="1" max="1" width="34" customWidth="1"/>
    <col min="2" max="2" width="23.140625" customWidth="1"/>
    <col min="3" max="3" width="21.28515625" customWidth="1"/>
    <col min="4" max="4" width="28" customWidth="1"/>
    <col min="5" max="5" width="28.5703125" customWidth="1"/>
    <col min="6" max="6" width="28.28515625" customWidth="1"/>
    <col min="7" max="7" width="41" customWidth="1"/>
    <col min="8" max="8" width="34.85546875" customWidth="1"/>
    <col min="9" max="9" width="34.2851562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9</v>
      </c>
      <c r="B2" s="6" t="s">
        <v>10</v>
      </c>
      <c r="C2" s="6">
        <v>1</v>
      </c>
      <c r="D2" s="6" t="s">
        <v>48</v>
      </c>
      <c r="E2" s="6" t="s">
        <v>49</v>
      </c>
      <c r="F2" s="9">
        <v>1.2999999999999999E-4</v>
      </c>
      <c r="G2" s="10" t="s">
        <v>50</v>
      </c>
      <c r="H2" s="10" t="s">
        <v>51</v>
      </c>
      <c r="I2" s="10" t="s">
        <v>52</v>
      </c>
    </row>
    <row r="3" spans="1:9" x14ac:dyDescent="0.25">
      <c r="A3" s="6" t="s">
        <v>15</v>
      </c>
      <c r="B3" s="6" t="s">
        <v>15</v>
      </c>
      <c r="C3" s="6">
        <v>1</v>
      </c>
      <c r="D3" s="6" t="s">
        <v>48</v>
      </c>
      <c r="E3" s="6" t="s">
        <v>53</v>
      </c>
      <c r="F3" s="9">
        <v>1.4999999999999999E-4</v>
      </c>
      <c r="G3" s="10" t="s">
        <v>50</v>
      </c>
      <c r="H3" s="10" t="s">
        <v>51</v>
      </c>
      <c r="I3" s="10" t="s">
        <v>52</v>
      </c>
    </row>
    <row r="4" spans="1:9" x14ac:dyDescent="0.25">
      <c r="A4" s="6" t="s">
        <v>17</v>
      </c>
      <c r="B4" s="6" t="s">
        <v>17</v>
      </c>
      <c r="C4" s="6">
        <v>1</v>
      </c>
      <c r="D4" s="6" t="s">
        <v>48</v>
      </c>
      <c r="E4" s="6" t="s">
        <v>54</v>
      </c>
      <c r="F4" s="9">
        <v>1.7000000000000001E-4</v>
      </c>
      <c r="G4" s="10" t="s">
        <v>50</v>
      </c>
      <c r="H4" s="10" t="s">
        <v>51</v>
      </c>
      <c r="I4" s="10" t="s">
        <v>52</v>
      </c>
    </row>
    <row r="5" spans="1:9" x14ac:dyDescent="0.25">
      <c r="A5" s="6" t="s">
        <v>19</v>
      </c>
      <c r="B5" s="6" t="s">
        <v>19</v>
      </c>
      <c r="C5" s="6">
        <v>1</v>
      </c>
      <c r="D5" s="6" t="s">
        <v>48</v>
      </c>
      <c r="E5" s="6" t="s">
        <v>55</v>
      </c>
      <c r="F5" s="9">
        <v>2.2000000000000001E-4</v>
      </c>
      <c r="G5" s="10" t="s">
        <v>50</v>
      </c>
      <c r="H5" s="10" t="s">
        <v>56</v>
      </c>
      <c r="I5" s="10" t="s">
        <v>52</v>
      </c>
    </row>
    <row r="6" spans="1:9" x14ac:dyDescent="0.25">
      <c r="A6" s="6" t="s">
        <v>21</v>
      </c>
      <c r="B6" s="6" t="s">
        <v>21</v>
      </c>
      <c r="C6" s="6">
        <v>1</v>
      </c>
      <c r="D6" s="6" t="s">
        <v>48</v>
      </c>
      <c r="E6" s="6" t="s">
        <v>57</v>
      </c>
      <c r="F6" s="9">
        <v>2.0000000000000001E-4</v>
      </c>
      <c r="G6" s="10" t="s">
        <v>50</v>
      </c>
      <c r="H6" s="10" t="s">
        <v>51</v>
      </c>
      <c r="I6" s="10" t="s">
        <v>52</v>
      </c>
    </row>
    <row r="7" spans="1:9" x14ac:dyDescent="0.25">
      <c r="A7" s="6" t="s">
        <v>23</v>
      </c>
      <c r="B7" s="6" t="s">
        <v>23</v>
      </c>
      <c r="C7" s="6">
        <v>1</v>
      </c>
      <c r="D7" s="6" t="s">
        <v>48</v>
      </c>
      <c r="E7" s="6" t="s">
        <v>58</v>
      </c>
      <c r="F7" s="9">
        <v>2.1000000000000001E-4</v>
      </c>
      <c r="G7" s="10" t="s">
        <v>50</v>
      </c>
      <c r="H7" s="10" t="s">
        <v>56</v>
      </c>
      <c r="I7" s="10" t="s">
        <v>52</v>
      </c>
    </row>
    <row r="8" spans="1:9" x14ac:dyDescent="0.25">
      <c r="A8" s="37" t="s">
        <v>3475</v>
      </c>
      <c r="B8" s="37" t="s">
        <v>3475</v>
      </c>
      <c r="C8" s="37">
        <v>1</v>
      </c>
      <c r="D8" s="37" t="s">
        <v>1345</v>
      </c>
      <c r="E8" s="6" t="s">
        <v>4994</v>
      </c>
      <c r="F8" s="36">
        <v>1.016</v>
      </c>
      <c r="G8" s="36" t="s">
        <v>3474</v>
      </c>
      <c r="H8" s="36" t="s">
        <v>3493</v>
      </c>
      <c r="I8" s="37" t="s">
        <v>3492</v>
      </c>
    </row>
  </sheetData>
  <phoneticPr fontId="2" type="noConversion"/>
  <conditionalFormatting sqref="A8:B8">
    <cfRule type="expression" dxfId="81" priority="4">
      <formula>MOD(ROW(),2)=0</formula>
    </cfRule>
  </conditionalFormatting>
  <conditionalFormatting sqref="D8">
    <cfRule type="expression" dxfId="80" priority="5">
      <formula>MOD(ROW(),2)=0</formula>
    </cfRule>
  </conditionalFormatting>
  <conditionalFormatting sqref="F8:H8">
    <cfRule type="expression" dxfId="79" priority="1">
      <formula>MOD(ROW(),2)=0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9A84-D3FF-4519-98D6-658E9539613E}">
  <dimension ref="A1:H38"/>
  <sheetViews>
    <sheetView workbookViewId="0">
      <selection activeCell="J13" sqref="J13"/>
    </sheetView>
  </sheetViews>
  <sheetFormatPr defaultRowHeight="15" x14ac:dyDescent="0.25"/>
  <cols>
    <col min="1" max="1" width="45.140625" customWidth="1"/>
    <col min="2" max="2" width="28.7109375" customWidth="1"/>
    <col min="3" max="3" width="6.140625" bestFit="1" customWidth="1"/>
    <col min="4" max="4" width="34.85546875" bestFit="1" customWidth="1"/>
    <col min="5" max="5" width="8.140625" bestFit="1" customWidth="1"/>
    <col min="6" max="6" width="11.85546875" bestFit="1" customWidth="1"/>
    <col min="7" max="7" width="11.28515625" bestFit="1" customWidth="1"/>
    <col min="8" max="8" width="34.85546875" bestFit="1" customWidth="1"/>
  </cols>
  <sheetData>
    <row r="1" spans="1:8" x14ac:dyDescent="0.25">
      <c r="A1" s="4" t="s">
        <v>0</v>
      </c>
      <c r="B1" s="3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8</v>
      </c>
    </row>
    <row r="2" spans="1:8" x14ac:dyDescent="0.25">
      <c r="A2" s="10" t="s">
        <v>59</v>
      </c>
      <c r="B2" s="10" t="s">
        <v>60</v>
      </c>
      <c r="C2" s="10">
        <v>1</v>
      </c>
      <c r="D2" s="10" t="s">
        <v>61</v>
      </c>
      <c r="E2" s="10" t="s">
        <v>62</v>
      </c>
      <c r="F2" s="10">
        <v>1.81239E-4</v>
      </c>
      <c r="G2" s="10" t="s">
        <v>63</v>
      </c>
      <c r="H2" s="10" t="s">
        <v>61</v>
      </c>
    </row>
    <row r="3" spans="1:8" x14ac:dyDescent="0.25">
      <c r="A3" s="10" t="s">
        <v>64</v>
      </c>
      <c r="B3" s="10" t="s">
        <v>65</v>
      </c>
      <c r="C3" s="10">
        <v>1</v>
      </c>
      <c r="D3" s="10" t="s">
        <v>61</v>
      </c>
      <c r="E3" s="10" t="s">
        <v>66</v>
      </c>
      <c r="F3" s="11">
        <v>3.8600000000000003E-5</v>
      </c>
      <c r="G3" s="10" t="s">
        <v>63</v>
      </c>
      <c r="H3" s="10" t="s">
        <v>61</v>
      </c>
    </row>
    <row r="4" spans="1:8" x14ac:dyDescent="0.25">
      <c r="A4" s="10" t="s">
        <v>67</v>
      </c>
      <c r="B4" s="10" t="s">
        <v>68</v>
      </c>
      <c r="C4" s="10">
        <v>1</v>
      </c>
      <c r="D4" s="10" t="s">
        <v>61</v>
      </c>
      <c r="E4" s="10" t="s">
        <v>69</v>
      </c>
      <c r="F4" s="10">
        <v>0</v>
      </c>
      <c r="G4" s="10" t="s">
        <v>63</v>
      </c>
      <c r="H4" s="10" t="s">
        <v>61</v>
      </c>
    </row>
    <row r="5" spans="1:8" x14ac:dyDescent="0.25">
      <c r="A5" s="10" t="s">
        <v>70</v>
      </c>
      <c r="B5" s="10" t="s">
        <v>71</v>
      </c>
      <c r="C5" s="10">
        <v>1</v>
      </c>
      <c r="D5" s="10" t="s">
        <v>61</v>
      </c>
      <c r="E5" s="10" t="s">
        <v>72</v>
      </c>
      <c r="F5" s="10">
        <v>8.6609999999999999E-5</v>
      </c>
      <c r="G5" s="10" t="s">
        <v>63</v>
      </c>
      <c r="H5" s="10" t="s">
        <v>61</v>
      </c>
    </row>
    <row r="6" spans="1:8" x14ac:dyDescent="0.25">
      <c r="A6" s="10" t="s">
        <v>73</v>
      </c>
      <c r="B6" s="10" t="s">
        <v>74</v>
      </c>
      <c r="C6" s="10">
        <v>1</v>
      </c>
      <c r="D6" s="10" t="s">
        <v>61</v>
      </c>
      <c r="E6" s="10" t="s">
        <v>75</v>
      </c>
      <c r="F6" s="10">
        <v>1.136E-4</v>
      </c>
      <c r="G6" s="10" t="s">
        <v>63</v>
      </c>
      <c r="H6" s="10" t="s">
        <v>61</v>
      </c>
    </row>
    <row r="7" spans="1:8" x14ac:dyDescent="0.25">
      <c r="A7" s="10" t="s">
        <v>76</v>
      </c>
      <c r="B7" s="10" t="s">
        <v>77</v>
      </c>
      <c r="C7" s="10">
        <v>1</v>
      </c>
      <c r="D7" s="10" t="s">
        <v>61</v>
      </c>
      <c r="E7" s="10" t="s">
        <v>78</v>
      </c>
      <c r="F7" s="11">
        <v>5.1699999999999998E-7</v>
      </c>
      <c r="G7" s="10" t="s">
        <v>79</v>
      </c>
      <c r="H7" s="10" t="s">
        <v>61</v>
      </c>
    </row>
    <row r="8" spans="1:8" x14ac:dyDescent="0.25">
      <c r="A8" s="10" t="s">
        <v>80</v>
      </c>
      <c r="B8" s="10" t="s">
        <v>81</v>
      </c>
      <c r="C8" s="10">
        <v>1</v>
      </c>
      <c r="D8" s="10" t="s">
        <v>61</v>
      </c>
      <c r="E8" s="10" t="s">
        <v>82</v>
      </c>
      <c r="F8" s="11">
        <v>1.8700000000000001E-6</v>
      </c>
      <c r="G8" s="10" t="s">
        <v>63</v>
      </c>
      <c r="H8" s="10" t="s">
        <v>61</v>
      </c>
    </row>
    <row r="9" spans="1:8" x14ac:dyDescent="0.25">
      <c r="A9" s="10" t="s">
        <v>83</v>
      </c>
      <c r="B9" s="10" t="s">
        <v>84</v>
      </c>
      <c r="C9" s="10">
        <v>1</v>
      </c>
      <c r="D9" s="10" t="s">
        <v>61</v>
      </c>
      <c r="E9" s="10" t="s">
        <v>85</v>
      </c>
      <c r="F9" s="11">
        <v>3.1600000000000002E-7</v>
      </c>
      <c r="G9" s="10" t="s">
        <v>79</v>
      </c>
      <c r="H9" s="10" t="s">
        <v>61</v>
      </c>
    </row>
    <row r="10" spans="1:8" x14ac:dyDescent="0.25">
      <c r="A10" s="10" t="s">
        <v>86</v>
      </c>
      <c r="B10" s="10" t="s">
        <v>87</v>
      </c>
      <c r="C10" s="10">
        <v>1</v>
      </c>
      <c r="D10" s="10" t="s">
        <v>61</v>
      </c>
      <c r="E10" s="10" t="s">
        <v>88</v>
      </c>
      <c r="F10" s="11">
        <v>2.3499999999999999E-6</v>
      </c>
      <c r="G10" s="10" t="s">
        <v>79</v>
      </c>
      <c r="H10" s="10" t="s">
        <v>61</v>
      </c>
    </row>
    <row r="11" spans="1:8" x14ac:dyDescent="0.25">
      <c r="A11" s="10" t="s">
        <v>89</v>
      </c>
      <c r="B11" s="10" t="s">
        <v>90</v>
      </c>
      <c r="C11" s="10">
        <v>1</v>
      </c>
      <c r="D11" s="10" t="s">
        <v>61</v>
      </c>
      <c r="E11" s="10" t="s">
        <v>91</v>
      </c>
      <c r="F11" s="11">
        <v>3.2399999999999999E-6</v>
      </c>
      <c r="G11" s="10" t="s">
        <v>63</v>
      </c>
      <c r="H11" s="10" t="s">
        <v>61</v>
      </c>
    </row>
    <row r="12" spans="1:8" x14ac:dyDescent="0.25">
      <c r="A12" s="10" t="s">
        <v>92</v>
      </c>
      <c r="B12" s="10" t="s">
        <v>93</v>
      </c>
      <c r="C12" s="10">
        <v>1</v>
      </c>
      <c r="D12" s="10" t="s">
        <v>61</v>
      </c>
      <c r="E12" s="10" t="s">
        <v>94</v>
      </c>
      <c r="F12" s="10">
        <v>0</v>
      </c>
      <c r="G12" s="10" t="s">
        <v>79</v>
      </c>
      <c r="H12" s="10" t="s">
        <v>61</v>
      </c>
    </row>
    <row r="13" spans="1:8" x14ac:dyDescent="0.25">
      <c r="A13" s="10" t="s">
        <v>95</v>
      </c>
      <c r="B13" s="10" t="s">
        <v>96</v>
      </c>
      <c r="C13" s="10">
        <v>1</v>
      </c>
      <c r="D13" s="10" t="s">
        <v>61</v>
      </c>
      <c r="E13" s="10" t="s">
        <v>97</v>
      </c>
      <c r="F13" s="11">
        <v>4.5699999999999999E-8</v>
      </c>
      <c r="G13" s="10" t="s">
        <v>79</v>
      </c>
      <c r="H13" s="10" t="s">
        <v>61</v>
      </c>
    </row>
    <row r="14" spans="1:8" x14ac:dyDescent="0.25">
      <c r="A14" s="10" t="s">
        <v>98</v>
      </c>
      <c r="B14" s="10" t="s">
        <v>99</v>
      </c>
      <c r="C14" s="10">
        <v>1</v>
      </c>
      <c r="D14" s="10" t="s">
        <v>61</v>
      </c>
      <c r="E14" s="10" t="s">
        <v>100</v>
      </c>
      <c r="F14" s="11">
        <v>1.35E-6</v>
      </c>
      <c r="G14" s="10" t="s">
        <v>79</v>
      </c>
      <c r="H14" s="10" t="s">
        <v>61</v>
      </c>
    </row>
    <row r="15" spans="1:8" x14ac:dyDescent="0.25">
      <c r="A15" s="10" t="s">
        <v>101</v>
      </c>
      <c r="B15" s="10" t="s">
        <v>102</v>
      </c>
      <c r="C15" s="10">
        <v>1</v>
      </c>
      <c r="D15" s="10" t="s">
        <v>61</v>
      </c>
      <c r="E15" s="10" t="s">
        <v>103</v>
      </c>
      <c r="F15" s="11">
        <v>2.3300000000000001E-6</v>
      </c>
      <c r="G15" s="10" t="s">
        <v>63</v>
      </c>
      <c r="H15" s="10" t="s">
        <v>61</v>
      </c>
    </row>
    <row r="16" spans="1:8" x14ac:dyDescent="0.25">
      <c r="A16" s="10" t="s">
        <v>104</v>
      </c>
      <c r="B16" s="10" t="s">
        <v>105</v>
      </c>
      <c r="C16" s="10">
        <v>1</v>
      </c>
      <c r="D16" s="10" t="s">
        <v>61</v>
      </c>
      <c r="E16" s="10" t="s">
        <v>106</v>
      </c>
      <c r="F16" s="11">
        <v>8.8700000000000004E-7</v>
      </c>
      <c r="G16" s="10" t="s">
        <v>79</v>
      </c>
      <c r="H16" s="10" t="s">
        <v>61</v>
      </c>
    </row>
    <row r="17" spans="1:8" x14ac:dyDescent="0.25">
      <c r="A17" s="10" t="s">
        <v>107</v>
      </c>
      <c r="B17" s="10" t="s">
        <v>108</v>
      </c>
      <c r="C17" s="10">
        <v>1</v>
      </c>
      <c r="D17" s="10" t="s">
        <v>61</v>
      </c>
      <c r="E17" s="10" t="s">
        <v>109</v>
      </c>
      <c r="F17" s="11">
        <v>3.2100000000000002E-6</v>
      </c>
      <c r="G17" s="10" t="s">
        <v>63</v>
      </c>
      <c r="H17" s="10" t="s">
        <v>61</v>
      </c>
    </row>
    <row r="18" spans="1:8" x14ac:dyDescent="0.25">
      <c r="A18" s="10" t="s">
        <v>110</v>
      </c>
      <c r="B18" s="10" t="s">
        <v>111</v>
      </c>
      <c r="C18" s="10">
        <v>1</v>
      </c>
      <c r="D18" s="10" t="s">
        <v>61</v>
      </c>
      <c r="E18" s="10" t="s">
        <v>112</v>
      </c>
      <c r="F18" s="11">
        <v>5.4199999999999996E-7</v>
      </c>
      <c r="G18" s="10" t="s">
        <v>79</v>
      </c>
      <c r="H18" s="10" t="s">
        <v>61</v>
      </c>
    </row>
    <row r="19" spans="1:8" x14ac:dyDescent="0.25">
      <c r="A19" s="10" t="s">
        <v>113</v>
      </c>
      <c r="B19" s="10" t="s">
        <v>114</v>
      </c>
      <c r="C19" s="10">
        <v>1</v>
      </c>
      <c r="D19" s="10" t="s">
        <v>61</v>
      </c>
      <c r="E19" s="10" t="s">
        <v>115</v>
      </c>
      <c r="F19" s="11">
        <v>4.0199999999999996E-6</v>
      </c>
      <c r="G19" s="10" t="s">
        <v>79</v>
      </c>
      <c r="H19" s="10" t="s">
        <v>61</v>
      </c>
    </row>
    <row r="20" spans="1:8" x14ac:dyDescent="0.25">
      <c r="A20" s="10" t="s">
        <v>116</v>
      </c>
      <c r="B20" s="10" t="s">
        <v>117</v>
      </c>
      <c r="C20" s="10">
        <v>1</v>
      </c>
      <c r="D20" s="10" t="s">
        <v>61</v>
      </c>
      <c r="E20" s="10" t="s">
        <v>118</v>
      </c>
      <c r="F20" s="11">
        <v>5.5500000000000002E-6</v>
      </c>
      <c r="G20" s="10" t="s">
        <v>63</v>
      </c>
      <c r="H20" s="10" t="s">
        <v>61</v>
      </c>
    </row>
    <row r="21" spans="1:8" x14ac:dyDescent="0.25">
      <c r="A21" s="10" t="s">
        <v>119</v>
      </c>
      <c r="B21" s="10" t="s">
        <v>120</v>
      </c>
      <c r="C21" s="10">
        <v>1</v>
      </c>
      <c r="D21" s="10" t="s">
        <v>61</v>
      </c>
      <c r="E21" s="10" t="s">
        <v>121</v>
      </c>
      <c r="F21" s="10">
        <v>0</v>
      </c>
      <c r="G21" s="10" t="s">
        <v>79</v>
      </c>
      <c r="H21" s="10" t="s">
        <v>61</v>
      </c>
    </row>
    <row r="22" spans="1:8" x14ac:dyDescent="0.25">
      <c r="A22" s="10" t="s">
        <v>122</v>
      </c>
      <c r="B22" s="10" t="s">
        <v>123</v>
      </c>
      <c r="C22" s="10">
        <v>1</v>
      </c>
      <c r="D22" s="10" t="s">
        <v>61</v>
      </c>
      <c r="E22" s="10" t="s">
        <v>124</v>
      </c>
      <c r="F22" s="11">
        <v>7.8300000000000006E-8</v>
      </c>
      <c r="G22" s="10" t="s">
        <v>79</v>
      </c>
      <c r="H22" s="10" t="s">
        <v>61</v>
      </c>
    </row>
    <row r="23" spans="1:8" x14ac:dyDescent="0.25">
      <c r="A23" s="10" t="s">
        <v>125</v>
      </c>
      <c r="B23" s="10" t="s">
        <v>126</v>
      </c>
      <c r="C23" s="10">
        <v>1</v>
      </c>
      <c r="D23" s="10" t="s">
        <v>61</v>
      </c>
      <c r="E23" s="10" t="s">
        <v>127</v>
      </c>
      <c r="F23" s="11">
        <v>2.3199999999999998E-6</v>
      </c>
      <c r="G23" s="10" t="s">
        <v>79</v>
      </c>
      <c r="H23" s="10" t="s">
        <v>61</v>
      </c>
    </row>
    <row r="24" spans="1:8" x14ac:dyDescent="0.25">
      <c r="A24" s="10" t="s">
        <v>128</v>
      </c>
      <c r="B24" s="10" t="s">
        <v>129</v>
      </c>
      <c r="C24" s="10">
        <v>1</v>
      </c>
      <c r="D24" s="10" t="s">
        <v>61</v>
      </c>
      <c r="E24" s="10" t="s">
        <v>130</v>
      </c>
      <c r="F24" s="11">
        <v>3.9899999999999999E-6</v>
      </c>
      <c r="G24" s="10" t="s">
        <v>63</v>
      </c>
      <c r="H24" s="10" t="s">
        <v>61</v>
      </c>
    </row>
    <row r="25" spans="1:8" x14ac:dyDescent="0.25">
      <c r="A25" s="10" t="s">
        <v>131</v>
      </c>
      <c r="B25" s="10" t="s">
        <v>132</v>
      </c>
      <c r="C25" s="10">
        <v>1</v>
      </c>
      <c r="D25" s="10" t="s">
        <v>61</v>
      </c>
      <c r="E25" s="10" t="s">
        <v>133</v>
      </c>
      <c r="F25" s="10">
        <v>1.127E-4</v>
      </c>
      <c r="G25" s="10" t="s">
        <v>63</v>
      </c>
      <c r="H25" s="10" t="s">
        <v>61</v>
      </c>
    </row>
    <row r="26" spans="1:8" x14ac:dyDescent="0.25">
      <c r="A26" s="10" t="s">
        <v>134</v>
      </c>
      <c r="B26" s="10" t="s">
        <v>135</v>
      </c>
      <c r="C26" s="10">
        <v>1</v>
      </c>
      <c r="D26" s="10" t="s">
        <v>61</v>
      </c>
      <c r="E26" s="10" t="s">
        <v>136</v>
      </c>
      <c r="F26" s="10">
        <v>1.2933000000000001E-4</v>
      </c>
      <c r="G26" s="10" t="s">
        <v>63</v>
      </c>
      <c r="H26" s="10" t="s">
        <v>61</v>
      </c>
    </row>
    <row r="27" spans="1:8" x14ac:dyDescent="0.25">
      <c r="A27" s="10" t="s">
        <v>137</v>
      </c>
      <c r="B27" s="10" t="s">
        <v>138</v>
      </c>
      <c r="C27" s="10">
        <v>1</v>
      </c>
      <c r="D27" s="10" t="s">
        <v>61</v>
      </c>
      <c r="E27" s="10" t="s">
        <v>139</v>
      </c>
      <c r="F27" s="10">
        <v>1.8709999999999999E-5</v>
      </c>
      <c r="G27" s="10" t="s">
        <v>63</v>
      </c>
      <c r="H27" s="10" t="s">
        <v>61</v>
      </c>
    </row>
    <row r="28" spans="1:8" x14ac:dyDescent="0.25">
      <c r="A28" s="10" t="s">
        <v>140</v>
      </c>
      <c r="B28" s="10" t="s">
        <v>141</v>
      </c>
      <c r="C28" s="10">
        <v>1</v>
      </c>
      <c r="D28" s="10" t="s">
        <v>61</v>
      </c>
      <c r="E28" s="10" t="s">
        <v>142</v>
      </c>
      <c r="F28" s="10">
        <v>7.3300000000000001E-6</v>
      </c>
      <c r="G28" s="10" t="s">
        <v>63</v>
      </c>
      <c r="H28" s="10" t="s">
        <v>61</v>
      </c>
    </row>
    <row r="29" spans="1:8" x14ac:dyDescent="0.25">
      <c r="A29" s="10" t="s">
        <v>143</v>
      </c>
      <c r="B29" s="10" t="s">
        <v>144</v>
      </c>
      <c r="C29" s="10">
        <v>1</v>
      </c>
      <c r="D29" s="10" t="s">
        <v>61</v>
      </c>
      <c r="E29" s="10" t="s">
        <v>145</v>
      </c>
      <c r="F29" s="10">
        <v>1.1367E-4</v>
      </c>
      <c r="G29" s="10" t="s">
        <v>63</v>
      </c>
      <c r="H29" s="10" t="s">
        <v>61</v>
      </c>
    </row>
    <row r="30" spans="1:8" x14ac:dyDescent="0.25">
      <c r="A30" s="10" t="s">
        <v>146</v>
      </c>
      <c r="B30" s="10" t="s">
        <v>147</v>
      </c>
      <c r="C30" s="10">
        <v>1</v>
      </c>
      <c r="D30" s="10" t="s">
        <v>61</v>
      </c>
      <c r="E30" s="10" t="s">
        <v>148</v>
      </c>
      <c r="F30" s="10">
        <v>1.3252000000000001E-4</v>
      </c>
      <c r="G30" s="10" t="s">
        <v>63</v>
      </c>
      <c r="H30" s="10" t="s">
        <v>61</v>
      </c>
    </row>
    <row r="31" spans="1:8" x14ac:dyDescent="0.25">
      <c r="A31" s="10" t="s">
        <v>149</v>
      </c>
      <c r="B31" s="10" t="s">
        <v>150</v>
      </c>
      <c r="C31" s="10">
        <v>1</v>
      </c>
      <c r="D31" s="10" t="s">
        <v>61</v>
      </c>
      <c r="E31" s="10" t="s">
        <v>151</v>
      </c>
      <c r="F31" s="10">
        <v>1.0107000000000001E-4</v>
      </c>
      <c r="G31" s="10" t="s">
        <v>63</v>
      </c>
      <c r="H31" s="10" t="s">
        <v>61</v>
      </c>
    </row>
    <row r="32" spans="1:8" x14ac:dyDescent="0.25">
      <c r="A32" s="10" t="s">
        <v>152</v>
      </c>
      <c r="B32" s="10" t="s">
        <v>153</v>
      </c>
      <c r="C32" s="10">
        <v>1</v>
      </c>
      <c r="D32" s="10" t="s">
        <v>61</v>
      </c>
      <c r="E32" s="10" t="s">
        <v>154</v>
      </c>
      <c r="F32" s="10">
        <v>8.3189999999999995E-5</v>
      </c>
      <c r="G32" s="10" t="s">
        <v>63</v>
      </c>
      <c r="H32" s="10" t="s">
        <v>61</v>
      </c>
    </row>
    <row r="33" spans="1:8" x14ac:dyDescent="0.25">
      <c r="A33" s="10" t="s">
        <v>155</v>
      </c>
      <c r="B33" s="10" t="s">
        <v>156</v>
      </c>
      <c r="C33" s="10">
        <v>1</v>
      </c>
      <c r="D33" s="10" t="s">
        <v>61</v>
      </c>
      <c r="E33" s="10" t="s">
        <v>157</v>
      </c>
      <c r="F33" s="10">
        <v>1.449E-4</v>
      </c>
      <c r="G33" s="10" t="s">
        <v>63</v>
      </c>
      <c r="H33" s="10" t="s">
        <v>61</v>
      </c>
    </row>
    <row r="34" spans="1:8" x14ac:dyDescent="0.25">
      <c r="A34" s="10" t="s">
        <v>158</v>
      </c>
      <c r="B34" s="10" t="s">
        <v>159</v>
      </c>
      <c r="C34" s="10">
        <v>1</v>
      </c>
      <c r="D34" s="10" t="s">
        <v>61</v>
      </c>
      <c r="E34" s="10" t="s">
        <v>160</v>
      </c>
      <c r="F34" s="11">
        <v>9.5000000000000005E-5</v>
      </c>
      <c r="G34" s="10" t="s">
        <v>63</v>
      </c>
      <c r="H34" s="10" t="s">
        <v>61</v>
      </c>
    </row>
    <row r="35" spans="1:8" x14ac:dyDescent="0.25">
      <c r="A35" s="10" t="s">
        <v>161</v>
      </c>
      <c r="B35" s="10" t="s">
        <v>162</v>
      </c>
      <c r="C35" s="10">
        <v>1</v>
      </c>
      <c r="D35" s="10" t="s">
        <v>61</v>
      </c>
      <c r="E35" s="10" t="s">
        <v>163</v>
      </c>
      <c r="F35" s="10">
        <v>4.5140000000000003E-6</v>
      </c>
      <c r="G35" s="10" t="s">
        <v>63</v>
      </c>
      <c r="H35" s="10" t="s">
        <v>61</v>
      </c>
    </row>
    <row r="36" spans="1:8" x14ac:dyDescent="0.25">
      <c r="A36" s="10" t="s">
        <v>164</v>
      </c>
      <c r="B36" s="10" t="s">
        <v>165</v>
      </c>
      <c r="C36" s="10">
        <v>1</v>
      </c>
      <c r="D36" s="10" t="s">
        <v>61</v>
      </c>
      <c r="E36" s="10" t="s">
        <v>166</v>
      </c>
      <c r="F36" s="10">
        <v>6.0179999999999998E-6</v>
      </c>
      <c r="G36" s="10" t="s">
        <v>63</v>
      </c>
      <c r="H36" s="10" t="s">
        <v>61</v>
      </c>
    </row>
    <row r="37" spans="1:8" x14ac:dyDescent="0.25">
      <c r="A37" s="10" t="s">
        <v>167</v>
      </c>
      <c r="B37" s="10" t="s">
        <v>168</v>
      </c>
      <c r="C37" s="10">
        <v>1</v>
      </c>
      <c r="D37" s="10" t="s">
        <v>61</v>
      </c>
      <c r="E37" s="10" t="s">
        <v>169</v>
      </c>
      <c r="F37" s="10">
        <v>6.545E-6</v>
      </c>
      <c r="G37" s="10" t="s">
        <v>63</v>
      </c>
      <c r="H37" s="10" t="s">
        <v>61</v>
      </c>
    </row>
    <row r="38" spans="1:8" x14ac:dyDescent="0.25">
      <c r="A38" s="10" t="s">
        <v>170</v>
      </c>
      <c r="B38" s="10" t="s">
        <v>171</v>
      </c>
      <c r="C38" s="10">
        <v>1</v>
      </c>
      <c r="D38" s="10" t="s">
        <v>61</v>
      </c>
      <c r="E38" s="10" t="s">
        <v>172</v>
      </c>
      <c r="F38" s="10">
        <v>0</v>
      </c>
      <c r="G38" s="10" t="s">
        <v>63</v>
      </c>
      <c r="H38" s="1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16D2-5DA6-4F2B-B7F3-F95BD605A253}">
  <dimension ref="A1:J32"/>
  <sheetViews>
    <sheetView workbookViewId="0">
      <selection activeCell="F2" sqref="F2"/>
    </sheetView>
  </sheetViews>
  <sheetFormatPr defaultRowHeight="15" x14ac:dyDescent="0.25"/>
  <cols>
    <col min="1" max="1" width="31.85546875" bestFit="1" customWidth="1"/>
    <col min="2" max="2" width="19.42578125" bestFit="1" customWidth="1"/>
    <col min="3" max="3" width="6.140625" bestFit="1" customWidth="1"/>
    <col min="4" max="4" width="17.7109375" customWidth="1"/>
    <col min="5" max="5" width="13.28515625" customWidth="1"/>
    <col min="6" max="6" width="21.85546875" customWidth="1"/>
    <col min="9" max="9" width="35.42578125" customWidth="1"/>
    <col min="10" max="10" width="21.7109375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2" t="s">
        <v>173</v>
      </c>
    </row>
    <row r="2" spans="1:10" x14ac:dyDescent="0.25">
      <c r="A2" s="6" t="s">
        <v>174</v>
      </c>
      <c r="B2" s="6" t="s">
        <v>174</v>
      </c>
      <c r="C2" s="6">
        <v>2</v>
      </c>
      <c r="D2" s="6" t="s">
        <v>175</v>
      </c>
      <c r="E2" s="6" t="s">
        <v>176</v>
      </c>
      <c r="F2" s="45">
        <f>51.1778644105286/1000000</f>
        <v>5.1177864410528597E-5</v>
      </c>
      <c r="G2" s="6" t="s">
        <v>177</v>
      </c>
      <c r="H2" s="6" t="s">
        <v>178</v>
      </c>
      <c r="I2" s="6" t="s">
        <v>175</v>
      </c>
      <c r="J2" s="6" t="s">
        <v>174</v>
      </c>
    </row>
    <row r="3" spans="1:10" x14ac:dyDescent="0.25">
      <c r="A3" s="6" t="s">
        <v>179</v>
      </c>
      <c r="B3" s="6" t="s">
        <v>180</v>
      </c>
      <c r="C3" s="6">
        <v>2</v>
      </c>
      <c r="D3" s="6" t="s">
        <v>175</v>
      </c>
      <c r="E3" s="6" t="s">
        <v>181</v>
      </c>
      <c r="F3" s="43">
        <v>2.6719999999999999E-4</v>
      </c>
      <c r="G3" s="6" t="s">
        <v>182</v>
      </c>
      <c r="H3" s="6" t="s">
        <v>183</v>
      </c>
      <c r="I3" s="6" t="s">
        <v>175</v>
      </c>
      <c r="J3" s="6" t="s">
        <v>180</v>
      </c>
    </row>
    <row r="4" spans="1:10" x14ac:dyDescent="0.25">
      <c r="A4" s="6" t="s">
        <v>184</v>
      </c>
      <c r="B4" s="6" t="s">
        <v>185</v>
      </c>
      <c r="C4" s="6">
        <v>2</v>
      </c>
      <c r="D4" s="6" t="s">
        <v>175</v>
      </c>
      <c r="E4" s="6" t="s">
        <v>186</v>
      </c>
      <c r="F4" s="43">
        <v>5.1799999999999999E-5</v>
      </c>
      <c r="G4" s="6" t="s">
        <v>182</v>
      </c>
      <c r="H4" s="6" t="s">
        <v>183</v>
      </c>
      <c r="I4" s="6" t="s">
        <v>175</v>
      </c>
      <c r="J4" s="6" t="s">
        <v>187</v>
      </c>
    </row>
    <row r="5" spans="1:10" x14ac:dyDescent="0.25">
      <c r="A5" s="6" t="s">
        <v>188</v>
      </c>
      <c r="B5" s="6" t="s">
        <v>188</v>
      </c>
      <c r="C5" s="6">
        <v>2</v>
      </c>
      <c r="D5" s="6" t="s">
        <v>175</v>
      </c>
      <c r="E5" s="6" t="s">
        <v>189</v>
      </c>
      <c r="F5" s="45">
        <f>33.2048888328345/1000000</f>
        <v>3.3204888832834498E-5</v>
      </c>
      <c r="G5" s="6" t="s">
        <v>177</v>
      </c>
      <c r="H5" s="6" t="s">
        <v>178</v>
      </c>
      <c r="I5" s="6" t="s">
        <v>175</v>
      </c>
      <c r="J5" s="6" t="s">
        <v>188</v>
      </c>
    </row>
    <row r="6" spans="1:10" x14ac:dyDescent="0.25">
      <c r="A6" s="6" t="s">
        <v>190</v>
      </c>
      <c r="B6" s="6" t="s">
        <v>190</v>
      </c>
      <c r="C6" s="6">
        <v>2</v>
      </c>
      <c r="D6" s="6" t="s">
        <v>175</v>
      </c>
      <c r="E6" s="6" t="s">
        <v>191</v>
      </c>
      <c r="F6" s="45">
        <f>18.0683300694572/1000000</f>
        <v>1.80683300694572E-5</v>
      </c>
      <c r="G6" s="6" t="s">
        <v>177</v>
      </c>
      <c r="H6" s="6" t="s">
        <v>178</v>
      </c>
      <c r="I6" s="6" t="s">
        <v>175</v>
      </c>
      <c r="J6" s="6" t="s">
        <v>190</v>
      </c>
    </row>
    <row r="7" spans="1:10" x14ac:dyDescent="0.25">
      <c r="A7" s="6" t="s">
        <v>192</v>
      </c>
      <c r="B7" s="6" t="s">
        <v>192</v>
      </c>
      <c r="C7" s="6">
        <v>2</v>
      </c>
      <c r="D7" s="6" t="s">
        <v>175</v>
      </c>
      <c r="E7" s="6" t="s">
        <v>193</v>
      </c>
      <c r="F7" s="45">
        <f>311.581840961884/1000000</f>
        <v>3.1158184096188396E-4</v>
      </c>
      <c r="G7" s="6" t="s">
        <v>177</v>
      </c>
      <c r="H7" s="6" t="s">
        <v>178</v>
      </c>
      <c r="I7" s="6" t="s">
        <v>175</v>
      </c>
      <c r="J7" s="6" t="s">
        <v>192</v>
      </c>
    </row>
    <row r="8" spans="1:10" x14ac:dyDescent="0.25">
      <c r="A8" s="6" t="s">
        <v>194</v>
      </c>
      <c r="B8" s="6" t="s">
        <v>195</v>
      </c>
      <c r="C8" s="6">
        <v>2</v>
      </c>
      <c r="D8" s="6" t="s">
        <v>175</v>
      </c>
      <c r="E8" s="6" t="s">
        <v>196</v>
      </c>
      <c r="F8" s="43">
        <v>4.6240000000000002E-4</v>
      </c>
      <c r="G8" s="6" t="s">
        <v>182</v>
      </c>
      <c r="H8" s="6" t="s">
        <v>183</v>
      </c>
      <c r="I8" s="6" t="s">
        <v>175</v>
      </c>
      <c r="J8" s="6" t="s">
        <v>195</v>
      </c>
    </row>
    <row r="9" spans="1:10" x14ac:dyDescent="0.25">
      <c r="A9" s="6" t="s">
        <v>197</v>
      </c>
      <c r="B9" s="6" t="s">
        <v>197</v>
      </c>
      <c r="C9" s="6">
        <v>2</v>
      </c>
      <c r="D9" s="6" t="s">
        <v>175</v>
      </c>
      <c r="E9" s="6" t="s">
        <v>198</v>
      </c>
      <c r="F9" s="45">
        <f>0.167658910237161/1000000</f>
        <v>1.6765891023716102E-7</v>
      </c>
      <c r="G9" s="6" t="s">
        <v>177</v>
      </c>
      <c r="H9" s="6" t="s">
        <v>178</v>
      </c>
      <c r="I9" s="6" t="s">
        <v>175</v>
      </c>
      <c r="J9" s="6" t="s">
        <v>197</v>
      </c>
    </row>
    <row r="10" spans="1:10" x14ac:dyDescent="0.25">
      <c r="A10" s="6" t="s">
        <v>199</v>
      </c>
      <c r="B10" s="6" t="s">
        <v>199</v>
      </c>
      <c r="C10" s="6">
        <v>2</v>
      </c>
      <c r="D10" s="6" t="s">
        <v>175</v>
      </c>
      <c r="E10" s="6" t="s">
        <v>200</v>
      </c>
      <c r="F10" s="43">
        <v>7.5190000000000001E-4</v>
      </c>
      <c r="G10" s="6" t="s">
        <v>182</v>
      </c>
      <c r="H10" s="6" t="s">
        <v>183</v>
      </c>
      <c r="I10" s="6" t="s">
        <v>175</v>
      </c>
      <c r="J10" s="6" t="s">
        <v>199</v>
      </c>
    </row>
    <row r="11" spans="1:10" x14ac:dyDescent="0.25">
      <c r="A11" s="6" t="s">
        <v>201</v>
      </c>
      <c r="B11" s="6" t="s">
        <v>201</v>
      </c>
      <c r="C11" s="6">
        <v>2</v>
      </c>
      <c r="D11" s="6" t="s">
        <v>175</v>
      </c>
      <c r="E11" s="6" t="s">
        <v>202</v>
      </c>
      <c r="F11" s="45">
        <f>245.572688430016/1000000</f>
        <v>2.4557268843001601E-4</v>
      </c>
      <c r="G11" s="6" t="s">
        <v>177</v>
      </c>
      <c r="H11" s="6" t="s">
        <v>178</v>
      </c>
      <c r="I11" s="6" t="s">
        <v>175</v>
      </c>
      <c r="J11" s="6" t="s">
        <v>201</v>
      </c>
    </row>
    <row r="12" spans="1:10" x14ac:dyDescent="0.25">
      <c r="A12" s="6" t="s">
        <v>203</v>
      </c>
      <c r="B12" s="6" t="s">
        <v>203</v>
      </c>
      <c r="C12" s="6">
        <v>2</v>
      </c>
      <c r="D12" s="6" t="s">
        <v>175</v>
      </c>
      <c r="E12" s="6" t="s">
        <v>204</v>
      </c>
      <c r="F12" s="45">
        <f>235.242403833202/1000000</f>
        <v>2.3524240383320199E-4</v>
      </c>
      <c r="G12" s="6" t="s">
        <v>177</v>
      </c>
      <c r="H12" s="6" t="s">
        <v>178</v>
      </c>
      <c r="I12" s="6" t="s">
        <v>175</v>
      </c>
      <c r="J12" s="6" t="s">
        <v>203</v>
      </c>
    </row>
    <row r="13" spans="1:10" x14ac:dyDescent="0.25">
      <c r="A13" s="6" t="s">
        <v>205</v>
      </c>
      <c r="B13" s="6" t="s">
        <v>206</v>
      </c>
      <c r="C13" s="6">
        <v>2</v>
      </c>
      <c r="D13" s="6" t="s">
        <v>175</v>
      </c>
      <c r="E13" s="6" t="s">
        <v>207</v>
      </c>
      <c r="F13" s="43">
        <v>5.241E-4</v>
      </c>
      <c r="G13" s="6" t="s">
        <v>177</v>
      </c>
      <c r="H13" s="6" t="s">
        <v>208</v>
      </c>
      <c r="I13" s="6" t="s">
        <v>175</v>
      </c>
      <c r="J13" s="6" t="s">
        <v>209</v>
      </c>
    </row>
    <row r="14" spans="1:10" x14ac:dyDescent="0.25">
      <c r="A14" s="6" t="s">
        <v>210</v>
      </c>
      <c r="B14" s="6" t="s">
        <v>210</v>
      </c>
      <c r="C14" s="6">
        <v>2</v>
      </c>
      <c r="D14" s="6" t="s">
        <v>175</v>
      </c>
      <c r="E14" s="6" t="s">
        <v>211</v>
      </c>
      <c r="F14" s="45">
        <f>6.73714357662801/1000000</f>
        <v>6.7371435766280096E-6</v>
      </c>
      <c r="G14" s="6" t="s">
        <v>177</v>
      </c>
      <c r="H14" s="6" t="s">
        <v>178</v>
      </c>
      <c r="I14" s="6" t="s">
        <v>175</v>
      </c>
      <c r="J14" s="6" t="s">
        <v>210</v>
      </c>
    </row>
    <row r="15" spans="1:10" x14ac:dyDescent="0.25">
      <c r="A15" s="6" t="s">
        <v>212</v>
      </c>
      <c r="B15" s="6" t="s">
        <v>212</v>
      </c>
      <c r="C15" s="6">
        <v>2</v>
      </c>
      <c r="D15" s="6" t="s">
        <v>175</v>
      </c>
      <c r="E15" s="6" t="s">
        <v>213</v>
      </c>
      <c r="F15" s="45">
        <f>43.2966985501993/1000000</f>
        <v>4.32966985501993E-5</v>
      </c>
      <c r="G15" s="6" t="s">
        <v>177</v>
      </c>
      <c r="H15" s="6" t="s">
        <v>178</v>
      </c>
      <c r="I15" s="6" t="s">
        <v>175</v>
      </c>
      <c r="J15" s="6" t="s">
        <v>212</v>
      </c>
    </row>
    <row r="16" spans="1:10" x14ac:dyDescent="0.25">
      <c r="A16" s="6" t="s">
        <v>214</v>
      </c>
      <c r="B16" s="6" t="s">
        <v>214</v>
      </c>
      <c r="C16" s="6">
        <v>2</v>
      </c>
      <c r="D16" s="6" t="s">
        <v>175</v>
      </c>
      <c r="E16" s="6" t="s">
        <v>215</v>
      </c>
      <c r="F16" s="43">
        <v>4.7409999999999998E-4</v>
      </c>
      <c r="G16" s="6" t="s">
        <v>182</v>
      </c>
      <c r="H16" s="6" t="s">
        <v>183</v>
      </c>
      <c r="I16" s="6" t="s">
        <v>175</v>
      </c>
      <c r="J16" s="6" t="s">
        <v>214</v>
      </c>
    </row>
    <row r="17" spans="1:10" x14ac:dyDescent="0.25">
      <c r="A17" s="6" t="s">
        <v>216</v>
      </c>
      <c r="B17" s="6" t="s">
        <v>216</v>
      </c>
      <c r="C17" s="6">
        <v>2</v>
      </c>
      <c r="D17" s="6" t="s">
        <v>175</v>
      </c>
      <c r="E17" s="6" t="s">
        <v>217</v>
      </c>
      <c r="F17" s="45">
        <f>100.661286199735/1000000</f>
        <v>1.00661286199735E-4</v>
      </c>
      <c r="G17" s="6" t="s">
        <v>177</v>
      </c>
      <c r="H17" s="6" t="s">
        <v>178</v>
      </c>
      <c r="I17" s="6" t="s">
        <v>175</v>
      </c>
      <c r="J17" s="6" t="s">
        <v>216</v>
      </c>
    </row>
    <row r="18" spans="1:10" x14ac:dyDescent="0.25">
      <c r="A18" s="6" t="s">
        <v>218</v>
      </c>
      <c r="B18" s="6" t="s">
        <v>218</v>
      </c>
      <c r="C18" s="6">
        <v>2</v>
      </c>
      <c r="D18" s="6" t="s">
        <v>175</v>
      </c>
      <c r="E18" s="6" t="s">
        <v>219</v>
      </c>
      <c r="F18" s="45">
        <f>5.04718083259439/1000000</f>
        <v>5.0471808325943898E-6</v>
      </c>
      <c r="G18" s="6" t="s">
        <v>177</v>
      </c>
      <c r="H18" s="6" t="s">
        <v>178</v>
      </c>
      <c r="I18" s="6" t="s">
        <v>175</v>
      </c>
      <c r="J18" s="6" t="s">
        <v>218</v>
      </c>
    </row>
    <row r="19" spans="1:10" x14ac:dyDescent="0.25">
      <c r="A19" s="6" t="s">
        <v>220</v>
      </c>
      <c r="B19" s="6" t="s">
        <v>220</v>
      </c>
      <c r="C19" s="6">
        <v>2</v>
      </c>
      <c r="D19" s="6" t="s">
        <v>175</v>
      </c>
      <c r="E19" s="6" t="s">
        <v>221</v>
      </c>
      <c r="F19" s="45">
        <f>5.78030645851793/1000000</f>
        <v>5.78030645851793E-6</v>
      </c>
      <c r="G19" s="6" t="s">
        <v>177</v>
      </c>
      <c r="H19" s="6" t="s">
        <v>178</v>
      </c>
      <c r="I19" s="6" t="s">
        <v>175</v>
      </c>
      <c r="J19" s="6" t="s">
        <v>220</v>
      </c>
    </row>
    <row r="20" spans="1:10" x14ac:dyDescent="0.25">
      <c r="A20" s="6" t="s">
        <v>222</v>
      </c>
      <c r="B20" s="6" t="s">
        <v>223</v>
      </c>
      <c r="C20" s="6">
        <v>2</v>
      </c>
      <c r="D20" s="6" t="s">
        <v>175</v>
      </c>
      <c r="E20" s="6" t="s">
        <v>224</v>
      </c>
      <c r="F20" s="43">
        <v>4.2979999999999998E-4</v>
      </c>
      <c r="G20" s="6" t="s">
        <v>182</v>
      </c>
      <c r="H20" s="6" t="s">
        <v>183</v>
      </c>
      <c r="I20" s="6" t="s">
        <v>175</v>
      </c>
      <c r="J20" s="6" t="s">
        <v>222</v>
      </c>
    </row>
    <row r="21" spans="1:10" x14ac:dyDescent="0.25">
      <c r="A21" s="6" t="s">
        <v>225</v>
      </c>
      <c r="B21" s="6" t="s">
        <v>225</v>
      </c>
      <c r="C21" s="6">
        <v>2</v>
      </c>
      <c r="D21" s="6" t="s">
        <v>175</v>
      </c>
      <c r="E21" s="6" t="s">
        <v>226</v>
      </c>
      <c r="F21" s="43">
        <v>4.193E-4</v>
      </c>
      <c r="G21" s="6" t="s">
        <v>182</v>
      </c>
      <c r="H21" s="6" t="s">
        <v>183</v>
      </c>
      <c r="I21" s="6" t="s">
        <v>175</v>
      </c>
      <c r="J21" s="6" t="s">
        <v>225</v>
      </c>
    </row>
    <row r="22" spans="1:10" x14ac:dyDescent="0.25">
      <c r="A22" s="6" t="s">
        <v>227</v>
      </c>
      <c r="B22" s="6" t="s">
        <v>227</v>
      </c>
      <c r="C22" s="6">
        <v>2</v>
      </c>
      <c r="D22" s="6" t="s">
        <v>175</v>
      </c>
      <c r="E22" s="6" t="s">
        <v>228</v>
      </c>
      <c r="F22" s="45">
        <f>148.50134860521/1000000</f>
        <v>1.4850134860521001E-4</v>
      </c>
      <c r="G22" s="6" t="s">
        <v>177</v>
      </c>
      <c r="H22" s="6" t="s">
        <v>178</v>
      </c>
      <c r="I22" s="6" t="s">
        <v>175</v>
      </c>
      <c r="J22" s="6" t="s">
        <v>227</v>
      </c>
    </row>
    <row r="23" spans="1:10" ht="30" x14ac:dyDescent="0.25">
      <c r="A23" s="5" t="s">
        <v>3503</v>
      </c>
      <c r="B23" s="5" t="s">
        <v>3503</v>
      </c>
      <c r="C23" s="37">
        <v>2</v>
      </c>
      <c r="D23" s="37" t="s">
        <v>3504</v>
      </c>
      <c r="E23" s="6" t="s">
        <v>4745</v>
      </c>
      <c r="F23" s="6">
        <v>2.7460000000000002E-3</v>
      </c>
      <c r="G23" s="6" t="s">
        <v>3502</v>
      </c>
      <c r="H23" s="6" t="s">
        <v>3512</v>
      </c>
      <c r="I23" s="5" t="s">
        <v>3610</v>
      </c>
      <c r="J23" s="6" t="s">
        <v>210</v>
      </c>
    </row>
    <row r="24" spans="1:10" ht="30" x14ac:dyDescent="0.25">
      <c r="A24" s="5" t="s">
        <v>3505</v>
      </c>
      <c r="B24" s="5" t="s">
        <v>3505</v>
      </c>
      <c r="C24" s="37">
        <v>2</v>
      </c>
      <c r="D24" s="37" t="s">
        <v>3504</v>
      </c>
      <c r="E24" s="6" t="s">
        <v>4746</v>
      </c>
      <c r="F24" s="6">
        <v>1.4650000000000001</v>
      </c>
      <c r="G24" s="6" t="s">
        <v>3474</v>
      </c>
      <c r="H24" s="6" t="s">
        <v>3513</v>
      </c>
      <c r="I24" s="5" t="s">
        <v>3610</v>
      </c>
      <c r="J24" s="6" t="s">
        <v>210</v>
      </c>
    </row>
    <row r="25" spans="1:10" ht="30" x14ac:dyDescent="0.25">
      <c r="A25" s="5" t="s">
        <v>3506</v>
      </c>
      <c r="B25" s="5" t="s">
        <v>3506</v>
      </c>
      <c r="C25" s="37">
        <v>2</v>
      </c>
      <c r="D25" s="37" t="s">
        <v>3516</v>
      </c>
      <c r="E25" s="6" t="s">
        <v>4747</v>
      </c>
      <c r="F25" s="6">
        <v>6.2100000000000002E-2</v>
      </c>
      <c r="G25" s="6" t="s">
        <v>3193</v>
      </c>
      <c r="H25" s="6" t="s">
        <v>3514</v>
      </c>
      <c r="I25" s="5" t="s">
        <v>3610</v>
      </c>
      <c r="J25" s="6" t="s">
        <v>210</v>
      </c>
    </row>
    <row r="26" spans="1:10" ht="30" x14ac:dyDescent="0.25">
      <c r="A26" s="5" t="s">
        <v>3508</v>
      </c>
      <c r="B26" s="5" t="s">
        <v>3508</v>
      </c>
      <c r="C26" s="37">
        <v>2</v>
      </c>
      <c r="D26" s="37" t="s">
        <v>3504</v>
      </c>
      <c r="E26" s="6" t="s">
        <v>4748</v>
      </c>
      <c r="F26" s="6">
        <v>2.7460000000000002E-3</v>
      </c>
      <c r="G26" s="6" t="s">
        <v>3507</v>
      </c>
      <c r="H26" s="6" t="s">
        <v>3515</v>
      </c>
      <c r="I26" s="5" t="s">
        <v>3610</v>
      </c>
      <c r="J26" s="6" t="s">
        <v>210</v>
      </c>
    </row>
    <row r="27" spans="1:10" ht="30" x14ac:dyDescent="0.25">
      <c r="A27" s="5" t="s">
        <v>3509</v>
      </c>
      <c r="B27" s="5" t="s">
        <v>3509</v>
      </c>
      <c r="C27" s="37">
        <v>2</v>
      </c>
      <c r="D27" s="37" t="s">
        <v>3517</v>
      </c>
      <c r="E27" s="6" t="s">
        <v>4749</v>
      </c>
      <c r="F27" s="6">
        <v>3.3410000000000002E-2</v>
      </c>
      <c r="G27" s="6" t="s">
        <v>3507</v>
      </c>
      <c r="H27" s="36" t="s">
        <v>3497</v>
      </c>
      <c r="I27" s="5" t="s">
        <v>3611</v>
      </c>
      <c r="J27" s="6" t="s">
        <v>210</v>
      </c>
    </row>
    <row r="28" spans="1:10" ht="45" x14ac:dyDescent="0.25">
      <c r="A28" s="5" t="s">
        <v>3510</v>
      </c>
      <c r="B28" s="5" t="s">
        <v>3510</v>
      </c>
      <c r="C28" s="37">
        <v>2</v>
      </c>
      <c r="D28" s="37" t="s">
        <v>3504</v>
      </c>
      <c r="E28" s="6" t="s">
        <v>4750</v>
      </c>
      <c r="F28" s="6">
        <v>4.5499999999999999E-2</v>
      </c>
      <c r="G28" s="6" t="s">
        <v>3481</v>
      </c>
      <c r="H28" s="36" t="s">
        <v>3497</v>
      </c>
      <c r="I28" s="5" t="s">
        <v>3610</v>
      </c>
      <c r="J28" s="6" t="s">
        <v>210</v>
      </c>
    </row>
    <row r="29" spans="1:10" x14ac:dyDescent="0.25">
      <c r="A29" s="5" t="s">
        <v>3506</v>
      </c>
      <c r="B29" s="6" t="s">
        <v>3477</v>
      </c>
      <c r="C29" s="37">
        <v>2</v>
      </c>
      <c r="D29" s="6" t="s">
        <v>3478</v>
      </c>
      <c r="E29" s="6" t="s">
        <v>4747</v>
      </c>
      <c r="F29" s="5">
        <v>6.2100000000000002E-2</v>
      </c>
      <c r="G29" s="6" t="s">
        <v>3193</v>
      </c>
      <c r="H29" s="6" t="s">
        <v>3514</v>
      </c>
      <c r="I29" s="5" t="s">
        <v>3610</v>
      </c>
      <c r="J29" s="6" t="s">
        <v>210</v>
      </c>
    </row>
    <row r="30" spans="1:10" x14ac:dyDescent="0.25">
      <c r="A30" s="5" t="s">
        <v>3503</v>
      </c>
      <c r="B30" s="6" t="s">
        <v>3504</v>
      </c>
      <c r="C30" s="37">
        <v>2</v>
      </c>
      <c r="D30" s="6" t="s">
        <v>3504</v>
      </c>
      <c r="E30" s="6" t="s">
        <v>4751</v>
      </c>
      <c r="F30" s="5">
        <v>2.7460000000000002E-3</v>
      </c>
      <c r="G30" s="6" t="s">
        <v>3502</v>
      </c>
      <c r="H30" s="6" t="s">
        <v>3512</v>
      </c>
      <c r="I30" s="5" t="s">
        <v>3610</v>
      </c>
      <c r="J30" s="6" t="s">
        <v>210</v>
      </c>
    </row>
    <row r="31" spans="1:10" ht="45" x14ac:dyDescent="0.25">
      <c r="A31" s="5" t="s">
        <v>4999</v>
      </c>
      <c r="B31" s="5" t="s">
        <v>3509</v>
      </c>
      <c r="C31" s="37">
        <v>2</v>
      </c>
      <c r="D31" s="37" t="s">
        <v>3517</v>
      </c>
      <c r="E31" s="6" t="s">
        <v>5001</v>
      </c>
      <c r="F31" s="44">
        <v>1.7529000000000001E-4</v>
      </c>
      <c r="G31" s="6" t="s">
        <v>177</v>
      </c>
      <c r="H31" s="6" t="s">
        <v>4995</v>
      </c>
      <c r="I31" s="5" t="s">
        <v>4996</v>
      </c>
      <c r="J31" s="6" t="s">
        <v>4997</v>
      </c>
    </row>
    <row r="32" spans="1:10" ht="45" x14ac:dyDescent="0.25">
      <c r="A32" s="5" t="s">
        <v>5000</v>
      </c>
      <c r="B32" s="5" t="s">
        <v>3509</v>
      </c>
      <c r="C32" s="37">
        <v>2</v>
      </c>
      <c r="D32" s="37" t="s">
        <v>3517</v>
      </c>
      <c r="E32" s="6" t="s">
        <v>5002</v>
      </c>
      <c r="F32" s="44">
        <f>0.2526/1000</f>
        <v>2.5260000000000001E-4</v>
      </c>
      <c r="G32" s="6" t="s">
        <v>177</v>
      </c>
      <c r="H32" s="6" t="s">
        <v>4998</v>
      </c>
      <c r="I32" s="5" t="s">
        <v>4996</v>
      </c>
      <c r="J32" s="6" t="s">
        <v>3245</v>
      </c>
    </row>
  </sheetData>
  <phoneticPr fontId="2" type="noConversion"/>
  <conditionalFormatting sqref="A23:B32">
    <cfRule type="expression" dxfId="78" priority="1">
      <formula>MOD(ROW(),2)=0</formula>
    </cfRule>
  </conditionalFormatting>
  <conditionalFormatting sqref="D29:D30">
    <cfRule type="expression" dxfId="77" priority="9">
      <formula>MOD(ROW(),2)=0</formula>
    </cfRule>
  </conditionalFormatting>
  <conditionalFormatting sqref="F2">
    <cfRule type="cellIs" dxfId="76" priority="8" operator="lessThan">
      <formula>0</formula>
    </cfRule>
  </conditionalFormatting>
  <conditionalFormatting sqref="F5:F7">
    <cfRule type="cellIs" dxfId="75" priority="7" operator="lessThan">
      <formula>0</formula>
    </cfRule>
  </conditionalFormatting>
  <conditionalFormatting sqref="F9">
    <cfRule type="cellIs" dxfId="74" priority="6" operator="lessThan">
      <formula>0</formula>
    </cfRule>
  </conditionalFormatting>
  <conditionalFormatting sqref="F11:F12">
    <cfRule type="cellIs" dxfId="73" priority="5" operator="lessThan">
      <formula>0</formula>
    </cfRule>
  </conditionalFormatting>
  <conditionalFormatting sqref="F14:F15">
    <cfRule type="cellIs" dxfId="72" priority="4" operator="lessThan">
      <formula>0</formula>
    </cfRule>
  </conditionalFormatting>
  <conditionalFormatting sqref="F17:F19">
    <cfRule type="cellIs" dxfId="71" priority="3" operator="lessThan">
      <formula>0</formula>
    </cfRule>
  </conditionalFormatting>
  <conditionalFormatting sqref="F22">
    <cfRule type="cellIs" dxfId="70" priority="2" operator="lessThan">
      <formula>0</formula>
    </cfRule>
  </conditionalFormatting>
  <conditionalFormatting sqref="F23:G30">
    <cfRule type="expression" dxfId="69" priority="10">
      <formula>MOD(ROW(),2)=0</formula>
    </cfRule>
  </conditionalFormatting>
  <conditionalFormatting sqref="H23:H26">
    <cfRule type="expression" dxfId="68" priority="12">
      <formula>MOD(ROW(),2)=0</formula>
    </cfRule>
  </conditionalFormatting>
  <conditionalFormatting sqref="I23:I32">
    <cfRule type="expression" dxfId="67" priority="1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EE4D-8CE8-4665-8AAF-E80C66ABDC7C}">
  <dimension ref="A1:T57"/>
  <sheetViews>
    <sheetView zoomScale="85" zoomScaleNormal="85" workbookViewId="0">
      <selection activeCell="P7" sqref="P7"/>
    </sheetView>
  </sheetViews>
  <sheetFormatPr defaultRowHeight="15" x14ac:dyDescent="0.25"/>
  <cols>
    <col min="1" max="1" width="56.140625" bestFit="1" customWidth="1"/>
    <col min="2" max="2" width="37.140625" hidden="1" customWidth="1"/>
    <col min="3" max="3" width="6.140625" hidden="1" customWidth="1"/>
    <col min="4" max="4" width="38.140625" customWidth="1"/>
    <col min="5" max="5" width="7.85546875" bestFit="1" customWidth="1"/>
    <col min="6" max="6" width="11.85546875" bestFit="1" customWidth="1"/>
    <col min="7" max="7" width="15.5703125" bestFit="1" customWidth="1"/>
    <col min="8" max="8" width="17.140625" style="29" bestFit="1" customWidth="1"/>
    <col min="9" max="9" width="56.140625" bestFit="1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2" t="s">
        <v>7</v>
      </c>
      <c r="I1" s="7" t="s">
        <v>8</v>
      </c>
    </row>
    <row r="2" spans="1:20" ht="30" x14ac:dyDescent="0.25">
      <c r="A2" s="6" t="s">
        <v>235</v>
      </c>
      <c r="B2" s="6" t="s">
        <v>236</v>
      </c>
      <c r="C2" s="6">
        <v>3</v>
      </c>
      <c r="D2" s="6" t="s">
        <v>237</v>
      </c>
      <c r="E2" s="6" t="s">
        <v>238</v>
      </c>
      <c r="F2" s="8">
        <v>1.0222626242203799E-3</v>
      </c>
      <c r="G2" s="6" t="s">
        <v>233</v>
      </c>
      <c r="H2" s="5" t="s">
        <v>234</v>
      </c>
      <c r="I2" s="6" t="s">
        <v>235</v>
      </c>
    </row>
    <row r="3" spans="1:20" ht="30" x14ac:dyDescent="0.25">
      <c r="A3" s="6" t="s">
        <v>239</v>
      </c>
      <c r="B3" s="6" t="s">
        <v>240</v>
      </c>
      <c r="C3" s="6">
        <v>3</v>
      </c>
      <c r="D3" s="6" t="s">
        <v>237</v>
      </c>
      <c r="E3" s="6" t="s">
        <v>241</v>
      </c>
      <c r="F3" s="8">
        <v>4.9712290337650795E-4</v>
      </c>
      <c r="G3" s="6" t="s">
        <v>233</v>
      </c>
      <c r="H3" s="5" t="s">
        <v>234</v>
      </c>
      <c r="I3" s="6" t="s">
        <v>239</v>
      </c>
    </row>
    <row r="4" spans="1:20" ht="30" x14ac:dyDescent="0.25">
      <c r="A4" s="6" t="s">
        <v>242</v>
      </c>
      <c r="B4" s="6" t="s">
        <v>243</v>
      </c>
      <c r="C4" s="6">
        <v>3</v>
      </c>
      <c r="D4" s="6" t="s">
        <v>237</v>
      </c>
      <c r="E4" s="6" t="s">
        <v>244</v>
      </c>
      <c r="F4" s="8">
        <v>5.4284345541942699E-4</v>
      </c>
      <c r="G4" s="6" t="s">
        <v>233</v>
      </c>
      <c r="H4" s="5" t="s">
        <v>234</v>
      </c>
      <c r="I4" s="6" t="s">
        <v>242</v>
      </c>
    </row>
    <row r="5" spans="1:20" ht="30" x14ac:dyDescent="0.25">
      <c r="A5" s="6" t="s">
        <v>245</v>
      </c>
      <c r="B5" s="6" t="s">
        <v>246</v>
      </c>
      <c r="C5" s="6">
        <v>3</v>
      </c>
      <c r="D5" s="6" t="s">
        <v>237</v>
      </c>
      <c r="E5" s="6" t="s">
        <v>247</v>
      </c>
      <c r="F5" s="8">
        <v>1.0475808789775999E-3</v>
      </c>
      <c r="G5" s="6" t="s">
        <v>233</v>
      </c>
      <c r="H5" s="5" t="s">
        <v>234</v>
      </c>
      <c r="I5" s="6" t="s">
        <v>245</v>
      </c>
    </row>
    <row r="6" spans="1:20" ht="30" x14ac:dyDescent="0.25">
      <c r="A6" s="6" t="s">
        <v>248</v>
      </c>
      <c r="B6" s="6" t="s">
        <v>249</v>
      </c>
      <c r="C6" s="6">
        <v>3</v>
      </c>
      <c r="D6" s="6" t="s">
        <v>237</v>
      </c>
      <c r="E6" s="6" t="s">
        <v>250</v>
      </c>
      <c r="F6" s="8">
        <v>4.3868590254058401E-4</v>
      </c>
      <c r="G6" s="6" t="s">
        <v>233</v>
      </c>
      <c r="H6" s="5" t="s">
        <v>234</v>
      </c>
      <c r="I6" s="6" t="s">
        <v>248</v>
      </c>
    </row>
    <row r="7" spans="1:20" ht="30" x14ac:dyDescent="0.25">
      <c r="A7" s="6" t="s">
        <v>251</v>
      </c>
      <c r="B7" s="6" t="s">
        <v>252</v>
      </c>
      <c r="C7" s="6">
        <v>3</v>
      </c>
      <c r="D7" s="6" t="s">
        <v>237</v>
      </c>
      <c r="E7" s="6" t="s">
        <v>253</v>
      </c>
      <c r="F7" s="8">
        <v>1.0321783590649201E-3</v>
      </c>
      <c r="G7" s="6" t="s">
        <v>233</v>
      </c>
      <c r="H7" s="5" t="s">
        <v>234</v>
      </c>
      <c r="I7" s="6" t="s">
        <v>251</v>
      </c>
    </row>
    <row r="8" spans="1:20" ht="30" x14ac:dyDescent="0.25">
      <c r="A8" s="6" t="s">
        <v>254</v>
      </c>
      <c r="B8" s="6" t="s">
        <v>255</v>
      </c>
      <c r="C8" s="6">
        <v>3</v>
      </c>
      <c r="D8" s="6" t="s">
        <v>237</v>
      </c>
      <c r="E8" s="6" t="s">
        <v>256</v>
      </c>
      <c r="F8" s="8">
        <v>8.13127547566152E-4</v>
      </c>
      <c r="G8" s="6" t="s">
        <v>233</v>
      </c>
      <c r="H8" s="5" t="s">
        <v>234</v>
      </c>
      <c r="I8" s="6" t="s">
        <v>254</v>
      </c>
    </row>
    <row r="9" spans="1:20" ht="30" x14ac:dyDescent="0.25">
      <c r="A9" s="6" t="s">
        <v>257</v>
      </c>
      <c r="B9" s="6" t="s">
        <v>258</v>
      </c>
      <c r="C9" s="6">
        <v>3</v>
      </c>
      <c r="D9" s="6" t="s">
        <v>237</v>
      </c>
      <c r="E9" s="6" t="s">
        <v>259</v>
      </c>
      <c r="F9" s="8">
        <v>6.2829694864387296E-4</v>
      </c>
      <c r="G9" s="6" t="s">
        <v>233</v>
      </c>
      <c r="H9" s="5" t="s">
        <v>234</v>
      </c>
      <c r="I9" s="6" t="s">
        <v>257</v>
      </c>
    </row>
    <row r="10" spans="1:20" ht="30" x14ac:dyDescent="0.25">
      <c r="A10" s="6" t="s">
        <v>260</v>
      </c>
      <c r="B10" s="6" t="s">
        <v>261</v>
      </c>
      <c r="C10" s="6">
        <v>3</v>
      </c>
      <c r="D10" s="6" t="s">
        <v>237</v>
      </c>
      <c r="E10" s="6" t="s">
        <v>262</v>
      </c>
      <c r="F10" s="8">
        <v>8.41369530057991E-4</v>
      </c>
      <c r="G10" s="6" t="s">
        <v>233</v>
      </c>
      <c r="H10" s="5" t="s">
        <v>234</v>
      </c>
      <c r="I10" s="6" t="s">
        <v>260</v>
      </c>
    </row>
    <row r="11" spans="1:20" ht="30" x14ac:dyDescent="0.25">
      <c r="A11" s="6" t="s">
        <v>263</v>
      </c>
      <c r="B11" s="6" t="s">
        <v>264</v>
      </c>
      <c r="C11" s="6">
        <v>3</v>
      </c>
      <c r="D11" s="6" t="s">
        <v>237</v>
      </c>
      <c r="E11" s="6" t="s">
        <v>265</v>
      </c>
      <c r="F11" s="8">
        <v>3.0449377823614201E-4</v>
      </c>
      <c r="G11" s="6" t="s">
        <v>233</v>
      </c>
      <c r="H11" s="5" t="s">
        <v>234</v>
      </c>
      <c r="I11" s="6" t="s">
        <v>263</v>
      </c>
    </row>
    <row r="12" spans="1:20" ht="30" x14ac:dyDescent="0.25">
      <c r="A12" s="6" t="s">
        <v>266</v>
      </c>
      <c r="B12" s="6" t="s">
        <v>267</v>
      </c>
      <c r="C12" s="6">
        <v>3</v>
      </c>
      <c r="D12" s="6" t="s">
        <v>237</v>
      </c>
      <c r="E12" s="6" t="s">
        <v>268</v>
      </c>
      <c r="F12" s="8">
        <v>5.4511328028654501E-4</v>
      </c>
      <c r="G12" s="6" t="s">
        <v>233</v>
      </c>
      <c r="H12" s="5" t="s">
        <v>234</v>
      </c>
      <c r="I12" s="6" t="s">
        <v>266</v>
      </c>
    </row>
    <row r="13" spans="1:20" ht="30" x14ac:dyDescent="0.25">
      <c r="A13" s="6" t="s">
        <v>269</v>
      </c>
      <c r="B13" s="6" t="s">
        <v>270</v>
      </c>
      <c r="C13" s="6">
        <v>3</v>
      </c>
      <c r="D13" s="6" t="s">
        <v>237</v>
      </c>
      <c r="E13" s="6" t="s">
        <v>271</v>
      </c>
      <c r="F13" s="8">
        <v>5.2359715367522E-4</v>
      </c>
      <c r="G13" s="6" t="s">
        <v>233</v>
      </c>
      <c r="H13" s="5" t="s">
        <v>234</v>
      </c>
      <c r="I13" s="6" t="s">
        <v>269</v>
      </c>
    </row>
    <row r="14" spans="1:20" ht="30" x14ac:dyDescent="0.25">
      <c r="A14" s="6" t="s">
        <v>272</v>
      </c>
      <c r="B14" s="6" t="s">
        <v>273</v>
      </c>
      <c r="C14" s="6">
        <v>3</v>
      </c>
      <c r="D14" s="6" t="s">
        <v>237</v>
      </c>
      <c r="E14" s="6" t="s">
        <v>274</v>
      </c>
      <c r="F14" s="8">
        <v>6.1714022815180698E-4</v>
      </c>
      <c r="G14" s="6" t="s">
        <v>233</v>
      </c>
      <c r="H14" s="5" t="s">
        <v>234</v>
      </c>
      <c r="I14" s="6" t="s">
        <v>272</v>
      </c>
    </row>
    <row r="15" spans="1:20" ht="30" x14ac:dyDescent="0.25">
      <c r="A15" s="6" t="s">
        <v>275</v>
      </c>
      <c r="B15" s="6" t="s">
        <v>276</v>
      </c>
      <c r="C15" s="6">
        <v>3</v>
      </c>
      <c r="D15" s="6" t="s">
        <v>237</v>
      </c>
      <c r="E15" s="6" t="s">
        <v>277</v>
      </c>
      <c r="F15" s="8">
        <v>7.0538744856451098E-4</v>
      </c>
      <c r="G15" s="6" t="s">
        <v>233</v>
      </c>
      <c r="H15" s="5" t="s">
        <v>234</v>
      </c>
      <c r="I15" s="6" t="s">
        <v>275</v>
      </c>
      <c r="R15" s="5"/>
      <c r="S15" s="6"/>
      <c r="T15" s="6"/>
    </row>
    <row r="16" spans="1:20" ht="30" x14ac:dyDescent="0.25">
      <c r="A16" s="6" t="s">
        <v>278</v>
      </c>
      <c r="B16" s="6" t="s">
        <v>279</v>
      </c>
      <c r="C16" s="6">
        <v>3</v>
      </c>
      <c r="D16" s="6" t="s">
        <v>237</v>
      </c>
      <c r="E16" s="6" t="s">
        <v>280</v>
      </c>
      <c r="F16" s="8">
        <v>6.2829694864387296E-4</v>
      </c>
      <c r="G16" s="6" t="s">
        <v>233</v>
      </c>
      <c r="H16" s="5" t="s">
        <v>234</v>
      </c>
      <c r="I16" s="6" t="s">
        <v>278</v>
      </c>
      <c r="R16" s="5"/>
      <c r="S16" s="6"/>
    </row>
    <row r="17" spans="1:18" ht="30" x14ac:dyDescent="0.25">
      <c r="A17" s="6" t="s">
        <v>281</v>
      </c>
      <c r="B17" s="6" t="s">
        <v>282</v>
      </c>
      <c r="C17" s="6">
        <v>3</v>
      </c>
      <c r="D17" s="6" t="s">
        <v>237</v>
      </c>
      <c r="E17" s="6" t="s">
        <v>283</v>
      </c>
      <c r="F17" s="8">
        <v>5.40192840333157E-4</v>
      </c>
      <c r="G17" s="6" t="s">
        <v>233</v>
      </c>
      <c r="H17" s="5" t="s">
        <v>234</v>
      </c>
      <c r="I17" s="6" t="s">
        <v>281</v>
      </c>
      <c r="R17" s="5"/>
    </row>
    <row r="18" spans="1:18" ht="30" x14ac:dyDescent="0.25">
      <c r="A18" s="6" t="s">
        <v>284</v>
      </c>
      <c r="B18" s="6" t="s">
        <v>285</v>
      </c>
      <c r="C18" s="6">
        <v>3</v>
      </c>
      <c r="D18" s="6" t="s">
        <v>237</v>
      </c>
      <c r="E18" s="6" t="s">
        <v>286</v>
      </c>
      <c r="F18" s="8">
        <v>2.5428001008145001E-4</v>
      </c>
      <c r="G18" s="6" t="s">
        <v>233</v>
      </c>
      <c r="H18" s="5" t="s">
        <v>234</v>
      </c>
      <c r="I18" s="6" t="s">
        <v>284</v>
      </c>
    </row>
    <row r="19" spans="1:18" ht="30" x14ac:dyDescent="0.25">
      <c r="A19" s="6" t="s">
        <v>287</v>
      </c>
      <c r="B19" s="6" t="s">
        <v>288</v>
      </c>
      <c r="C19" s="6">
        <v>3</v>
      </c>
      <c r="D19" s="6" t="s">
        <v>237</v>
      </c>
      <c r="E19" s="6" t="s">
        <v>289</v>
      </c>
      <c r="F19" s="8">
        <v>5.0911074353519599E-4</v>
      </c>
      <c r="G19" s="6" t="s">
        <v>233</v>
      </c>
      <c r="H19" s="5" t="s">
        <v>234</v>
      </c>
      <c r="I19" s="6" t="s">
        <v>287</v>
      </c>
    </row>
    <row r="20" spans="1:18" ht="30" x14ac:dyDescent="0.25">
      <c r="A20" s="6" t="s">
        <v>290</v>
      </c>
      <c r="B20" s="6" t="s">
        <v>291</v>
      </c>
      <c r="C20" s="6">
        <v>3</v>
      </c>
      <c r="D20" s="6" t="s">
        <v>237</v>
      </c>
      <c r="E20" s="6" t="s">
        <v>292</v>
      </c>
      <c r="F20" s="8">
        <v>5.9822453576128599E-4</v>
      </c>
      <c r="G20" s="6" t="s">
        <v>233</v>
      </c>
      <c r="H20" s="5" t="s">
        <v>234</v>
      </c>
      <c r="I20" s="6" t="s">
        <v>290</v>
      </c>
    </row>
    <row r="21" spans="1:18" ht="30" x14ac:dyDescent="0.25">
      <c r="A21" s="6" t="s">
        <v>293</v>
      </c>
      <c r="B21" s="6" t="s">
        <v>294</v>
      </c>
      <c r="C21" s="6">
        <v>3</v>
      </c>
      <c r="D21" s="6" t="s">
        <v>237</v>
      </c>
      <c r="E21" s="6" t="s">
        <v>295</v>
      </c>
      <c r="F21" s="8">
        <v>4.8170871679103399E-4</v>
      </c>
      <c r="G21" s="6" t="s">
        <v>233</v>
      </c>
      <c r="H21" s="5" t="s">
        <v>234</v>
      </c>
      <c r="I21" s="6" t="s">
        <v>293</v>
      </c>
    </row>
    <row r="22" spans="1:18" ht="30" x14ac:dyDescent="0.25">
      <c r="A22" s="6" t="s">
        <v>296</v>
      </c>
      <c r="B22" s="6" t="s">
        <v>297</v>
      </c>
      <c r="C22" s="6">
        <v>3</v>
      </c>
      <c r="D22" s="6" t="s">
        <v>237</v>
      </c>
      <c r="E22" s="6" t="s">
        <v>298</v>
      </c>
      <c r="F22" s="8">
        <v>5.3545089340141896E-4</v>
      </c>
      <c r="G22" s="6" t="s">
        <v>233</v>
      </c>
      <c r="H22" s="5" t="s">
        <v>234</v>
      </c>
      <c r="I22" s="6" t="s">
        <v>296</v>
      </c>
    </row>
    <row r="23" spans="1:18" ht="30" x14ac:dyDescent="0.25">
      <c r="A23" s="6" t="s">
        <v>299</v>
      </c>
      <c r="B23" s="6" t="s">
        <v>300</v>
      </c>
      <c r="C23" s="6">
        <v>3</v>
      </c>
      <c r="D23" s="6" t="s">
        <v>237</v>
      </c>
      <c r="E23" s="6" t="s">
        <v>301</v>
      </c>
      <c r="F23" s="8">
        <v>6.3590940253519597E-4</v>
      </c>
      <c r="G23" s="6" t="s">
        <v>233</v>
      </c>
      <c r="H23" s="5" t="s">
        <v>234</v>
      </c>
      <c r="I23" s="6" t="s">
        <v>299</v>
      </c>
    </row>
    <row r="24" spans="1:18" ht="30" x14ac:dyDescent="0.25">
      <c r="A24" s="6" t="s">
        <v>302</v>
      </c>
      <c r="B24" s="6" t="s">
        <v>303</v>
      </c>
      <c r="C24" s="6">
        <v>3</v>
      </c>
      <c r="D24" s="6" t="s">
        <v>237</v>
      </c>
      <c r="E24" s="6" t="s">
        <v>304</v>
      </c>
      <c r="F24" s="8">
        <v>6.3438521971859597E-4</v>
      </c>
      <c r="G24" s="6" t="s">
        <v>233</v>
      </c>
      <c r="H24" s="5" t="s">
        <v>234</v>
      </c>
      <c r="I24" s="6" t="s">
        <v>302</v>
      </c>
    </row>
    <row r="25" spans="1:18" ht="30" x14ac:dyDescent="0.25">
      <c r="A25" s="6" t="s">
        <v>305</v>
      </c>
      <c r="B25" s="6" t="s">
        <v>306</v>
      </c>
      <c r="C25" s="6">
        <v>3</v>
      </c>
      <c r="D25" s="6" t="s">
        <v>237</v>
      </c>
      <c r="E25" s="6" t="s">
        <v>307</v>
      </c>
      <c r="F25" s="8">
        <v>6.3372238303709898E-4</v>
      </c>
      <c r="G25" s="6" t="s">
        <v>233</v>
      </c>
      <c r="H25" s="5" t="s">
        <v>234</v>
      </c>
      <c r="I25" s="6" t="s">
        <v>305</v>
      </c>
    </row>
    <row r="26" spans="1:18" ht="30" x14ac:dyDescent="0.25">
      <c r="A26" s="6" t="s">
        <v>308</v>
      </c>
      <c r="B26" s="6" t="s">
        <v>309</v>
      </c>
      <c r="C26" s="6">
        <v>3</v>
      </c>
      <c r="D26" s="6" t="s">
        <v>237</v>
      </c>
      <c r="E26" s="6" t="s">
        <v>310</v>
      </c>
      <c r="F26" s="8">
        <v>5.3341775985574203E-4</v>
      </c>
      <c r="G26" s="6" t="s">
        <v>233</v>
      </c>
      <c r="H26" s="5" t="s">
        <v>234</v>
      </c>
      <c r="I26" s="6" t="s">
        <v>308</v>
      </c>
    </row>
    <row r="27" spans="1:18" ht="30" x14ac:dyDescent="0.25">
      <c r="A27" s="6" t="s">
        <v>311</v>
      </c>
      <c r="B27" s="6" t="s">
        <v>312</v>
      </c>
      <c r="C27" s="6">
        <v>3</v>
      </c>
      <c r="D27" s="6" t="s">
        <v>237</v>
      </c>
      <c r="E27" s="6" t="s">
        <v>313</v>
      </c>
      <c r="F27" s="8">
        <v>4.5577006560259598E-4</v>
      </c>
      <c r="G27" s="6" t="s">
        <v>233</v>
      </c>
      <c r="H27" s="5" t="s">
        <v>234</v>
      </c>
      <c r="I27" s="6" t="s">
        <v>311</v>
      </c>
    </row>
    <row r="28" spans="1:18" x14ac:dyDescent="0.25">
      <c r="A28" s="10" t="s">
        <v>314</v>
      </c>
      <c r="B28" s="10" t="s">
        <v>314</v>
      </c>
      <c r="C28" s="10">
        <v>3</v>
      </c>
      <c r="D28" s="6" t="s">
        <v>237</v>
      </c>
      <c r="E28" s="6" t="s">
        <v>315</v>
      </c>
      <c r="F28" s="9">
        <v>1.75E-3</v>
      </c>
      <c r="G28" s="6" t="s">
        <v>233</v>
      </c>
      <c r="H28" s="5" t="s">
        <v>316</v>
      </c>
      <c r="I28" s="10" t="s">
        <v>314</v>
      </c>
    </row>
    <row r="29" spans="1:18" ht="30" x14ac:dyDescent="0.25">
      <c r="A29" s="5" t="s">
        <v>3521</v>
      </c>
      <c r="B29" s="6" t="s">
        <v>3522</v>
      </c>
      <c r="C29" s="10">
        <v>3</v>
      </c>
      <c r="D29" s="37" t="s">
        <v>3616</v>
      </c>
      <c r="E29" s="6" t="s">
        <v>4776</v>
      </c>
      <c r="F29" s="6">
        <v>0.31609999999999999</v>
      </c>
      <c r="G29" s="6" t="s">
        <v>3519</v>
      </c>
      <c r="H29" s="5" t="s">
        <v>3512</v>
      </c>
      <c r="I29" s="5" t="s">
        <v>3522</v>
      </c>
    </row>
    <row r="30" spans="1:18" ht="30" x14ac:dyDescent="0.25">
      <c r="A30" s="5" t="s">
        <v>3531</v>
      </c>
      <c r="B30" s="6" t="s">
        <v>3533</v>
      </c>
      <c r="C30" s="10">
        <v>3</v>
      </c>
      <c r="D30" s="37" t="s">
        <v>3616</v>
      </c>
      <c r="E30" s="6" t="s">
        <v>4752</v>
      </c>
      <c r="F30" s="5">
        <v>0.22620000000000001</v>
      </c>
      <c r="G30" s="6" t="s">
        <v>3474</v>
      </c>
      <c r="H30" s="6" t="s">
        <v>3613</v>
      </c>
      <c r="I30" s="5" t="s">
        <v>3533</v>
      </c>
    </row>
    <row r="31" spans="1:18" ht="30" x14ac:dyDescent="0.25">
      <c r="A31" s="5" t="s">
        <v>3534</v>
      </c>
      <c r="B31" s="5" t="s">
        <v>3606</v>
      </c>
      <c r="C31" s="10">
        <v>3</v>
      </c>
      <c r="D31" s="37" t="s">
        <v>3616</v>
      </c>
      <c r="E31" s="6" t="s">
        <v>4753</v>
      </c>
      <c r="F31" s="5">
        <v>0.40379999999999999</v>
      </c>
      <c r="G31" s="6" t="s">
        <v>3519</v>
      </c>
      <c r="H31" s="5" t="s">
        <v>3512</v>
      </c>
      <c r="I31" s="5" t="s">
        <v>3606</v>
      </c>
    </row>
    <row r="32" spans="1:18" ht="30" x14ac:dyDescent="0.25">
      <c r="A32" s="5" t="s">
        <v>272</v>
      </c>
      <c r="B32" s="6" t="s">
        <v>3547</v>
      </c>
      <c r="C32" s="10">
        <v>3</v>
      </c>
      <c r="D32" s="37" t="s">
        <v>3616</v>
      </c>
      <c r="E32" s="6" t="s">
        <v>4754</v>
      </c>
      <c r="F32" s="5">
        <v>0.43419999999999997</v>
      </c>
      <c r="G32" s="6" t="s">
        <v>3474</v>
      </c>
      <c r="H32" s="5" t="s">
        <v>3513</v>
      </c>
      <c r="I32" s="5" t="s">
        <v>3547</v>
      </c>
    </row>
    <row r="33" spans="1:9" ht="30" x14ac:dyDescent="0.25">
      <c r="A33" s="5" t="s">
        <v>3548</v>
      </c>
      <c r="B33" s="6" t="s">
        <v>3549</v>
      </c>
      <c r="C33" s="10">
        <v>3</v>
      </c>
      <c r="D33" s="37" t="s">
        <v>3616</v>
      </c>
      <c r="E33" s="6" t="s">
        <v>4755</v>
      </c>
      <c r="F33" s="5">
        <v>0.123</v>
      </c>
      <c r="G33" s="6" t="s">
        <v>3519</v>
      </c>
      <c r="H33" s="5" t="s">
        <v>3608</v>
      </c>
      <c r="I33" s="5" t="s">
        <v>3549</v>
      </c>
    </row>
    <row r="34" spans="1:9" ht="30" x14ac:dyDescent="0.25">
      <c r="A34" s="5" t="s">
        <v>3552</v>
      </c>
      <c r="B34" s="6" t="s">
        <v>3553</v>
      </c>
      <c r="C34" s="10">
        <v>3</v>
      </c>
      <c r="D34" s="37" t="s">
        <v>3616</v>
      </c>
      <c r="E34" s="6" t="s">
        <v>4756</v>
      </c>
      <c r="F34" s="5">
        <v>0.2898</v>
      </c>
      <c r="G34" s="6" t="s">
        <v>3474</v>
      </c>
      <c r="H34" s="5" t="s">
        <v>3513</v>
      </c>
      <c r="I34" s="5" t="s">
        <v>3553</v>
      </c>
    </row>
    <row r="35" spans="1:9" ht="30" x14ac:dyDescent="0.25">
      <c r="A35" s="5" t="s">
        <v>281</v>
      </c>
      <c r="B35" s="6" t="s">
        <v>3554</v>
      </c>
      <c r="C35" s="10">
        <v>3</v>
      </c>
      <c r="D35" s="37" t="s">
        <v>3616</v>
      </c>
      <c r="E35" s="6" t="s">
        <v>4757</v>
      </c>
      <c r="F35" s="5">
        <v>0.4299</v>
      </c>
      <c r="G35" s="6" t="s">
        <v>3474</v>
      </c>
      <c r="H35" s="5" t="s">
        <v>3513</v>
      </c>
      <c r="I35" s="5" t="s">
        <v>3554</v>
      </c>
    </row>
    <row r="36" spans="1:9" ht="30" x14ac:dyDescent="0.25">
      <c r="A36" s="5" t="s">
        <v>730</v>
      </c>
      <c r="B36" s="6" t="s">
        <v>3555</v>
      </c>
      <c r="C36" s="10">
        <v>3</v>
      </c>
      <c r="D36" s="37" t="s">
        <v>3616</v>
      </c>
      <c r="E36" s="6" t="s">
        <v>4758</v>
      </c>
      <c r="F36" s="5">
        <v>5.7799999999999997E-2</v>
      </c>
      <c r="G36" s="6" t="s">
        <v>3474</v>
      </c>
      <c r="H36" s="5" t="s">
        <v>3513</v>
      </c>
      <c r="I36" s="5" t="s">
        <v>3555</v>
      </c>
    </row>
    <row r="37" spans="1:9" ht="30" x14ac:dyDescent="0.25">
      <c r="A37" s="5" t="s">
        <v>239</v>
      </c>
      <c r="B37" s="6" t="s">
        <v>3561</v>
      </c>
      <c r="C37" s="10">
        <v>3</v>
      </c>
      <c r="D37" s="37" t="s">
        <v>3616</v>
      </c>
      <c r="E37" s="6" t="s">
        <v>4759</v>
      </c>
      <c r="F37" s="5">
        <v>0.18340000000000001</v>
      </c>
      <c r="G37" s="6" t="s">
        <v>3474</v>
      </c>
      <c r="H37" s="5" t="s">
        <v>3513</v>
      </c>
      <c r="I37" s="5" t="s">
        <v>3561</v>
      </c>
    </row>
    <row r="38" spans="1:9" ht="30" x14ac:dyDescent="0.25">
      <c r="A38" s="5" t="s">
        <v>3562</v>
      </c>
      <c r="B38" s="6" t="s">
        <v>3563</v>
      </c>
      <c r="C38" s="10">
        <v>3</v>
      </c>
      <c r="D38" s="37" t="s">
        <v>3616</v>
      </c>
      <c r="E38" s="6" t="s">
        <v>4792</v>
      </c>
      <c r="F38" s="5">
        <v>0.32400000000000001</v>
      </c>
      <c r="G38" s="6" t="s">
        <v>3519</v>
      </c>
      <c r="H38" s="5" t="s">
        <v>3612</v>
      </c>
      <c r="I38" s="5" t="s">
        <v>3563</v>
      </c>
    </row>
    <row r="39" spans="1:9" ht="30" x14ac:dyDescent="0.25">
      <c r="A39" s="5" t="s">
        <v>278</v>
      </c>
      <c r="B39" s="6" t="s">
        <v>3566</v>
      </c>
      <c r="C39" s="10">
        <v>3</v>
      </c>
      <c r="D39" s="37" t="s">
        <v>3616</v>
      </c>
      <c r="E39" s="6" t="s">
        <v>4760</v>
      </c>
      <c r="F39" s="5">
        <v>0.61680000000000001</v>
      </c>
      <c r="G39" s="6" t="s">
        <v>3519</v>
      </c>
      <c r="H39" s="5" t="s">
        <v>3512</v>
      </c>
      <c r="I39" s="6" t="s">
        <v>3566</v>
      </c>
    </row>
    <row r="40" spans="1:9" ht="30" x14ac:dyDescent="0.25">
      <c r="A40" s="5" t="s">
        <v>3567</v>
      </c>
      <c r="B40" s="6" t="s">
        <v>3568</v>
      </c>
      <c r="C40" s="10">
        <v>3</v>
      </c>
      <c r="D40" s="37" t="s">
        <v>3616</v>
      </c>
      <c r="E40" s="6" t="s">
        <v>4761</v>
      </c>
      <c r="F40" s="5">
        <v>0.188</v>
      </c>
      <c r="G40" s="6" t="s">
        <v>3196</v>
      </c>
      <c r="H40" s="5" t="s">
        <v>3607</v>
      </c>
      <c r="I40" s="6" t="s">
        <v>3568</v>
      </c>
    </row>
    <row r="41" spans="1:9" ht="30" x14ac:dyDescent="0.25">
      <c r="A41" s="5" t="s">
        <v>3569</v>
      </c>
      <c r="B41" s="6" t="s">
        <v>3570</v>
      </c>
      <c r="C41" s="10">
        <v>3</v>
      </c>
      <c r="D41" s="37" t="s">
        <v>3616</v>
      </c>
      <c r="E41" s="6" t="s">
        <v>4762</v>
      </c>
      <c r="F41" s="5">
        <v>0.69410000000000005</v>
      </c>
      <c r="G41" s="6" t="s">
        <v>3474</v>
      </c>
      <c r="H41" s="5" t="s">
        <v>3513</v>
      </c>
      <c r="I41" s="6" t="s">
        <v>3570</v>
      </c>
    </row>
    <row r="42" spans="1:9" ht="30" x14ac:dyDescent="0.25">
      <c r="A42" s="5" t="s">
        <v>3571</v>
      </c>
      <c r="B42" s="6" t="s">
        <v>3572</v>
      </c>
      <c r="C42" s="10">
        <v>3</v>
      </c>
      <c r="D42" s="37" t="s">
        <v>3616</v>
      </c>
      <c r="E42" s="6" t="s">
        <v>4763</v>
      </c>
      <c r="F42" s="5">
        <v>0.27200000000000002</v>
      </c>
      <c r="G42" s="6" t="s">
        <v>3474</v>
      </c>
      <c r="H42" s="5" t="s">
        <v>3513</v>
      </c>
      <c r="I42" s="6" t="s">
        <v>3572</v>
      </c>
    </row>
    <row r="43" spans="1:9" ht="30" x14ac:dyDescent="0.25">
      <c r="A43" s="5" t="s">
        <v>260</v>
      </c>
      <c r="B43" s="6" t="s">
        <v>3576</v>
      </c>
      <c r="C43" s="10">
        <v>3</v>
      </c>
      <c r="D43" s="37" t="s">
        <v>3616</v>
      </c>
      <c r="E43" s="6" t="s">
        <v>4764</v>
      </c>
      <c r="F43" s="5">
        <v>0.37990000000000002</v>
      </c>
      <c r="G43" s="6" t="s">
        <v>3474</v>
      </c>
      <c r="H43" s="5" t="s">
        <v>3513</v>
      </c>
      <c r="I43" s="6" t="s">
        <v>3576</v>
      </c>
    </row>
    <row r="44" spans="1:9" ht="30" x14ac:dyDescent="0.25">
      <c r="A44" s="5" t="s">
        <v>3582</v>
      </c>
      <c r="B44" s="6" t="s">
        <v>3536</v>
      </c>
      <c r="C44" s="10">
        <v>3</v>
      </c>
      <c r="D44" s="37" t="s">
        <v>3616</v>
      </c>
      <c r="E44" s="6" t="s">
        <v>4765</v>
      </c>
      <c r="F44" s="5">
        <v>0.18970000000000001</v>
      </c>
      <c r="G44" s="6" t="s">
        <v>3474</v>
      </c>
      <c r="H44" s="5" t="s">
        <v>3513</v>
      </c>
      <c r="I44" s="6" t="s">
        <v>3583</v>
      </c>
    </row>
    <row r="45" spans="1:9" ht="30" x14ac:dyDescent="0.25">
      <c r="A45" s="5" t="s">
        <v>3584</v>
      </c>
      <c r="B45" s="6" t="s">
        <v>3525</v>
      </c>
      <c r="C45" s="10">
        <v>3</v>
      </c>
      <c r="D45" s="37" t="s">
        <v>3616</v>
      </c>
      <c r="E45" s="6" t="s">
        <v>4797</v>
      </c>
      <c r="F45" s="5">
        <v>9.2999999999999999E-2</v>
      </c>
      <c r="G45" s="6" t="s">
        <v>3196</v>
      </c>
      <c r="H45" s="5" t="s">
        <v>3605</v>
      </c>
      <c r="I45" s="5" t="s">
        <v>3526</v>
      </c>
    </row>
    <row r="46" spans="1:9" ht="30" x14ac:dyDescent="0.25">
      <c r="A46" s="5" t="s">
        <v>3585</v>
      </c>
      <c r="B46" s="6" t="s">
        <v>3563</v>
      </c>
      <c r="C46" s="10">
        <v>3</v>
      </c>
      <c r="D46" s="37" t="s">
        <v>3616</v>
      </c>
      <c r="E46" s="6" t="s">
        <v>4766</v>
      </c>
      <c r="F46" s="5">
        <v>63.8</v>
      </c>
      <c r="G46" s="6" t="s">
        <v>3520</v>
      </c>
      <c r="H46" s="5" t="s">
        <v>3614</v>
      </c>
      <c r="I46" s="6" t="s">
        <v>3563</v>
      </c>
    </row>
    <row r="47" spans="1:9" ht="45" x14ac:dyDescent="0.25">
      <c r="A47" s="5" t="s">
        <v>3586</v>
      </c>
      <c r="B47" s="6" t="s">
        <v>3566</v>
      </c>
      <c r="C47" s="10">
        <v>3</v>
      </c>
      <c r="D47" s="37" t="s">
        <v>3616</v>
      </c>
      <c r="E47" s="6" t="s">
        <v>4767</v>
      </c>
      <c r="F47" s="5">
        <v>0.98460000000000003</v>
      </c>
      <c r="G47" s="6" t="s">
        <v>3474</v>
      </c>
      <c r="H47" s="37" t="s">
        <v>3497</v>
      </c>
      <c r="I47" s="6" t="s">
        <v>3587</v>
      </c>
    </row>
    <row r="48" spans="1:9" s="50" customFormat="1" ht="30" x14ac:dyDescent="0.25">
      <c r="A48" s="47" t="s">
        <v>299</v>
      </c>
      <c r="B48" s="49" t="s">
        <v>3592</v>
      </c>
      <c r="C48" s="48">
        <v>3</v>
      </c>
      <c r="D48" s="47" t="s">
        <v>3616</v>
      </c>
      <c r="E48" s="49" t="s">
        <v>4768</v>
      </c>
      <c r="F48" s="47">
        <v>0.62890000000000001</v>
      </c>
      <c r="G48" s="49" t="s">
        <v>3474</v>
      </c>
      <c r="H48" s="47" t="s">
        <v>3513</v>
      </c>
      <c r="I48" s="49" t="s">
        <v>3592</v>
      </c>
    </row>
    <row r="49" spans="1:9" ht="30" x14ac:dyDescent="0.25">
      <c r="A49" s="5" t="s">
        <v>3594</v>
      </c>
      <c r="B49" s="6" t="s">
        <v>3595</v>
      </c>
      <c r="C49" s="10">
        <v>3</v>
      </c>
      <c r="D49" s="37" t="s">
        <v>3616</v>
      </c>
      <c r="E49" s="6" t="s">
        <v>4769</v>
      </c>
      <c r="F49" s="5">
        <v>0.17</v>
      </c>
      <c r="G49" s="6" t="s">
        <v>3489</v>
      </c>
      <c r="H49" s="5" t="s">
        <v>3605</v>
      </c>
      <c r="I49" s="6" t="s">
        <v>3595</v>
      </c>
    </row>
    <row r="50" spans="1:9" s="50" customFormat="1" ht="30" x14ac:dyDescent="0.25">
      <c r="A50" s="47" t="s">
        <v>3596</v>
      </c>
      <c r="B50" s="49" t="s">
        <v>3597</v>
      </c>
      <c r="C50" s="48">
        <v>3</v>
      </c>
      <c r="D50" s="47" t="s">
        <v>3616</v>
      </c>
      <c r="E50" s="49" t="s">
        <v>4770</v>
      </c>
      <c r="F50" s="47">
        <v>1.2010000000000001</v>
      </c>
      <c r="G50" s="49" t="s">
        <v>3481</v>
      </c>
      <c r="H50" s="47" t="s">
        <v>3513</v>
      </c>
      <c r="I50" s="49" t="s">
        <v>3597</v>
      </c>
    </row>
    <row r="51" spans="1:9" ht="30" x14ac:dyDescent="0.25">
      <c r="A51" s="5" t="s">
        <v>3599</v>
      </c>
      <c r="B51" s="6" t="s">
        <v>3600</v>
      </c>
      <c r="C51" s="10">
        <v>3</v>
      </c>
      <c r="D51" s="37" t="s">
        <v>3616</v>
      </c>
      <c r="E51" s="6" t="s">
        <v>4771</v>
      </c>
      <c r="F51" s="5">
        <v>0.13900000000000001</v>
      </c>
      <c r="G51" s="6" t="s">
        <v>3489</v>
      </c>
      <c r="H51" s="5" t="s">
        <v>3607</v>
      </c>
      <c r="I51" s="6" t="s">
        <v>3600</v>
      </c>
    </row>
    <row r="52" spans="1:9" ht="30" x14ac:dyDescent="0.25">
      <c r="A52" s="5" t="s">
        <v>3581</v>
      </c>
      <c r="B52" s="5" t="s">
        <v>3581</v>
      </c>
      <c r="C52" s="10">
        <v>3</v>
      </c>
      <c r="D52" s="37" t="s">
        <v>3616</v>
      </c>
      <c r="E52" s="6" t="s">
        <v>4800</v>
      </c>
      <c r="F52" s="5">
        <v>9.0999999999999998E-2</v>
      </c>
      <c r="G52" s="6" t="s">
        <v>3488</v>
      </c>
      <c r="H52" s="5" t="s">
        <v>3513</v>
      </c>
      <c r="I52" s="5" t="s">
        <v>3581</v>
      </c>
    </row>
    <row r="53" spans="1:9" ht="30" x14ac:dyDescent="0.25">
      <c r="A53" s="5" t="s">
        <v>3602</v>
      </c>
      <c r="B53" s="5" t="s">
        <v>3602</v>
      </c>
      <c r="C53" s="10">
        <v>3</v>
      </c>
      <c r="D53" s="37" t="s">
        <v>3616</v>
      </c>
      <c r="E53" s="6" t="s">
        <v>4801</v>
      </c>
      <c r="F53" s="5">
        <v>0.154</v>
      </c>
      <c r="G53" s="6" t="s">
        <v>3489</v>
      </c>
      <c r="H53" s="5" t="s">
        <v>3513</v>
      </c>
      <c r="I53" s="5" t="s">
        <v>3602</v>
      </c>
    </row>
    <row r="54" spans="1:9" ht="30" x14ac:dyDescent="0.25">
      <c r="A54" s="5" t="s">
        <v>3601</v>
      </c>
      <c r="B54" s="5" t="s">
        <v>3601</v>
      </c>
      <c r="C54" s="10">
        <v>3</v>
      </c>
      <c r="D54" s="37" t="s">
        <v>3616</v>
      </c>
      <c r="E54" s="6" t="s">
        <v>4765</v>
      </c>
      <c r="F54" s="5">
        <v>0.18970000000000001</v>
      </c>
      <c r="G54" s="6" t="s">
        <v>3481</v>
      </c>
      <c r="H54" s="5" t="s">
        <v>3513</v>
      </c>
      <c r="I54" s="5" t="s">
        <v>3601</v>
      </c>
    </row>
    <row r="55" spans="1:9" ht="30" x14ac:dyDescent="0.25">
      <c r="A55" s="47" t="s">
        <v>3603</v>
      </c>
      <c r="B55" s="47" t="s">
        <v>1042</v>
      </c>
      <c r="C55" s="48">
        <v>3</v>
      </c>
      <c r="D55" s="47" t="s">
        <v>3616</v>
      </c>
      <c r="E55" s="49" t="s">
        <v>4772</v>
      </c>
      <c r="F55" s="47">
        <v>1.121</v>
      </c>
      <c r="G55" s="49" t="s">
        <v>3489</v>
      </c>
      <c r="H55" s="47" t="s">
        <v>3513</v>
      </c>
      <c r="I55" s="47" t="s">
        <v>1042</v>
      </c>
    </row>
    <row r="56" spans="1:9" ht="30" x14ac:dyDescent="0.25">
      <c r="A56" s="5" t="s">
        <v>3598</v>
      </c>
      <c r="B56" s="5" t="s">
        <v>3532</v>
      </c>
      <c r="C56" s="10">
        <v>3</v>
      </c>
      <c r="D56" s="37" t="s">
        <v>3616</v>
      </c>
      <c r="E56" s="6" t="s">
        <v>4752</v>
      </c>
      <c r="F56" s="5">
        <v>0.22620000000000001</v>
      </c>
      <c r="G56" s="6" t="s">
        <v>3481</v>
      </c>
      <c r="H56" s="5" t="s">
        <v>3613</v>
      </c>
      <c r="I56" s="5" t="s">
        <v>3532</v>
      </c>
    </row>
    <row r="57" spans="1:9" ht="30" x14ac:dyDescent="0.25">
      <c r="A57" s="5" t="s">
        <v>3559</v>
      </c>
      <c r="D57" s="37" t="s">
        <v>3616</v>
      </c>
      <c r="E57" s="49" t="s">
        <v>5615</v>
      </c>
      <c r="F57" s="5">
        <v>0.27</v>
      </c>
      <c r="G57" s="6" t="s">
        <v>3474</v>
      </c>
      <c r="H57" s="6" t="s">
        <v>3513</v>
      </c>
      <c r="I57" s="5" t="s">
        <v>3559</v>
      </c>
    </row>
  </sheetData>
  <phoneticPr fontId="2" type="noConversion"/>
  <conditionalFormatting sqref="A29:A51">
    <cfRule type="expression" dxfId="66" priority="72">
      <formula>MOD(ROW(),2)=0</formula>
    </cfRule>
  </conditionalFormatting>
  <conditionalFormatting sqref="A55:A57">
    <cfRule type="expression" dxfId="65" priority="4">
      <formula>MOD(ROW(),2)=0</formula>
    </cfRule>
  </conditionalFormatting>
  <conditionalFormatting sqref="A52:B54 B55">
    <cfRule type="expression" dxfId="64" priority="62">
      <formula>MOD(ROW(),2)=0</formula>
    </cfRule>
  </conditionalFormatting>
  <conditionalFormatting sqref="B29:B30">
    <cfRule type="expression" dxfId="63" priority="252">
      <formula>MOD(ROW(),2)=0</formula>
    </cfRule>
  </conditionalFormatting>
  <conditionalFormatting sqref="B32:B51">
    <cfRule type="expression" dxfId="62" priority="69">
      <formula>MOD(ROW(),2)=0</formula>
    </cfRule>
  </conditionalFormatting>
  <conditionalFormatting sqref="F29:G57">
    <cfRule type="expression" dxfId="61" priority="2">
      <formula>MOD(ROW(),2)=0</formula>
    </cfRule>
  </conditionalFormatting>
  <conditionalFormatting sqref="H29:H39">
    <cfRule type="expression" dxfId="60" priority="5">
      <formula>MOD(ROW(),2)=0</formula>
    </cfRule>
  </conditionalFormatting>
  <conditionalFormatting sqref="H41:H44">
    <cfRule type="expression" dxfId="59" priority="121">
      <formula>MOD(ROW(),2)=0</formula>
    </cfRule>
  </conditionalFormatting>
  <conditionalFormatting sqref="H48:H57">
    <cfRule type="expression" dxfId="58" priority="3">
      <formula>MOD(ROW(),2)=0</formula>
    </cfRule>
  </conditionalFormatting>
  <conditionalFormatting sqref="I29:I30">
    <cfRule type="expression" dxfId="57" priority="52">
      <formula>MOD(ROW(),2)=0</formula>
    </cfRule>
  </conditionalFormatting>
  <conditionalFormatting sqref="I32:I55">
    <cfRule type="expression" dxfId="56" priority="8">
      <formula>MOD(ROW(),2)=0</formula>
    </cfRule>
  </conditionalFormatting>
  <conditionalFormatting sqref="I57">
    <cfRule type="expression" dxfId="55" priority="1">
      <formula>MOD(ROW(),2)=0</formula>
    </cfRule>
  </conditionalFormatting>
  <conditionalFormatting sqref="R15:R16">
    <cfRule type="expression" dxfId="54" priority="6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3A23-F422-47A7-97A5-42AB9B84CE9A}">
  <dimension ref="A1:K95"/>
  <sheetViews>
    <sheetView topLeftCell="A50" workbookViewId="0">
      <selection activeCell="I54" sqref="I54"/>
    </sheetView>
  </sheetViews>
  <sheetFormatPr defaultRowHeight="15" x14ac:dyDescent="0.25"/>
  <cols>
    <col min="1" max="1" width="83.5703125" style="29" customWidth="1"/>
    <col min="2" max="2" width="13.42578125" bestFit="1" customWidth="1"/>
    <col min="3" max="3" width="6.140625" bestFit="1" customWidth="1"/>
    <col min="4" max="4" width="38.140625" bestFit="1" customWidth="1"/>
    <col min="5" max="5" width="11.42578125" bestFit="1" customWidth="1"/>
    <col min="6" max="6" width="11.85546875" bestFit="1" customWidth="1"/>
    <col min="7" max="7" width="15.5703125" bestFit="1" customWidth="1"/>
    <col min="8" max="8" width="17.140625" bestFit="1" customWidth="1"/>
    <col min="9" max="9" width="56.140625" bestFit="1" customWidth="1"/>
    <col min="10" max="10" width="9.42578125" bestFit="1" customWidth="1"/>
    <col min="11" max="11" width="18.42578125" bestFit="1" customWidth="1"/>
  </cols>
  <sheetData>
    <row r="1" spans="1:11" x14ac:dyDescent="0.25">
      <c r="A1" s="3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33" t="s">
        <v>3247</v>
      </c>
      <c r="K1" s="33" t="s">
        <v>3248</v>
      </c>
    </row>
    <row r="2" spans="1:11" x14ac:dyDescent="0.25">
      <c r="A2" s="5" t="s">
        <v>1620</v>
      </c>
      <c r="B2" s="6"/>
      <c r="C2" s="6">
        <v>3</v>
      </c>
      <c r="D2" s="6" t="s">
        <v>237</v>
      </c>
      <c r="E2" s="6" t="s">
        <v>3249</v>
      </c>
      <c r="F2" s="6">
        <v>1.0475808789775999E-3</v>
      </c>
      <c r="G2" s="6" t="s">
        <v>233</v>
      </c>
      <c r="H2" s="6" t="s">
        <v>234</v>
      </c>
      <c r="I2" s="6" t="s">
        <v>245</v>
      </c>
      <c r="J2" s="6" t="s">
        <v>1621</v>
      </c>
      <c r="K2" s="6" t="s">
        <v>1619</v>
      </c>
    </row>
    <row r="3" spans="1:11" x14ac:dyDescent="0.25">
      <c r="A3" s="5" t="s">
        <v>1677</v>
      </c>
      <c r="B3" s="6"/>
      <c r="C3" s="6">
        <v>3</v>
      </c>
      <c r="D3" s="6" t="s">
        <v>237</v>
      </c>
      <c r="E3" s="6" t="s">
        <v>3250</v>
      </c>
      <c r="F3" s="6">
        <v>1.0475808789775999E-3</v>
      </c>
      <c r="G3" s="6" t="s">
        <v>233</v>
      </c>
      <c r="H3" s="6" t="s">
        <v>234</v>
      </c>
      <c r="I3" s="6" t="s">
        <v>245</v>
      </c>
      <c r="J3" s="6" t="s">
        <v>1644</v>
      </c>
      <c r="K3" s="6" t="s">
        <v>1676</v>
      </c>
    </row>
    <row r="4" spans="1:11" x14ac:dyDescent="0.25">
      <c r="A4" s="5" t="s">
        <v>1790</v>
      </c>
      <c r="B4" s="6"/>
      <c r="C4" s="6">
        <v>3</v>
      </c>
      <c r="D4" s="6" t="s">
        <v>237</v>
      </c>
      <c r="E4" s="6" t="s">
        <v>3251</v>
      </c>
      <c r="F4" s="6">
        <v>1.0475808789775999E-3</v>
      </c>
      <c r="G4" s="6" t="s">
        <v>233</v>
      </c>
      <c r="H4" s="6" t="s">
        <v>234</v>
      </c>
      <c r="I4" s="6" t="s">
        <v>245</v>
      </c>
      <c r="J4" s="6" t="s">
        <v>1791</v>
      </c>
      <c r="K4" s="6" t="s">
        <v>1789</v>
      </c>
    </row>
    <row r="5" spans="1:11" x14ac:dyDescent="0.25">
      <c r="A5" s="5" t="s">
        <v>2047</v>
      </c>
      <c r="B5" s="6"/>
      <c r="C5" s="6">
        <v>3</v>
      </c>
      <c r="D5" s="6" t="s">
        <v>237</v>
      </c>
      <c r="E5" s="6" t="s">
        <v>3252</v>
      </c>
      <c r="F5" s="6">
        <v>1.0475808789775999E-3</v>
      </c>
      <c r="G5" s="6" t="s">
        <v>233</v>
      </c>
      <c r="H5" s="6" t="s">
        <v>234</v>
      </c>
      <c r="I5" s="6" t="s">
        <v>245</v>
      </c>
      <c r="J5" s="6" t="s">
        <v>2048</v>
      </c>
      <c r="K5" s="6" t="s">
        <v>2046</v>
      </c>
    </row>
    <row r="6" spans="1:11" x14ac:dyDescent="0.25">
      <c r="A6" s="5" t="s">
        <v>1614</v>
      </c>
      <c r="B6" s="6"/>
      <c r="C6" s="6">
        <v>3</v>
      </c>
      <c r="D6" s="6" t="s">
        <v>237</v>
      </c>
      <c r="E6" s="6" t="s">
        <v>3253</v>
      </c>
      <c r="F6" s="6">
        <v>4.3868590254058401E-4</v>
      </c>
      <c r="G6" s="6" t="s">
        <v>233</v>
      </c>
      <c r="H6" s="6" t="s">
        <v>234</v>
      </c>
      <c r="I6" s="6" t="s">
        <v>248</v>
      </c>
      <c r="J6" s="6" t="s">
        <v>1615</v>
      </c>
      <c r="K6" s="6" t="s">
        <v>1613</v>
      </c>
    </row>
    <row r="7" spans="1:11" ht="30" x14ac:dyDescent="0.25">
      <c r="A7" s="5" t="s">
        <v>1047</v>
      </c>
      <c r="B7" s="6"/>
      <c r="C7" s="6">
        <v>3</v>
      </c>
      <c r="D7" s="6" t="s">
        <v>237</v>
      </c>
      <c r="E7" s="6" t="s">
        <v>3254</v>
      </c>
      <c r="F7" s="6">
        <v>4.3868590254058401E-4</v>
      </c>
      <c r="G7" s="6" t="s">
        <v>233</v>
      </c>
      <c r="H7" s="6" t="s">
        <v>234</v>
      </c>
      <c r="I7" s="6" t="s">
        <v>248</v>
      </c>
      <c r="J7" s="6" t="s">
        <v>1516</v>
      </c>
      <c r="K7" s="6" t="s">
        <v>3255</v>
      </c>
    </row>
    <row r="8" spans="1:11" x14ac:dyDescent="0.25">
      <c r="A8" s="5" t="s">
        <v>389</v>
      </c>
      <c r="B8" s="6"/>
      <c r="C8" s="6">
        <v>3</v>
      </c>
      <c r="D8" s="6" t="s">
        <v>237</v>
      </c>
      <c r="E8" s="6" t="s">
        <v>3256</v>
      </c>
      <c r="F8" s="6">
        <v>4.3868590254058401E-4</v>
      </c>
      <c r="G8" s="6" t="s">
        <v>233</v>
      </c>
      <c r="H8" s="6" t="s">
        <v>234</v>
      </c>
      <c r="I8" s="6" t="s">
        <v>248</v>
      </c>
      <c r="J8" s="6" t="s">
        <v>1577</v>
      </c>
      <c r="K8" s="6" t="s">
        <v>1706</v>
      </c>
    </row>
    <row r="9" spans="1:11" x14ac:dyDescent="0.25">
      <c r="A9" s="5" t="s">
        <v>1739</v>
      </c>
      <c r="B9" s="6"/>
      <c r="C9" s="6">
        <v>3</v>
      </c>
      <c r="D9" s="6" t="s">
        <v>237</v>
      </c>
      <c r="E9" s="6" t="s">
        <v>3257</v>
      </c>
      <c r="F9" s="6">
        <v>4.3868590254058401E-4</v>
      </c>
      <c r="G9" s="6" t="s">
        <v>233</v>
      </c>
      <c r="H9" s="6" t="s">
        <v>234</v>
      </c>
      <c r="I9" s="6" t="s">
        <v>248</v>
      </c>
      <c r="J9" s="6" t="s">
        <v>1740</v>
      </c>
      <c r="K9" s="6" t="s">
        <v>1738</v>
      </c>
    </row>
    <row r="10" spans="1:11" x14ac:dyDescent="0.25">
      <c r="A10" s="5" t="s">
        <v>364</v>
      </c>
      <c r="B10" s="6"/>
      <c r="C10" s="6">
        <v>3</v>
      </c>
      <c r="D10" s="6" t="s">
        <v>237</v>
      </c>
      <c r="E10" s="6" t="s">
        <v>3258</v>
      </c>
      <c r="F10" s="6">
        <v>4.3868590254058401E-4</v>
      </c>
      <c r="G10" s="6" t="s">
        <v>233</v>
      </c>
      <c r="H10" s="6" t="s">
        <v>234</v>
      </c>
      <c r="I10" s="6" t="s">
        <v>248</v>
      </c>
      <c r="J10" s="6" t="s">
        <v>3259</v>
      </c>
      <c r="K10" s="6" t="s">
        <v>3260</v>
      </c>
    </row>
    <row r="11" spans="1:11" x14ac:dyDescent="0.25">
      <c r="A11" s="5" t="s">
        <v>1826</v>
      </c>
      <c r="B11" s="6"/>
      <c r="C11" s="6">
        <v>3</v>
      </c>
      <c r="D11" s="6" t="s">
        <v>237</v>
      </c>
      <c r="E11" s="6" t="s">
        <v>3261</v>
      </c>
      <c r="F11" s="6">
        <v>4.3868590254058401E-4</v>
      </c>
      <c r="G11" s="6" t="s">
        <v>233</v>
      </c>
      <c r="H11" s="6" t="s">
        <v>234</v>
      </c>
      <c r="I11" s="6" t="s">
        <v>248</v>
      </c>
      <c r="J11" s="6" t="s">
        <v>1827</v>
      </c>
      <c r="K11" s="6" t="s">
        <v>1825</v>
      </c>
    </row>
    <row r="12" spans="1:11" x14ac:dyDescent="0.25">
      <c r="A12" s="5" t="s">
        <v>1937</v>
      </c>
      <c r="B12" s="6"/>
      <c r="C12" s="6">
        <v>3</v>
      </c>
      <c r="D12" s="6" t="s">
        <v>237</v>
      </c>
      <c r="E12" s="6" t="s">
        <v>3262</v>
      </c>
      <c r="F12" s="6">
        <v>4.3868590254058401E-4</v>
      </c>
      <c r="G12" s="6" t="s">
        <v>233</v>
      </c>
      <c r="H12" s="6" t="s">
        <v>234</v>
      </c>
      <c r="I12" s="6" t="s">
        <v>248</v>
      </c>
      <c r="J12" s="6" t="s">
        <v>1505</v>
      </c>
      <c r="K12" s="6" t="s">
        <v>1936</v>
      </c>
    </row>
    <row r="13" spans="1:11" x14ac:dyDescent="0.25">
      <c r="A13" s="5" t="s">
        <v>1819</v>
      </c>
      <c r="B13" s="6"/>
      <c r="C13" s="6">
        <v>3</v>
      </c>
      <c r="D13" s="6" t="s">
        <v>237</v>
      </c>
      <c r="E13" s="6" t="s">
        <v>3263</v>
      </c>
      <c r="F13" s="6">
        <v>4.3868590254058401E-4</v>
      </c>
      <c r="G13" s="6" t="s">
        <v>233</v>
      </c>
      <c r="H13" s="6" t="s">
        <v>234</v>
      </c>
      <c r="I13" s="6" t="s">
        <v>248</v>
      </c>
      <c r="J13" s="6" t="s">
        <v>1807</v>
      </c>
      <c r="K13" s="6" t="s">
        <v>3264</v>
      </c>
    </row>
    <row r="14" spans="1:11" x14ac:dyDescent="0.25">
      <c r="A14" s="5" t="s">
        <v>3265</v>
      </c>
      <c r="B14" s="6"/>
      <c r="C14" s="6">
        <v>3</v>
      </c>
      <c r="D14" s="6" t="s">
        <v>237</v>
      </c>
      <c r="E14" s="6" t="s">
        <v>3266</v>
      </c>
      <c r="F14" s="6">
        <v>4.3868590254058401E-4</v>
      </c>
      <c r="G14" s="6" t="s">
        <v>233</v>
      </c>
      <c r="H14" s="6" t="s">
        <v>234</v>
      </c>
      <c r="I14" s="6" t="s">
        <v>248</v>
      </c>
      <c r="J14" s="6" t="s">
        <v>2031</v>
      </c>
      <c r="K14" s="6" t="s">
        <v>2029</v>
      </c>
    </row>
    <row r="15" spans="1:11" x14ac:dyDescent="0.25">
      <c r="A15" s="5" t="s">
        <v>459</v>
      </c>
      <c r="B15" s="6"/>
      <c r="C15" s="6">
        <v>3</v>
      </c>
      <c r="D15" s="6" t="s">
        <v>237</v>
      </c>
      <c r="E15" s="6" t="s">
        <v>3267</v>
      </c>
      <c r="F15" s="6">
        <v>4.3868590254058401E-4</v>
      </c>
      <c r="G15" s="6" t="s">
        <v>233</v>
      </c>
      <c r="H15" s="6" t="s">
        <v>234</v>
      </c>
      <c r="I15" s="6" t="s">
        <v>248</v>
      </c>
      <c r="J15" s="6" t="s">
        <v>2076</v>
      </c>
      <c r="K15" s="6" t="s">
        <v>2074</v>
      </c>
    </row>
    <row r="16" spans="1:11" x14ac:dyDescent="0.25">
      <c r="A16" s="5" t="s">
        <v>2104</v>
      </c>
      <c r="B16" s="6"/>
      <c r="C16" s="6">
        <v>3</v>
      </c>
      <c r="D16" s="6" t="s">
        <v>237</v>
      </c>
      <c r="E16" s="6" t="s">
        <v>3268</v>
      </c>
      <c r="F16" s="6">
        <v>4.3868590254058401E-4</v>
      </c>
      <c r="G16" s="6" t="s">
        <v>233</v>
      </c>
      <c r="H16" s="6" t="s">
        <v>234</v>
      </c>
      <c r="I16" s="6" t="s">
        <v>248</v>
      </c>
      <c r="J16" s="6" t="s">
        <v>2105</v>
      </c>
      <c r="K16" s="6" t="s">
        <v>2103</v>
      </c>
    </row>
    <row r="17" spans="1:11" x14ac:dyDescent="0.25">
      <c r="A17" s="5" t="s">
        <v>2132</v>
      </c>
      <c r="B17" s="6"/>
      <c r="C17" s="6">
        <v>3</v>
      </c>
      <c r="D17" s="6" t="s">
        <v>237</v>
      </c>
      <c r="E17" s="6" t="s">
        <v>3269</v>
      </c>
      <c r="F17" s="6">
        <v>4.3868590254058401E-4</v>
      </c>
      <c r="G17" s="6" t="s">
        <v>233</v>
      </c>
      <c r="H17" s="6" t="s">
        <v>234</v>
      </c>
      <c r="I17" s="6" t="s">
        <v>248</v>
      </c>
      <c r="J17" s="6" t="s">
        <v>1667</v>
      </c>
      <c r="K17" s="6" t="s">
        <v>2131</v>
      </c>
    </row>
    <row r="18" spans="1:11" x14ac:dyDescent="0.25">
      <c r="A18" s="5" t="s">
        <v>2247</v>
      </c>
      <c r="B18" s="6"/>
      <c r="C18" s="6">
        <v>3</v>
      </c>
      <c r="D18" s="6" t="s">
        <v>237</v>
      </c>
      <c r="E18" s="6" t="s">
        <v>3270</v>
      </c>
      <c r="F18" s="6">
        <v>4.3868590254058401E-4</v>
      </c>
      <c r="G18" s="6" t="s">
        <v>233</v>
      </c>
      <c r="H18" s="6" t="s">
        <v>234</v>
      </c>
      <c r="I18" s="6" t="s">
        <v>248</v>
      </c>
      <c r="J18" s="6" t="s">
        <v>2248</v>
      </c>
      <c r="K18" s="6" t="s">
        <v>2246</v>
      </c>
    </row>
    <row r="19" spans="1:11" x14ac:dyDescent="0.25">
      <c r="A19" s="5" t="s">
        <v>2287</v>
      </c>
      <c r="B19" s="6"/>
      <c r="C19" s="6">
        <v>3</v>
      </c>
      <c r="D19" s="6" t="s">
        <v>237</v>
      </c>
      <c r="E19" s="6" t="s">
        <v>3271</v>
      </c>
      <c r="F19" s="6">
        <v>4.3868590254058401E-4</v>
      </c>
      <c r="G19" s="6" t="s">
        <v>233</v>
      </c>
      <c r="H19" s="6" t="s">
        <v>234</v>
      </c>
      <c r="I19" s="6" t="s">
        <v>248</v>
      </c>
      <c r="J19" s="6" t="s">
        <v>2288</v>
      </c>
      <c r="K19" s="6" t="s">
        <v>2286</v>
      </c>
    </row>
    <row r="20" spans="1:11" x14ac:dyDescent="0.25">
      <c r="A20" s="5" t="s">
        <v>2304</v>
      </c>
      <c r="B20" s="6"/>
      <c r="C20" s="6">
        <v>3</v>
      </c>
      <c r="D20" s="6" t="s">
        <v>237</v>
      </c>
      <c r="E20" s="6" t="s">
        <v>3272</v>
      </c>
      <c r="F20" s="6">
        <v>4.3868590254058401E-4</v>
      </c>
      <c r="G20" s="6" t="s">
        <v>233</v>
      </c>
      <c r="H20" s="6" t="s">
        <v>234</v>
      </c>
      <c r="I20" s="6" t="s">
        <v>248</v>
      </c>
      <c r="J20" s="6" t="s">
        <v>2305</v>
      </c>
      <c r="K20" s="6" t="s">
        <v>2303</v>
      </c>
    </row>
    <row r="21" spans="1:11" x14ac:dyDescent="0.25">
      <c r="A21" s="5" t="s">
        <v>2137</v>
      </c>
      <c r="B21" s="6"/>
      <c r="C21" s="6">
        <v>3</v>
      </c>
      <c r="D21" s="6" t="s">
        <v>237</v>
      </c>
      <c r="E21" s="6" t="s">
        <v>3273</v>
      </c>
      <c r="F21" s="6">
        <v>4.3868590254058401E-4</v>
      </c>
      <c r="G21" s="6" t="s">
        <v>233</v>
      </c>
      <c r="H21" s="6" t="s">
        <v>234</v>
      </c>
      <c r="I21" s="6" t="s">
        <v>248</v>
      </c>
      <c r="J21" s="6" t="s">
        <v>2138</v>
      </c>
      <c r="K21" s="6" t="s">
        <v>3274</v>
      </c>
    </row>
    <row r="22" spans="1:11" x14ac:dyDescent="0.25">
      <c r="A22" s="5" t="s">
        <v>384</v>
      </c>
      <c r="B22" s="6"/>
      <c r="C22" s="6">
        <v>3</v>
      </c>
      <c r="D22" s="6" t="s">
        <v>237</v>
      </c>
      <c r="E22" s="6" t="s">
        <v>3275</v>
      </c>
      <c r="F22" s="6">
        <v>4.3868590254058401E-4</v>
      </c>
      <c r="G22" s="6" t="s">
        <v>233</v>
      </c>
      <c r="H22" s="6" t="s">
        <v>234</v>
      </c>
      <c r="I22" s="6" t="s">
        <v>248</v>
      </c>
      <c r="J22" s="6" t="s">
        <v>1999</v>
      </c>
      <c r="K22" s="6" t="s">
        <v>3276</v>
      </c>
    </row>
    <row r="23" spans="1:11" x14ac:dyDescent="0.25">
      <c r="A23" s="5" t="s">
        <v>2208</v>
      </c>
      <c r="B23" s="6"/>
      <c r="C23" s="6">
        <v>3</v>
      </c>
      <c r="D23" s="6" t="s">
        <v>237</v>
      </c>
      <c r="E23" s="6" t="s">
        <v>3277</v>
      </c>
      <c r="F23" s="6">
        <v>4.3868590254058401E-4</v>
      </c>
      <c r="G23" s="6" t="s">
        <v>233</v>
      </c>
      <c r="H23" s="6" t="s">
        <v>234</v>
      </c>
      <c r="I23" s="6" t="s">
        <v>248</v>
      </c>
      <c r="J23" s="6" t="s">
        <v>2209</v>
      </c>
      <c r="K23" s="6" t="s">
        <v>3278</v>
      </c>
    </row>
    <row r="24" spans="1:11" x14ac:dyDescent="0.25">
      <c r="A24" s="5" t="s">
        <v>2441</v>
      </c>
      <c r="B24" s="6"/>
      <c r="C24" s="6">
        <v>3</v>
      </c>
      <c r="D24" s="6" t="s">
        <v>237</v>
      </c>
      <c r="E24" s="6" t="s">
        <v>3279</v>
      </c>
      <c r="F24" s="6">
        <v>4.3868590254058401E-4</v>
      </c>
      <c r="G24" s="6" t="s">
        <v>233</v>
      </c>
      <c r="H24" s="6" t="s">
        <v>234</v>
      </c>
      <c r="I24" s="6" t="s">
        <v>248</v>
      </c>
      <c r="J24" s="6" t="s">
        <v>1730</v>
      </c>
      <c r="K24" s="6" t="s">
        <v>2440</v>
      </c>
    </row>
    <row r="25" spans="1:11" x14ac:dyDescent="0.25">
      <c r="A25" s="5" t="s">
        <v>2593</v>
      </c>
      <c r="B25" s="6"/>
      <c r="C25" s="6">
        <v>3</v>
      </c>
      <c r="D25" s="6" t="s">
        <v>237</v>
      </c>
      <c r="E25" s="6" t="s">
        <v>3280</v>
      </c>
      <c r="F25" s="6">
        <v>4.3868590254058401E-4</v>
      </c>
      <c r="G25" s="6" t="s">
        <v>233</v>
      </c>
      <c r="H25" s="6" t="s">
        <v>234</v>
      </c>
      <c r="I25" s="6" t="s">
        <v>248</v>
      </c>
      <c r="J25" s="6" t="s">
        <v>2594</v>
      </c>
      <c r="K25" s="6" t="s">
        <v>2592</v>
      </c>
    </row>
    <row r="26" spans="1:11" x14ac:dyDescent="0.25">
      <c r="A26" s="5" t="s">
        <v>2607</v>
      </c>
      <c r="B26" s="6"/>
      <c r="C26" s="6">
        <v>3</v>
      </c>
      <c r="D26" s="6" t="s">
        <v>237</v>
      </c>
      <c r="E26" s="6" t="s">
        <v>3281</v>
      </c>
      <c r="F26" s="6">
        <v>4.3868590254058401E-4</v>
      </c>
      <c r="G26" s="6" t="s">
        <v>233</v>
      </c>
      <c r="H26" s="6" t="s">
        <v>234</v>
      </c>
      <c r="I26" s="6" t="s">
        <v>248</v>
      </c>
      <c r="J26" s="6" t="s">
        <v>2608</v>
      </c>
      <c r="K26" s="6" t="s">
        <v>2606</v>
      </c>
    </row>
    <row r="27" spans="1:11" x14ac:dyDescent="0.25">
      <c r="A27" s="5" t="s">
        <v>2714</v>
      </c>
      <c r="B27" s="6"/>
      <c r="C27" s="6">
        <v>3</v>
      </c>
      <c r="D27" s="6" t="s">
        <v>237</v>
      </c>
      <c r="E27" s="6" t="s">
        <v>3282</v>
      </c>
      <c r="F27" s="6">
        <v>4.3868590254058401E-4</v>
      </c>
      <c r="G27" s="6" t="s">
        <v>233</v>
      </c>
      <c r="H27" s="6" t="s">
        <v>234</v>
      </c>
      <c r="I27" s="6" t="s">
        <v>248</v>
      </c>
      <c r="J27" s="6" t="s">
        <v>2715</v>
      </c>
      <c r="K27" s="6" t="s">
        <v>2713</v>
      </c>
    </row>
    <row r="28" spans="1:11" x14ac:dyDescent="0.25">
      <c r="A28" s="5" t="s">
        <v>2720</v>
      </c>
      <c r="B28" s="6"/>
      <c r="C28" s="6">
        <v>3</v>
      </c>
      <c r="D28" s="6" t="s">
        <v>237</v>
      </c>
      <c r="E28" s="6" t="s">
        <v>3283</v>
      </c>
      <c r="F28" s="6">
        <v>4.3868590254058401E-4</v>
      </c>
      <c r="G28" s="6" t="s">
        <v>233</v>
      </c>
      <c r="H28" s="6" t="s">
        <v>234</v>
      </c>
      <c r="I28" s="6" t="s">
        <v>248</v>
      </c>
      <c r="J28" s="6" t="s">
        <v>1716</v>
      </c>
      <c r="K28" s="6" t="s">
        <v>2719</v>
      </c>
    </row>
    <row r="29" spans="1:11" x14ac:dyDescent="0.25">
      <c r="A29" s="5" t="s">
        <v>2755</v>
      </c>
      <c r="B29" s="6"/>
      <c r="C29" s="6">
        <v>3</v>
      </c>
      <c r="D29" s="6" t="s">
        <v>237</v>
      </c>
      <c r="E29" s="6" t="s">
        <v>3284</v>
      </c>
      <c r="F29" s="6">
        <v>4.3868590254058401E-4</v>
      </c>
      <c r="G29" s="6" t="s">
        <v>233</v>
      </c>
      <c r="H29" s="6" t="s">
        <v>234</v>
      </c>
      <c r="I29" s="6" t="s">
        <v>248</v>
      </c>
      <c r="J29" s="6" t="s">
        <v>2756</v>
      </c>
      <c r="K29" s="6" t="s">
        <v>2754</v>
      </c>
    </row>
    <row r="30" spans="1:11" x14ac:dyDescent="0.25">
      <c r="A30" s="5" t="s">
        <v>2055</v>
      </c>
      <c r="B30" s="6"/>
      <c r="C30" s="6">
        <v>3</v>
      </c>
      <c r="D30" s="6" t="s">
        <v>237</v>
      </c>
      <c r="E30" s="6" t="s">
        <v>3285</v>
      </c>
      <c r="F30" s="6">
        <v>4.3868590254058401E-4</v>
      </c>
      <c r="G30" s="6" t="s">
        <v>233</v>
      </c>
      <c r="H30" s="6" t="s">
        <v>234</v>
      </c>
      <c r="I30" s="6" t="s">
        <v>248</v>
      </c>
      <c r="J30" s="6" t="s">
        <v>2056</v>
      </c>
      <c r="K30" s="6" t="s">
        <v>3286</v>
      </c>
    </row>
    <row r="31" spans="1:11" x14ac:dyDescent="0.25">
      <c r="A31" s="5" t="s">
        <v>2835</v>
      </c>
      <c r="B31" s="6"/>
      <c r="C31" s="6">
        <v>3</v>
      </c>
      <c r="D31" s="6" t="s">
        <v>237</v>
      </c>
      <c r="E31" s="6" t="s">
        <v>3287</v>
      </c>
      <c r="F31" s="6">
        <v>4.3868590254058401E-4</v>
      </c>
      <c r="G31" s="6" t="s">
        <v>233</v>
      </c>
      <c r="H31" s="6" t="s">
        <v>234</v>
      </c>
      <c r="I31" s="6" t="s">
        <v>248</v>
      </c>
      <c r="J31" s="6" t="s">
        <v>1889</v>
      </c>
      <c r="K31" s="6" t="s">
        <v>2834</v>
      </c>
    </row>
    <row r="32" spans="1:11" x14ac:dyDescent="0.25">
      <c r="A32" s="5" t="s">
        <v>1699</v>
      </c>
      <c r="B32" s="6"/>
      <c r="C32" s="6">
        <v>3</v>
      </c>
      <c r="D32" s="6" t="s">
        <v>237</v>
      </c>
      <c r="E32" s="6" t="s">
        <v>3288</v>
      </c>
      <c r="F32" s="6">
        <v>8.13127547566152E-4</v>
      </c>
      <c r="G32" s="6" t="s">
        <v>233</v>
      </c>
      <c r="H32" s="6" t="s">
        <v>234</v>
      </c>
      <c r="I32" s="6" t="s">
        <v>254</v>
      </c>
      <c r="J32" s="6" t="s">
        <v>1700</v>
      </c>
      <c r="K32" s="6" t="s">
        <v>1698</v>
      </c>
    </row>
    <row r="33" spans="1:11" x14ac:dyDescent="0.25">
      <c r="A33" s="5" t="s">
        <v>1757</v>
      </c>
      <c r="B33" s="6"/>
      <c r="C33" s="6">
        <v>3</v>
      </c>
      <c r="D33" s="6" t="s">
        <v>237</v>
      </c>
      <c r="E33" s="6" t="s">
        <v>3289</v>
      </c>
      <c r="F33" s="6">
        <v>8.13127547566152E-4</v>
      </c>
      <c r="G33" s="6" t="s">
        <v>233</v>
      </c>
      <c r="H33" s="6" t="s">
        <v>234</v>
      </c>
      <c r="I33" s="6" t="s">
        <v>254</v>
      </c>
      <c r="J33" s="6" t="s">
        <v>1758</v>
      </c>
      <c r="K33" s="6" t="s">
        <v>1756</v>
      </c>
    </row>
    <row r="34" spans="1:11" x14ac:dyDescent="0.25">
      <c r="A34" s="5" t="s">
        <v>1803</v>
      </c>
      <c r="B34" s="6"/>
      <c r="C34" s="6">
        <v>3</v>
      </c>
      <c r="D34" s="6" t="s">
        <v>237</v>
      </c>
      <c r="E34" s="6" t="s">
        <v>3290</v>
      </c>
      <c r="F34" s="6">
        <v>8.13127547566152E-4</v>
      </c>
      <c r="G34" s="6" t="s">
        <v>233</v>
      </c>
      <c r="H34" s="6" t="s">
        <v>234</v>
      </c>
      <c r="I34" s="6" t="s">
        <v>254</v>
      </c>
      <c r="J34" s="6" t="s">
        <v>1804</v>
      </c>
      <c r="K34" s="6" t="s">
        <v>1802</v>
      </c>
    </row>
    <row r="35" spans="1:11" x14ac:dyDescent="0.25">
      <c r="A35" s="5" t="s">
        <v>1829</v>
      </c>
      <c r="B35" s="6"/>
      <c r="C35" s="6">
        <v>3</v>
      </c>
      <c r="D35" s="6" t="s">
        <v>237</v>
      </c>
      <c r="E35" s="6" t="s">
        <v>3291</v>
      </c>
      <c r="F35" s="6">
        <v>8.13127547566152E-4</v>
      </c>
      <c r="G35" s="6" t="s">
        <v>233</v>
      </c>
      <c r="H35" s="6" t="s">
        <v>234</v>
      </c>
      <c r="I35" s="6" t="s">
        <v>254</v>
      </c>
      <c r="J35" s="6" t="s">
        <v>1830</v>
      </c>
      <c r="K35" s="6" t="s">
        <v>1828</v>
      </c>
    </row>
    <row r="36" spans="1:11" x14ac:dyDescent="0.25">
      <c r="A36" s="5" t="s">
        <v>1579</v>
      </c>
      <c r="B36" s="6"/>
      <c r="C36" s="6">
        <v>3</v>
      </c>
      <c r="D36" s="6" t="s">
        <v>237</v>
      </c>
      <c r="E36" s="6" t="s">
        <v>3292</v>
      </c>
      <c r="F36" s="6">
        <v>8.13127547566152E-4</v>
      </c>
      <c r="G36" s="6" t="s">
        <v>233</v>
      </c>
      <c r="H36" s="6" t="s">
        <v>234</v>
      </c>
      <c r="I36" s="6" t="s">
        <v>254</v>
      </c>
      <c r="J36" s="6" t="s">
        <v>1580</v>
      </c>
      <c r="K36" s="6" t="s">
        <v>3293</v>
      </c>
    </row>
    <row r="37" spans="1:11" x14ac:dyDescent="0.25">
      <c r="A37" s="5" t="s">
        <v>1968</v>
      </c>
      <c r="B37" s="6"/>
      <c r="C37" s="6">
        <v>3</v>
      </c>
      <c r="D37" s="6" t="s">
        <v>237</v>
      </c>
      <c r="E37" s="6" t="s">
        <v>3294</v>
      </c>
      <c r="F37" s="6">
        <v>8.13127547566152E-4</v>
      </c>
      <c r="G37" s="6" t="s">
        <v>233</v>
      </c>
      <c r="H37" s="6" t="s">
        <v>234</v>
      </c>
      <c r="I37" s="6" t="s">
        <v>254</v>
      </c>
      <c r="J37" s="6" t="s">
        <v>1624</v>
      </c>
      <c r="K37" s="6" t="s">
        <v>1967</v>
      </c>
    </row>
    <row r="38" spans="1:11" x14ac:dyDescent="0.25">
      <c r="A38" s="5" t="s">
        <v>2015</v>
      </c>
      <c r="B38" s="6"/>
      <c r="C38" s="6">
        <v>3</v>
      </c>
      <c r="D38" s="6" t="s">
        <v>237</v>
      </c>
      <c r="E38" s="6" t="s">
        <v>3295</v>
      </c>
      <c r="F38" s="6">
        <v>8.13127547566152E-4</v>
      </c>
      <c r="G38" s="6" t="s">
        <v>233</v>
      </c>
      <c r="H38" s="6" t="s">
        <v>234</v>
      </c>
      <c r="I38" s="6" t="s">
        <v>254</v>
      </c>
      <c r="J38" s="6" t="s">
        <v>2016</v>
      </c>
      <c r="K38" s="6" t="s">
        <v>2014</v>
      </c>
    </row>
    <row r="39" spans="1:11" x14ac:dyDescent="0.25">
      <c r="A39" s="5" t="s">
        <v>2214</v>
      </c>
      <c r="B39" s="6"/>
      <c r="C39" s="6">
        <v>3</v>
      </c>
      <c r="D39" s="6" t="s">
        <v>237</v>
      </c>
      <c r="E39" s="6" t="s">
        <v>3296</v>
      </c>
      <c r="F39" s="6">
        <v>8.13127547566152E-4</v>
      </c>
      <c r="G39" s="6" t="s">
        <v>233</v>
      </c>
      <c r="H39" s="6" t="s">
        <v>234</v>
      </c>
      <c r="I39" s="6" t="s">
        <v>254</v>
      </c>
      <c r="J39" s="6" t="s">
        <v>2215</v>
      </c>
      <c r="K39" s="6" t="s">
        <v>2213</v>
      </c>
    </row>
    <row r="40" spans="1:11" x14ac:dyDescent="0.25">
      <c r="A40" s="5" t="s">
        <v>2293</v>
      </c>
      <c r="B40" s="6"/>
      <c r="C40" s="6">
        <v>3</v>
      </c>
      <c r="D40" s="6" t="s">
        <v>237</v>
      </c>
      <c r="E40" s="6" t="s">
        <v>3297</v>
      </c>
      <c r="F40" s="6">
        <v>8.13127547566152E-4</v>
      </c>
      <c r="G40" s="6" t="s">
        <v>233</v>
      </c>
      <c r="H40" s="6" t="s">
        <v>234</v>
      </c>
      <c r="I40" s="6" t="s">
        <v>254</v>
      </c>
      <c r="J40" s="6" t="s">
        <v>2294</v>
      </c>
      <c r="K40" s="6" t="s">
        <v>2292</v>
      </c>
    </row>
    <row r="41" spans="1:11" x14ac:dyDescent="0.25">
      <c r="A41" s="5" t="s">
        <v>2266</v>
      </c>
      <c r="B41" s="6"/>
      <c r="C41" s="6">
        <v>3</v>
      </c>
      <c r="D41" s="6" t="s">
        <v>237</v>
      </c>
      <c r="E41" s="6" t="s">
        <v>3298</v>
      </c>
      <c r="F41" s="6">
        <v>8.13127547566152E-4</v>
      </c>
      <c r="G41" s="6" t="s">
        <v>233</v>
      </c>
      <c r="H41" s="6" t="s">
        <v>234</v>
      </c>
      <c r="I41" s="6" t="s">
        <v>254</v>
      </c>
      <c r="J41" s="6" t="s">
        <v>2267</v>
      </c>
      <c r="K41" s="6" t="s">
        <v>3299</v>
      </c>
    </row>
    <row r="42" spans="1:11" x14ac:dyDescent="0.25">
      <c r="A42" s="5" t="s">
        <v>2058</v>
      </c>
      <c r="B42" s="6"/>
      <c r="C42" s="6">
        <v>3</v>
      </c>
      <c r="D42" s="6" t="s">
        <v>237</v>
      </c>
      <c r="E42" s="6" t="s">
        <v>3300</v>
      </c>
      <c r="F42" s="6">
        <v>8.13127547566152E-4</v>
      </c>
      <c r="G42" s="6" t="s">
        <v>233</v>
      </c>
      <c r="H42" s="6" t="s">
        <v>234</v>
      </c>
      <c r="I42" s="6" t="s">
        <v>254</v>
      </c>
      <c r="J42" s="6" t="s">
        <v>3301</v>
      </c>
      <c r="K42" s="6" t="s">
        <v>3302</v>
      </c>
    </row>
    <row r="43" spans="1:11" x14ac:dyDescent="0.25">
      <c r="A43" s="5" t="s">
        <v>1554</v>
      </c>
      <c r="B43" s="6"/>
      <c r="C43" s="6">
        <v>3</v>
      </c>
      <c r="D43" s="6" t="s">
        <v>237</v>
      </c>
      <c r="E43" s="6" t="s">
        <v>3303</v>
      </c>
      <c r="F43" s="6">
        <v>8.13127547566152E-4</v>
      </c>
      <c r="G43" s="6" t="s">
        <v>233</v>
      </c>
      <c r="H43" s="6" t="s">
        <v>234</v>
      </c>
      <c r="I43" s="6" t="s">
        <v>254</v>
      </c>
      <c r="J43" s="6" t="s">
        <v>1555</v>
      </c>
      <c r="K43" s="6" t="s">
        <v>3304</v>
      </c>
    </row>
    <row r="44" spans="1:11" x14ac:dyDescent="0.25">
      <c r="A44" s="5" t="s">
        <v>1993</v>
      </c>
      <c r="B44" s="6"/>
      <c r="C44" s="6">
        <v>3</v>
      </c>
      <c r="D44" s="6" t="s">
        <v>237</v>
      </c>
      <c r="E44" s="6" t="s">
        <v>3305</v>
      </c>
      <c r="F44" s="6">
        <v>8.13127547566152E-4</v>
      </c>
      <c r="G44" s="6" t="s">
        <v>233</v>
      </c>
      <c r="H44" s="6" t="s">
        <v>234</v>
      </c>
      <c r="I44" s="6" t="s">
        <v>254</v>
      </c>
      <c r="J44" s="6" t="s">
        <v>1812</v>
      </c>
      <c r="K44" s="6" t="s">
        <v>3306</v>
      </c>
    </row>
    <row r="45" spans="1:11" x14ac:dyDescent="0.25">
      <c r="A45" s="5" t="s">
        <v>2462</v>
      </c>
      <c r="B45" s="6"/>
      <c r="C45" s="6">
        <v>3</v>
      </c>
      <c r="D45" s="6" t="s">
        <v>237</v>
      </c>
      <c r="E45" s="6" t="s">
        <v>3307</v>
      </c>
      <c r="F45" s="6">
        <v>8.13127547566152E-4</v>
      </c>
      <c r="G45" s="6" t="s">
        <v>233</v>
      </c>
      <c r="H45" s="6" t="s">
        <v>234</v>
      </c>
      <c r="I45" s="6" t="s">
        <v>254</v>
      </c>
      <c r="J45" s="6" t="s">
        <v>1976</v>
      </c>
      <c r="K45" s="6" t="s">
        <v>2461</v>
      </c>
    </row>
    <row r="46" spans="1:11" x14ac:dyDescent="0.25">
      <c r="A46" s="5" t="s">
        <v>2488</v>
      </c>
      <c r="B46" s="6"/>
      <c r="C46" s="6">
        <v>3</v>
      </c>
      <c r="D46" s="6" t="s">
        <v>237</v>
      </c>
      <c r="E46" s="6" t="s">
        <v>3308</v>
      </c>
      <c r="F46" s="6">
        <v>8.13127547566152E-4</v>
      </c>
      <c r="G46" s="6" t="s">
        <v>233</v>
      </c>
      <c r="H46" s="6" t="s">
        <v>234</v>
      </c>
      <c r="I46" s="6" t="s">
        <v>254</v>
      </c>
      <c r="J46" s="6" t="s">
        <v>1771</v>
      </c>
      <c r="K46" s="6" t="s">
        <v>2487</v>
      </c>
    </row>
    <row r="47" spans="1:11" x14ac:dyDescent="0.25">
      <c r="A47" s="5" t="s">
        <v>2537</v>
      </c>
      <c r="B47" s="6"/>
      <c r="C47" s="6">
        <v>3</v>
      </c>
      <c r="D47" s="6" t="s">
        <v>237</v>
      </c>
      <c r="E47" s="6" t="s">
        <v>3309</v>
      </c>
      <c r="F47" s="6">
        <v>8.13127547566152E-4</v>
      </c>
      <c r="G47" s="6" t="s">
        <v>233</v>
      </c>
      <c r="H47" s="6" t="s">
        <v>234</v>
      </c>
      <c r="I47" s="6" t="s">
        <v>254</v>
      </c>
      <c r="J47" s="6" t="s">
        <v>1591</v>
      </c>
      <c r="K47" s="6" t="s">
        <v>2536</v>
      </c>
    </row>
    <row r="48" spans="1:11" x14ac:dyDescent="0.25">
      <c r="A48" s="5" t="s">
        <v>2596</v>
      </c>
      <c r="B48" s="6"/>
      <c r="C48" s="6">
        <v>3</v>
      </c>
      <c r="D48" s="6" t="s">
        <v>237</v>
      </c>
      <c r="E48" s="6" t="s">
        <v>3310</v>
      </c>
      <c r="F48" s="6">
        <v>8.13127547566152E-4</v>
      </c>
      <c r="G48" s="6" t="s">
        <v>233</v>
      </c>
      <c r="H48" s="6" t="s">
        <v>234</v>
      </c>
      <c r="I48" s="6" t="s">
        <v>254</v>
      </c>
      <c r="J48" s="6" t="s">
        <v>2597</v>
      </c>
      <c r="K48" s="6" t="s">
        <v>2595</v>
      </c>
    </row>
    <row r="49" spans="1:11" x14ac:dyDescent="0.25">
      <c r="A49" s="5" t="s">
        <v>2408</v>
      </c>
      <c r="B49" s="6"/>
      <c r="C49" s="6">
        <v>3</v>
      </c>
      <c r="D49" s="6" t="s">
        <v>237</v>
      </c>
      <c r="E49" s="6" t="s">
        <v>3311</v>
      </c>
      <c r="F49" s="6">
        <v>8.13127547566152E-4</v>
      </c>
      <c r="G49" s="6" t="s">
        <v>233</v>
      </c>
      <c r="H49" s="6" t="s">
        <v>234</v>
      </c>
      <c r="I49" s="6" t="s">
        <v>254</v>
      </c>
      <c r="J49" s="6" t="s">
        <v>2409</v>
      </c>
      <c r="K49" s="6" t="s">
        <v>3312</v>
      </c>
    </row>
    <row r="50" spans="1:11" x14ac:dyDescent="0.25">
      <c r="A50" s="5" t="s">
        <v>2752</v>
      </c>
      <c r="B50" s="6"/>
      <c r="C50" s="6">
        <v>3</v>
      </c>
      <c r="D50" s="6" t="s">
        <v>237</v>
      </c>
      <c r="E50" s="6" t="s">
        <v>3313</v>
      </c>
      <c r="F50" s="6">
        <v>8.13127547566152E-4</v>
      </c>
      <c r="G50" s="6" t="s">
        <v>233</v>
      </c>
      <c r="H50" s="6" t="s">
        <v>234</v>
      </c>
      <c r="I50" s="6" t="s">
        <v>254</v>
      </c>
      <c r="J50" s="6" t="s">
        <v>2753</v>
      </c>
      <c r="K50" s="6" t="s">
        <v>2751</v>
      </c>
    </row>
    <row r="51" spans="1:11" x14ac:dyDescent="0.25">
      <c r="A51" s="5" t="s">
        <v>2457</v>
      </c>
      <c r="B51" s="6"/>
      <c r="C51" s="6">
        <v>3</v>
      </c>
      <c r="D51" s="6" t="s">
        <v>237</v>
      </c>
      <c r="E51" s="6" t="s">
        <v>3314</v>
      </c>
      <c r="F51" s="6">
        <v>8.13127547566152E-4</v>
      </c>
      <c r="G51" s="6" t="s">
        <v>233</v>
      </c>
      <c r="H51" s="6" t="s">
        <v>234</v>
      </c>
      <c r="I51" s="6" t="s">
        <v>254</v>
      </c>
      <c r="J51" s="6" t="s">
        <v>2202</v>
      </c>
      <c r="K51" s="6" t="s">
        <v>3315</v>
      </c>
    </row>
    <row r="52" spans="1:11" x14ac:dyDescent="0.25">
      <c r="A52" s="5" t="s">
        <v>2767</v>
      </c>
      <c r="B52" s="6"/>
      <c r="C52" s="6">
        <v>3</v>
      </c>
      <c r="D52" s="6" t="s">
        <v>237</v>
      </c>
      <c r="E52" s="6" t="s">
        <v>3316</v>
      </c>
      <c r="F52" s="6">
        <v>8.13127547566152E-4</v>
      </c>
      <c r="G52" s="6" t="s">
        <v>233</v>
      </c>
      <c r="H52" s="6" t="s">
        <v>234</v>
      </c>
      <c r="I52" s="6" t="s">
        <v>254</v>
      </c>
      <c r="J52" s="6" t="s">
        <v>2768</v>
      </c>
      <c r="K52" s="6" t="s">
        <v>2766</v>
      </c>
    </row>
    <row r="53" spans="1:11" x14ac:dyDescent="0.25">
      <c r="A53" s="5" t="s">
        <v>2860</v>
      </c>
      <c r="B53" s="6"/>
      <c r="C53" s="6">
        <v>3</v>
      </c>
      <c r="D53" s="6" t="s">
        <v>237</v>
      </c>
      <c r="E53" s="6" t="s">
        <v>3317</v>
      </c>
      <c r="F53" s="6">
        <v>8.13127547566152E-4</v>
      </c>
      <c r="G53" s="6" t="s">
        <v>233</v>
      </c>
      <c r="H53" s="6" t="s">
        <v>234</v>
      </c>
      <c r="I53" s="6" t="s">
        <v>254</v>
      </c>
      <c r="J53" s="6" t="s">
        <v>2861</v>
      </c>
      <c r="K53" s="6" t="s">
        <v>2859</v>
      </c>
    </row>
    <row r="54" spans="1:11" x14ac:dyDescent="0.25">
      <c r="A54" s="5" t="s">
        <v>2156</v>
      </c>
      <c r="B54" s="6"/>
      <c r="C54" s="6">
        <v>3</v>
      </c>
      <c r="D54" s="6" t="s">
        <v>237</v>
      </c>
      <c r="E54" s="6" t="s">
        <v>3318</v>
      </c>
      <c r="F54" s="6">
        <v>8.41369530057991E-4</v>
      </c>
      <c r="G54" s="6" t="s">
        <v>233</v>
      </c>
      <c r="H54" s="6" t="s">
        <v>234</v>
      </c>
      <c r="I54" s="6" t="s">
        <v>260</v>
      </c>
      <c r="J54" s="6" t="s">
        <v>2157</v>
      </c>
      <c r="K54" s="6" t="s">
        <v>3319</v>
      </c>
    </row>
    <row r="55" spans="1:11" x14ac:dyDescent="0.25">
      <c r="A55" s="5" t="s">
        <v>2436</v>
      </c>
      <c r="B55" s="6"/>
      <c r="C55" s="6">
        <v>3</v>
      </c>
      <c r="D55" s="6" t="s">
        <v>237</v>
      </c>
      <c r="E55" s="6" t="s">
        <v>3320</v>
      </c>
      <c r="F55" s="6">
        <v>8.41369530057991E-4</v>
      </c>
      <c r="G55" s="6" t="s">
        <v>233</v>
      </c>
      <c r="H55" s="6" t="s">
        <v>234</v>
      </c>
      <c r="I55" s="6" t="s">
        <v>260</v>
      </c>
      <c r="J55" s="6" t="s">
        <v>2181</v>
      </c>
      <c r="K55" s="6" t="s">
        <v>3321</v>
      </c>
    </row>
    <row r="56" spans="1:11" x14ac:dyDescent="0.25">
      <c r="A56" s="5" t="s">
        <v>1491</v>
      </c>
      <c r="B56" s="6"/>
      <c r="C56" s="6">
        <v>3</v>
      </c>
      <c r="D56" s="6" t="s">
        <v>237</v>
      </c>
      <c r="E56" s="6" t="s">
        <v>3322</v>
      </c>
      <c r="F56" s="6">
        <v>3.0449377823614201E-4</v>
      </c>
      <c r="G56" s="6" t="s">
        <v>233</v>
      </c>
      <c r="H56" s="6" t="s">
        <v>234</v>
      </c>
      <c r="I56" s="6" t="s">
        <v>263</v>
      </c>
      <c r="J56" s="6" t="s">
        <v>1492</v>
      </c>
      <c r="K56" s="6" t="s">
        <v>1490</v>
      </c>
    </row>
    <row r="57" spans="1:11" x14ac:dyDescent="0.25">
      <c r="A57" s="5" t="s">
        <v>432</v>
      </c>
      <c r="B57" s="6"/>
      <c r="C57" s="6">
        <v>3</v>
      </c>
      <c r="D57" s="6" t="s">
        <v>237</v>
      </c>
      <c r="E57" s="6" t="s">
        <v>3323</v>
      </c>
      <c r="F57" s="6">
        <v>3.0449377823614201E-4</v>
      </c>
      <c r="G57" s="6" t="s">
        <v>233</v>
      </c>
      <c r="H57" s="6" t="s">
        <v>234</v>
      </c>
      <c r="I57" s="6" t="s">
        <v>263</v>
      </c>
      <c r="J57" s="6" t="s">
        <v>1511</v>
      </c>
      <c r="K57" s="6" t="s">
        <v>3324</v>
      </c>
    </row>
    <row r="58" spans="1:11" x14ac:dyDescent="0.25">
      <c r="A58" s="5" t="s">
        <v>1567</v>
      </c>
      <c r="B58" s="6"/>
      <c r="C58" s="6">
        <v>3</v>
      </c>
      <c r="D58" s="6" t="s">
        <v>237</v>
      </c>
      <c r="E58" s="6" t="s">
        <v>3325</v>
      </c>
      <c r="F58" s="6">
        <v>3.0449377823614201E-4</v>
      </c>
      <c r="G58" s="6" t="s">
        <v>233</v>
      </c>
      <c r="H58" s="6" t="s">
        <v>234</v>
      </c>
      <c r="I58" s="6" t="s">
        <v>263</v>
      </c>
      <c r="J58" s="6" t="s">
        <v>1568</v>
      </c>
      <c r="K58" s="6" t="s">
        <v>1566</v>
      </c>
    </row>
    <row r="59" spans="1:11" x14ac:dyDescent="0.25">
      <c r="A59" s="5" t="s">
        <v>1647</v>
      </c>
      <c r="B59" s="6"/>
      <c r="C59" s="6">
        <v>3</v>
      </c>
      <c r="D59" s="6" t="s">
        <v>237</v>
      </c>
      <c r="E59" s="6" t="s">
        <v>3326</v>
      </c>
      <c r="F59" s="6">
        <v>3.0449377823614201E-4</v>
      </c>
      <c r="G59" s="6" t="s">
        <v>233</v>
      </c>
      <c r="H59" s="6" t="s">
        <v>234</v>
      </c>
      <c r="I59" s="6" t="s">
        <v>263</v>
      </c>
      <c r="J59" s="6" t="s">
        <v>1648</v>
      </c>
      <c r="K59" s="6" t="s">
        <v>1646</v>
      </c>
    </row>
    <row r="60" spans="1:11" x14ac:dyDescent="0.25">
      <c r="A60" s="5" t="s">
        <v>1693</v>
      </c>
      <c r="B60" s="6"/>
      <c r="C60" s="6">
        <v>3</v>
      </c>
      <c r="D60" s="6" t="s">
        <v>237</v>
      </c>
      <c r="E60" s="6" t="s">
        <v>3327</v>
      </c>
      <c r="F60" s="6">
        <v>3.0449377823614201E-4</v>
      </c>
      <c r="G60" s="6" t="s">
        <v>233</v>
      </c>
      <c r="H60" s="6" t="s">
        <v>234</v>
      </c>
      <c r="I60" s="6" t="s">
        <v>263</v>
      </c>
      <c r="J60" s="6" t="s">
        <v>1694</v>
      </c>
      <c r="K60" s="6" t="s">
        <v>1692</v>
      </c>
    </row>
    <row r="61" spans="1:11" x14ac:dyDescent="0.25">
      <c r="A61" s="5" t="s">
        <v>1839</v>
      </c>
      <c r="B61" s="6"/>
      <c r="C61" s="6">
        <v>3</v>
      </c>
      <c r="D61" s="6" t="s">
        <v>237</v>
      </c>
      <c r="E61" s="6" t="s">
        <v>3328</v>
      </c>
      <c r="F61" s="6">
        <v>3.0449377823614201E-4</v>
      </c>
      <c r="G61" s="6" t="s">
        <v>233</v>
      </c>
      <c r="H61" s="6" t="s">
        <v>234</v>
      </c>
      <c r="I61" s="6" t="s">
        <v>263</v>
      </c>
      <c r="J61" s="6" t="s">
        <v>1840</v>
      </c>
      <c r="K61" s="6" t="s">
        <v>1838</v>
      </c>
    </row>
    <row r="62" spans="1:11" x14ac:dyDescent="0.25">
      <c r="A62" s="5" t="s">
        <v>1885</v>
      </c>
      <c r="B62" s="6"/>
      <c r="C62" s="6">
        <v>3</v>
      </c>
      <c r="D62" s="6" t="s">
        <v>237</v>
      </c>
      <c r="E62" s="6" t="s">
        <v>3329</v>
      </c>
      <c r="F62" s="6">
        <v>3.0449377823614201E-4</v>
      </c>
      <c r="G62" s="6" t="s">
        <v>233</v>
      </c>
      <c r="H62" s="6" t="s">
        <v>234</v>
      </c>
      <c r="I62" s="6" t="s">
        <v>263</v>
      </c>
      <c r="J62" s="6" t="s">
        <v>1886</v>
      </c>
      <c r="K62" s="6" t="s">
        <v>1884</v>
      </c>
    </row>
    <row r="63" spans="1:11" x14ac:dyDescent="0.25">
      <c r="A63" s="5" t="s">
        <v>1916</v>
      </c>
      <c r="B63" s="6"/>
      <c r="C63" s="6">
        <v>3</v>
      </c>
      <c r="D63" s="6" t="s">
        <v>237</v>
      </c>
      <c r="E63" s="6" t="s">
        <v>3330</v>
      </c>
      <c r="F63" s="6">
        <v>3.0449377823614201E-4</v>
      </c>
      <c r="G63" s="6" t="s">
        <v>233</v>
      </c>
      <c r="H63" s="6" t="s">
        <v>234</v>
      </c>
      <c r="I63" s="6" t="s">
        <v>263</v>
      </c>
      <c r="J63" s="6" t="s">
        <v>1917</v>
      </c>
      <c r="K63" s="6" t="s">
        <v>3331</v>
      </c>
    </row>
    <row r="64" spans="1:11" x14ac:dyDescent="0.25">
      <c r="A64" s="5" t="s">
        <v>2050</v>
      </c>
      <c r="B64" s="6"/>
      <c r="C64" s="6">
        <v>3</v>
      </c>
      <c r="D64" s="6" t="s">
        <v>237</v>
      </c>
      <c r="E64" s="6" t="s">
        <v>3332</v>
      </c>
      <c r="F64" s="6">
        <v>3.0449377823614201E-4</v>
      </c>
      <c r="G64" s="6" t="s">
        <v>233</v>
      </c>
      <c r="H64" s="6" t="s">
        <v>234</v>
      </c>
      <c r="I64" s="6" t="s">
        <v>263</v>
      </c>
      <c r="J64" s="6" t="s">
        <v>1711</v>
      </c>
      <c r="K64" s="6" t="s">
        <v>2049</v>
      </c>
    </row>
    <row r="65" spans="1:11" x14ac:dyDescent="0.25">
      <c r="A65" s="5" t="s">
        <v>450</v>
      </c>
      <c r="B65" s="6"/>
      <c r="C65" s="6">
        <v>3</v>
      </c>
      <c r="D65" s="6" t="s">
        <v>237</v>
      </c>
      <c r="E65" s="6" t="s">
        <v>3333</v>
      </c>
      <c r="F65" s="6">
        <v>3.0449377823614201E-4</v>
      </c>
      <c r="G65" s="6" t="s">
        <v>233</v>
      </c>
      <c r="H65" s="6" t="s">
        <v>234</v>
      </c>
      <c r="I65" s="6" t="s">
        <v>263</v>
      </c>
      <c r="J65" s="6" t="s">
        <v>1779</v>
      </c>
      <c r="K65" s="6" t="s">
        <v>3334</v>
      </c>
    </row>
    <row r="66" spans="1:11" x14ac:dyDescent="0.25">
      <c r="A66" s="5" t="s">
        <v>2478</v>
      </c>
      <c r="B66" s="6"/>
      <c r="C66" s="6">
        <v>3</v>
      </c>
      <c r="D66" s="6" t="s">
        <v>237</v>
      </c>
      <c r="E66" s="6" t="s">
        <v>3335</v>
      </c>
      <c r="F66" s="6">
        <v>3.0449377823614201E-4</v>
      </c>
      <c r="G66" s="6" t="s">
        <v>233</v>
      </c>
      <c r="H66" s="6" t="s">
        <v>234</v>
      </c>
      <c r="I66" s="6" t="s">
        <v>263</v>
      </c>
      <c r="J66" s="6" t="s">
        <v>2479</v>
      </c>
      <c r="K66" s="6" t="s">
        <v>2477</v>
      </c>
    </row>
    <row r="67" spans="1:11" x14ac:dyDescent="0.25">
      <c r="A67" s="5" t="s">
        <v>2490</v>
      </c>
      <c r="B67" s="6"/>
      <c r="C67" s="6">
        <v>3</v>
      </c>
      <c r="D67" s="6" t="s">
        <v>237</v>
      </c>
      <c r="E67" s="6" t="s">
        <v>3336</v>
      </c>
      <c r="F67" s="6">
        <v>3.0449377823614201E-4</v>
      </c>
      <c r="G67" s="6" t="s">
        <v>233</v>
      </c>
      <c r="H67" s="6" t="s">
        <v>234</v>
      </c>
      <c r="I67" s="6" t="s">
        <v>263</v>
      </c>
      <c r="J67" s="6" t="s">
        <v>2460</v>
      </c>
      <c r="K67" s="6" t="s">
        <v>2489</v>
      </c>
    </row>
    <row r="68" spans="1:11" x14ac:dyDescent="0.25">
      <c r="A68" s="5" t="s">
        <v>3337</v>
      </c>
      <c r="B68" s="6"/>
      <c r="C68" s="6">
        <v>3</v>
      </c>
      <c r="D68" s="6" t="s">
        <v>237</v>
      </c>
      <c r="E68" s="6" t="s">
        <v>3338</v>
      </c>
      <c r="F68" s="6">
        <v>3.0449377823614201E-4</v>
      </c>
      <c r="G68" s="6" t="s">
        <v>233</v>
      </c>
      <c r="H68" s="6" t="s">
        <v>234</v>
      </c>
      <c r="I68" s="6" t="s">
        <v>263</v>
      </c>
      <c r="J68" s="6" t="s">
        <v>2108</v>
      </c>
      <c r="K68" s="6" t="s">
        <v>3339</v>
      </c>
    </row>
    <row r="69" spans="1:11" x14ac:dyDescent="0.25">
      <c r="A69" s="5" t="s">
        <v>2590</v>
      </c>
      <c r="B69" s="6"/>
      <c r="C69" s="6">
        <v>3</v>
      </c>
      <c r="D69" s="6" t="s">
        <v>237</v>
      </c>
      <c r="E69" s="6" t="s">
        <v>3340</v>
      </c>
      <c r="F69" s="6">
        <v>3.0449377823614201E-4</v>
      </c>
      <c r="G69" s="6" t="s">
        <v>233</v>
      </c>
      <c r="H69" s="6" t="s">
        <v>234</v>
      </c>
      <c r="I69" s="6" t="s">
        <v>263</v>
      </c>
      <c r="J69" s="6" t="s">
        <v>2591</v>
      </c>
      <c r="K69" s="6" t="s">
        <v>2589</v>
      </c>
    </row>
    <row r="70" spans="1:11" x14ac:dyDescent="0.25">
      <c r="A70" s="5" t="s">
        <v>2725</v>
      </c>
      <c r="B70" s="6"/>
      <c r="C70" s="6">
        <v>3</v>
      </c>
      <c r="D70" s="6" t="s">
        <v>237</v>
      </c>
      <c r="E70" s="6" t="s">
        <v>3341</v>
      </c>
      <c r="F70" s="6">
        <v>3.0449377823614201E-4</v>
      </c>
      <c r="G70" s="6" t="s">
        <v>233</v>
      </c>
      <c r="H70" s="6" t="s">
        <v>234</v>
      </c>
      <c r="I70" s="6" t="s">
        <v>263</v>
      </c>
      <c r="J70" s="6" t="s">
        <v>2726</v>
      </c>
      <c r="K70" s="6" t="s">
        <v>2724</v>
      </c>
    </row>
    <row r="71" spans="1:11" ht="45" x14ac:dyDescent="0.25">
      <c r="A71" s="5" t="s">
        <v>2854</v>
      </c>
      <c r="B71" s="6"/>
      <c r="C71" s="6">
        <v>3</v>
      </c>
      <c r="D71" s="6" t="s">
        <v>237</v>
      </c>
      <c r="E71" s="6" t="s">
        <v>3342</v>
      </c>
      <c r="F71" s="6">
        <v>3.0449377823614201E-4</v>
      </c>
      <c r="G71" s="6" t="s">
        <v>233</v>
      </c>
      <c r="H71" s="6" t="s">
        <v>234</v>
      </c>
      <c r="I71" s="6" t="s">
        <v>263</v>
      </c>
      <c r="J71" s="6" t="s">
        <v>2855</v>
      </c>
      <c r="K71" s="6" t="s">
        <v>2853</v>
      </c>
    </row>
    <row r="72" spans="1:11" x14ac:dyDescent="0.25">
      <c r="A72" s="5" t="s">
        <v>1565</v>
      </c>
      <c r="B72" s="6"/>
      <c r="C72" s="6">
        <v>3</v>
      </c>
      <c r="D72" s="6" t="s">
        <v>237</v>
      </c>
      <c r="E72" s="6" t="s">
        <v>3343</v>
      </c>
      <c r="F72" s="6">
        <v>5.2359715367522E-4</v>
      </c>
      <c r="G72" s="6" t="s">
        <v>233</v>
      </c>
      <c r="H72" s="6" t="s">
        <v>234</v>
      </c>
      <c r="I72" s="6" t="s">
        <v>269</v>
      </c>
      <c r="J72" s="6" t="s">
        <v>1542</v>
      </c>
      <c r="K72" s="6" t="s">
        <v>1564</v>
      </c>
    </row>
    <row r="73" spans="1:11" x14ac:dyDescent="0.25">
      <c r="A73" s="5" t="s">
        <v>371</v>
      </c>
      <c r="B73" s="6"/>
      <c r="C73" s="6">
        <v>3</v>
      </c>
      <c r="D73" s="6" t="s">
        <v>237</v>
      </c>
      <c r="E73" s="6" t="s">
        <v>3344</v>
      </c>
      <c r="F73" s="6">
        <v>5.2359715367522E-4</v>
      </c>
      <c r="G73" s="6" t="s">
        <v>233</v>
      </c>
      <c r="H73" s="6" t="s">
        <v>234</v>
      </c>
      <c r="I73" s="6" t="s">
        <v>269</v>
      </c>
      <c r="J73" s="6" t="s">
        <v>1629</v>
      </c>
      <c r="K73" s="6" t="s">
        <v>1628</v>
      </c>
    </row>
    <row r="74" spans="1:11" x14ac:dyDescent="0.25">
      <c r="A74" s="5" t="s">
        <v>391</v>
      </c>
      <c r="B74" s="6"/>
      <c r="C74" s="6">
        <v>3</v>
      </c>
      <c r="D74" s="6" t="s">
        <v>237</v>
      </c>
      <c r="E74" s="6" t="s">
        <v>3345</v>
      </c>
      <c r="F74" s="6">
        <v>5.2359715367522E-4</v>
      </c>
      <c r="G74" s="6" t="s">
        <v>233</v>
      </c>
      <c r="H74" s="6" t="s">
        <v>234</v>
      </c>
      <c r="I74" s="6" t="s">
        <v>269</v>
      </c>
      <c r="J74" s="6" t="s">
        <v>1691</v>
      </c>
      <c r="K74" s="6" t="s">
        <v>1690</v>
      </c>
    </row>
    <row r="75" spans="1:11" x14ac:dyDescent="0.25">
      <c r="A75" s="5" t="s">
        <v>1927</v>
      </c>
      <c r="B75" s="6"/>
      <c r="C75" s="6">
        <v>3</v>
      </c>
      <c r="D75" s="6" t="s">
        <v>237</v>
      </c>
      <c r="E75" s="6" t="s">
        <v>3346</v>
      </c>
      <c r="F75" s="6">
        <v>5.2359715367522E-4</v>
      </c>
      <c r="G75" s="6" t="s">
        <v>233</v>
      </c>
      <c r="H75" s="6" t="s">
        <v>234</v>
      </c>
      <c r="I75" s="6" t="s">
        <v>269</v>
      </c>
      <c r="J75" s="6" t="s">
        <v>1928</v>
      </c>
      <c r="K75" s="6" t="s">
        <v>1926</v>
      </c>
    </row>
    <row r="76" spans="1:11" x14ac:dyDescent="0.25">
      <c r="A76" s="5" t="s">
        <v>1948</v>
      </c>
      <c r="B76" s="6"/>
      <c r="C76" s="6">
        <v>3</v>
      </c>
      <c r="D76" s="6" t="s">
        <v>237</v>
      </c>
      <c r="E76" s="6" t="s">
        <v>3347</v>
      </c>
      <c r="F76" s="6">
        <v>5.2359715367522E-4</v>
      </c>
      <c r="G76" s="6" t="s">
        <v>233</v>
      </c>
      <c r="H76" s="6" t="s">
        <v>234</v>
      </c>
      <c r="I76" s="6" t="s">
        <v>269</v>
      </c>
      <c r="J76" s="6" t="s">
        <v>1949</v>
      </c>
      <c r="K76" s="6" t="s">
        <v>1947</v>
      </c>
    </row>
    <row r="77" spans="1:11" x14ac:dyDescent="0.25">
      <c r="A77" s="5" t="s">
        <v>1970</v>
      </c>
      <c r="B77" s="6"/>
      <c r="C77" s="6">
        <v>3</v>
      </c>
      <c r="D77" s="6" t="s">
        <v>237</v>
      </c>
      <c r="E77" s="6" t="s">
        <v>3348</v>
      </c>
      <c r="F77" s="6">
        <v>5.2359715367522E-4</v>
      </c>
      <c r="G77" s="6" t="s">
        <v>233</v>
      </c>
      <c r="H77" s="6" t="s">
        <v>234</v>
      </c>
      <c r="I77" s="6" t="s">
        <v>269</v>
      </c>
      <c r="J77" s="6" t="s">
        <v>1971</v>
      </c>
      <c r="K77" s="6" t="s">
        <v>3349</v>
      </c>
    </row>
    <row r="78" spans="1:11" x14ac:dyDescent="0.25">
      <c r="A78" s="5" t="s">
        <v>2314</v>
      </c>
      <c r="B78" s="6"/>
      <c r="C78" s="6">
        <v>3</v>
      </c>
      <c r="D78" s="6" t="s">
        <v>237</v>
      </c>
      <c r="E78" s="6" t="s">
        <v>3350</v>
      </c>
      <c r="F78" s="6">
        <v>5.2359715367522E-4</v>
      </c>
      <c r="G78" s="6" t="s">
        <v>233</v>
      </c>
      <c r="H78" s="6" t="s">
        <v>234</v>
      </c>
      <c r="I78" s="6" t="s">
        <v>269</v>
      </c>
      <c r="J78" s="6" t="s">
        <v>2315</v>
      </c>
      <c r="K78" s="6" t="s">
        <v>2313</v>
      </c>
    </row>
    <row r="79" spans="1:11" x14ac:dyDescent="0.25">
      <c r="A79" s="5" t="s">
        <v>2380</v>
      </c>
      <c r="B79" s="6"/>
      <c r="C79" s="6">
        <v>3</v>
      </c>
      <c r="D79" s="6" t="s">
        <v>237</v>
      </c>
      <c r="E79" s="6" t="s">
        <v>3351</v>
      </c>
      <c r="F79" s="6">
        <v>5.2359715367522E-4</v>
      </c>
      <c r="G79" s="6" t="s">
        <v>233</v>
      </c>
      <c r="H79" s="6" t="s">
        <v>234</v>
      </c>
      <c r="I79" s="6" t="s">
        <v>269</v>
      </c>
      <c r="J79" s="6" t="s">
        <v>2381</v>
      </c>
      <c r="K79" s="6" t="s">
        <v>2379</v>
      </c>
    </row>
    <row r="80" spans="1:11" x14ac:dyDescent="0.25">
      <c r="A80" s="5" t="s">
        <v>2369</v>
      </c>
      <c r="B80" s="6"/>
      <c r="C80" s="6">
        <v>3</v>
      </c>
      <c r="D80" s="6" t="s">
        <v>237</v>
      </c>
      <c r="E80" s="6" t="s">
        <v>3352</v>
      </c>
      <c r="F80" s="6">
        <v>5.2359715367522E-4</v>
      </c>
      <c r="G80" s="6" t="s">
        <v>233</v>
      </c>
      <c r="H80" s="6" t="s">
        <v>234</v>
      </c>
      <c r="I80" s="6" t="s">
        <v>269</v>
      </c>
      <c r="J80" s="6" t="s">
        <v>2370</v>
      </c>
      <c r="K80" s="6" t="s">
        <v>3353</v>
      </c>
    </row>
    <row r="81" spans="1:11" x14ac:dyDescent="0.25">
      <c r="A81" s="5" t="s">
        <v>2425</v>
      </c>
      <c r="B81" s="6"/>
      <c r="C81" s="6">
        <v>3</v>
      </c>
      <c r="D81" s="6" t="s">
        <v>237</v>
      </c>
      <c r="E81" s="6" t="s">
        <v>3354</v>
      </c>
      <c r="F81" s="6">
        <v>5.2359715367522E-4</v>
      </c>
      <c r="G81" s="6" t="s">
        <v>233</v>
      </c>
      <c r="H81" s="6" t="s">
        <v>234</v>
      </c>
      <c r="I81" s="6" t="s">
        <v>269</v>
      </c>
      <c r="J81" s="6" t="s">
        <v>2426</v>
      </c>
      <c r="K81" s="6" t="s">
        <v>2424</v>
      </c>
    </row>
    <row r="82" spans="1:11" x14ac:dyDescent="0.25">
      <c r="A82" s="5" t="s">
        <v>2434</v>
      </c>
      <c r="B82" s="6"/>
      <c r="C82" s="6">
        <v>3</v>
      </c>
      <c r="D82" s="6" t="s">
        <v>237</v>
      </c>
      <c r="E82" s="6" t="s">
        <v>3355</v>
      </c>
      <c r="F82" s="6">
        <v>5.2359715367522E-4</v>
      </c>
      <c r="G82" s="6" t="s">
        <v>233</v>
      </c>
      <c r="H82" s="6" t="s">
        <v>234</v>
      </c>
      <c r="I82" s="6" t="s">
        <v>269</v>
      </c>
      <c r="J82" s="6" t="s">
        <v>1697</v>
      </c>
      <c r="K82" s="6" t="s">
        <v>2433</v>
      </c>
    </row>
    <row r="83" spans="1:11" x14ac:dyDescent="0.25">
      <c r="A83" s="5" t="s">
        <v>2451</v>
      </c>
      <c r="B83" s="6"/>
      <c r="C83" s="6">
        <v>3</v>
      </c>
      <c r="D83" s="6" t="s">
        <v>237</v>
      </c>
      <c r="E83" s="6" t="s">
        <v>3356</v>
      </c>
      <c r="F83" s="6">
        <v>5.2359715367522E-4</v>
      </c>
      <c r="G83" s="6" t="s">
        <v>233</v>
      </c>
      <c r="H83" s="6" t="s">
        <v>234</v>
      </c>
      <c r="I83" s="6" t="s">
        <v>269</v>
      </c>
      <c r="J83" s="6" t="s">
        <v>2452</v>
      </c>
      <c r="K83" s="6" t="s">
        <v>3357</v>
      </c>
    </row>
    <row r="84" spans="1:11" x14ac:dyDescent="0.25">
      <c r="A84" s="5" t="s">
        <v>2688</v>
      </c>
      <c r="B84" s="6"/>
      <c r="C84" s="6">
        <v>3</v>
      </c>
      <c r="D84" s="6" t="s">
        <v>237</v>
      </c>
      <c r="E84" s="6" t="s">
        <v>3358</v>
      </c>
      <c r="F84" s="6">
        <v>5.2359715367522E-4</v>
      </c>
      <c r="G84" s="6" t="s">
        <v>233</v>
      </c>
      <c r="H84" s="6" t="s">
        <v>234</v>
      </c>
      <c r="I84" s="6" t="s">
        <v>269</v>
      </c>
      <c r="J84" s="6" t="s">
        <v>2689</v>
      </c>
      <c r="K84" s="6" t="s">
        <v>2687</v>
      </c>
    </row>
    <row r="85" spans="1:11" x14ac:dyDescent="0.25">
      <c r="A85" s="5" t="s">
        <v>2708</v>
      </c>
      <c r="B85" s="6"/>
      <c r="C85" s="6">
        <v>3</v>
      </c>
      <c r="D85" s="6" t="s">
        <v>237</v>
      </c>
      <c r="E85" s="6" t="s">
        <v>3359</v>
      </c>
      <c r="F85" s="6">
        <v>5.2359715367522E-4</v>
      </c>
      <c r="G85" s="6" t="s">
        <v>233</v>
      </c>
      <c r="H85" s="6" t="s">
        <v>234</v>
      </c>
      <c r="I85" s="6" t="s">
        <v>269</v>
      </c>
      <c r="J85" s="6" t="s">
        <v>2709</v>
      </c>
      <c r="K85" s="6" t="s">
        <v>2707</v>
      </c>
    </row>
    <row r="86" spans="1:11" x14ac:dyDescent="0.25">
      <c r="A86" s="5" t="s">
        <v>2761</v>
      </c>
      <c r="B86" s="6"/>
      <c r="C86" s="6">
        <v>3</v>
      </c>
      <c r="D86" s="6" t="s">
        <v>237</v>
      </c>
      <c r="E86" s="6" t="s">
        <v>3360</v>
      </c>
      <c r="F86" s="6">
        <v>5.2359715367522E-4</v>
      </c>
      <c r="G86" s="6" t="s">
        <v>233</v>
      </c>
      <c r="H86" s="6" t="s">
        <v>234</v>
      </c>
      <c r="I86" s="6" t="s">
        <v>269</v>
      </c>
      <c r="J86" s="6" t="s">
        <v>2762</v>
      </c>
      <c r="K86" s="6" t="s">
        <v>2760</v>
      </c>
    </row>
    <row r="87" spans="1:11" x14ac:dyDescent="0.25">
      <c r="A87" s="5" t="s">
        <v>388</v>
      </c>
      <c r="B87" s="6"/>
      <c r="C87" s="6">
        <v>3</v>
      </c>
      <c r="D87" s="6" t="s">
        <v>237</v>
      </c>
      <c r="E87" s="6" t="s">
        <v>3361</v>
      </c>
      <c r="F87" s="6">
        <v>6.1714022815180698E-4</v>
      </c>
      <c r="G87" s="6" t="s">
        <v>233</v>
      </c>
      <c r="H87" s="6" t="s">
        <v>234</v>
      </c>
      <c r="I87" s="6" t="s">
        <v>272</v>
      </c>
      <c r="J87" s="6" t="s">
        <v>2403</v>
      </c>
      <c r="K87" s="6" t="s">
        <v>2402</v>
      </c>
    </row>
    <row r="88" spans="1:11" x14ac:dyDescent="0.25">
      <c r="A88" s="5" t="s">
        <v>395</v>
      </c>
      <c r="B88" s="6"/>
      <c r="C88" s="6">
        <v>3</v>
      </c>
      <c r="D88" s="6" t="s">
        <v>237</v>
      </c>
      <c r="E88" s="6" t="s">
        <v>3362</v>
      </c>
      <c r="F88" s="6">
        <v>6.2829694864387296E-4</v>
      </c>
      <c r="G88" s="6" t="s">
        <v>233</v>
      </c>
      <c r="H88" s="6" t="s">
        <v>234</v>
      </c>
      <c r="I88" s="6" t="s">
        <v>278</v>
      </c>
      <c r="J88" s="6" t="s">
        <v>2513</v>
      </c>
      <c r="K88" s="6" t="s">
        <v>3363</v>
      </c>
    </row>
    <row r="89" spans="1:11" x14ac:dyDescent="0.25">
      <c r="A89" s="5" t="s">
        <v>449</v>
      </c>
      <c r="B89" s="6"/>
      <c r="C89" s="6">
        <v>3</v>
      </c>
      <c r="D89" s="6" t="s">
        <v>237</v>
      </c>
      <c r="E89" s="6" t="s">
        <v>3364</v>
      </c>
      <c r="F89" s="6">
        <v>6.2829694864387296E-4</v>
      </c>
      <c r="G89" s="6" t="s">
        <v>233</v>
      </c>
      <c r="H89" s="6" t="s">
        <v>234</v>
      </c>
      <c r="I89" s="6" t="s">
        <v>278</v>
      </c>
      <c r="J89" s="6" t="s">
        <v>2615</v>
      </c>
      <c r="K89" s="6" t="s">
        <v>3365</v>
      </c>
    </row>
    <row r="90" spans="1:11" x14ac:dyDescent="0.25">
      <c r="A90" s="5" t="s">
        <v>1718</v>
      </c>
      <c r="B90" s="6"/>
      <c r="C90" s="6">
        <v>3</v>
      </c>
      <c r="D90" s="6" t="s">
        <v>237</v>
      </c>
      <c r="E90" s="6" t="s">
        <v>3366</v>
      </c>
      <c r="F90" s="6">
        <v>4.8170871679103399E-4</v>
      </c>
      <c r="G90" s="6" t="s">
        <v>233</v>
      </c>
      <c r="H90" s="6" t="s">
        <v>234</v>
      </c>
      <c r="I90" s="6" t="s">
        <v>293</v>
      </c>
      <c r="J90" s="6" t="s">
        <v>1719</v>
      </c>
      <c r="K90" s="6" t="s">
        <v>1717</v>
      </c>
    </row>
    <row r="91" spans="1:11" x14ac:dyDescent="0.25">
      <c r="A91" s="5" t="s">
        <v>2352</v>
      </c>
      <c r="B91" s="6"/>
      <c r="C91" s="6">
        <v>3</v>
      </c>
      <c r="D91" s="6" t="s">
        <v>237</v>
      </c>
      <c r="E91" s="6" t="s">
        <v>3367</v>
      </c>
      <c r="F91" s="6">
        <v>4.8170871679103399E-4</v>
      </c>
      <c r="G91" s="6" t="s">
        <v>233</v>
      </c>
      <c r="H91" s="6" t="s">
        <v>234</v>
      </c>
      <c r="I91" s="6" t="s">
        <v>293</v>
      </c>
      <c r="J91" s="6" t="s">
        <v>2353</v>
      </c>
      <c r="K91" s="6" t="s">
        <v>2351</v>
      </c>
    </row>
    <row r="92" spans="1:11" x14ac:dyDescent="0.25">
      <c r="A92" s="5" t="s">
        <v>1750</v>
      </c>
      <c r="B92" s="6"/>
      <c r="C92" s="6">
        <v>3</v>
      </c>
      <c r="D92" s="6" t="s">
        <v>237</v>
      </c>
      <c r="E92" s="6" t="s">
        <v>3368</v>
      </c>
      <c r="F92" s="6">
        <v>4.8170871679103399E-4</v>
      </c>
      <c r="G92" s="6" t="s">
        <v>233</v>
      </c>
      <c r="H92" s="6" t="s">
        <v>234</v>
      </c>
      <c r="I92" s="6" t="s">
        <v>293</v>
      </c>
      <c r="J92" s="6" t="s">
        <v>1751</v>
      </c>
      <c r="K92" s="6" t="s">
        <v>3369</v>
      </c>
    </row>
    <row r="93" spans="1:11" x14ac:dyDescent="0.25">
      <c r="A93" s="5" t="s">
        <v>418</v>
      </c>
      <c r="B93" s="6"/>
      <c r="C93" s="6">
        <v>3</v>
      </c>
      <c r="D93" s="6" t="s">
        <v>237</v>
      </c>
      <c r="E93" s="6" t="s">
        <v>3370</v>
      </c>
      <c r="F93" s="6">
        <v>4.8170871679103399E-4</v>
      </c>
      <c r="G93" s="6" t="s">
        <v>233</v>
      </c>
      <c r="H93" s="6" t="s">
        <v>234</v>
      </c>
      <c r="I93" s="6" t="s">
        <v>293</v>
      </c>
      <c r="J93" s="6" t="s">
        <v>2566</v>
      </c>
      <c r="K93" s="6" t="s">
        <v>3371</v>
      </c>
    </row>
    <row r="94" spans="1:11" x14ac:dyDescent="0.25">
      <c r="A94" s="5" t="s">
        <v>2784</v>
      </c>
      <c r="B94" s="6"/>
      <c r="C94" s="6">
        <v>3</v>
      </c>
      <c r="D94" s="6" t="s">
        <v>237</v>
      </c>
      <c r="E94" s="6" t="s">
        <v>3372</v>
      </c>
      <c r="F94" s="6">
        <v>4.8170871679103399E-4</v>
      </c>
      <c r="G94" s="6" t="s">
        <v>233</v>
      </c>
      <c r="H94" s="6" t="s">
        <v>234</v>
      </c>
      <c r="I94" s="6" t="s">
        <v>293</v>
      </c>
      <c r="J94" s="6" t="s">
        <v>2785</v>
      </c>
      <c r="K94" s="6" t="s">
        <v>2783</v>
      </c>
    </row>
    <row r="95" spans="1:11" x14ac:dyDescent="0.25">
      <c r="A95" s="5" t="s">
        <v>1897</v>
      </c>
      <c r="B95" s="6"/>
      <c r="C95" s="6">
        <v>3</v>
      </c>
      <c r="D95" s="6" t="s">
        <v>237</v>
      </c>
      <c r="E95" s="6" t="s">
        <v>3373</v>
      </c>
      <c r="F95" s="6">
        <v>4.5577006560259598E-4</v>
      </c>
      <c r="G95" s="6" t="s">
        <v>233</v>
      </c>
      <c r="H95" s="6" t="s">
        <v>234</v>
      </c>
      <c r="I95" s="6" t="s">
        <v>311</v>
      </c>
      <c r="J95" s="6" t="s">
        <v>1898</v>
      </c>
      <c r="K95" s="6" t="s">
        <v>1896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B6D8-101B-4FF4-A6AA-39BB4C4522FB}">
  <dimension ref="A1:I50"/>
  <sheetViews>
    <sheetView workbookViewId="0">
      <selection activeCell="A2" sqref="A2:I19"/>
    </sheetView>
  </sheetViews>
  <sheetFormatPr defaultRowHeight="15" x14ac:dyDescent="0.25"/>
  <cols>
    <col min="1" max="1" width="98.140625" customWidth="1"/>
    <col min="2" max="2" width="64" hidden="1" customWidth="1"/>
    <col min="3" max="3" width="0" hidden="1" customWidth="1"/>
    <col min="4" max="4" width="51.140625" customWidth="1"/>
    <col min="8" max="8" width="26.42578125" customWidth="1"/>
    <col min="9" max="9" width="92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466</v>
      </c>
      <c r="B2" s="6" t="s">
        <v>2873</v>
      </c>
      <c r="C2" s="6">
        <v>3</v>
      </c>
      <c r="D2" s="6" t="s">
        <v>2874</v>
      </c>
      <c r="E2" s="6" t="s">
        <v>465</v>
      </c>
      <c r="F2" s="8">
        <v>2.21282957707349E-4</v>
      </c>
      <c r="G2" s="6" t="s">
        <v>233</v>
      </c>
      <c r="H2" s="6" t="s">
        <v>234</v>
      </c>
      <c r="I2" s="6" t="s">
        <v>466</v>
      </c>
    </row>
    <row r="3" spans="1:9" x14ac:dyDescent="0.25">
      <c r="A3" s="6" t="s">
        <v>730</v>
      </c>
      <c r="B3" s="6" t="s">
        <v>2875</v>
      </c>
      <c r="C3" s="6">
        <v>3</v>
      </c>
      <c r="D3" s="6" t="s">
        <v>2874</v>
      </c>
      <c r="E3" s="6" t="s">
        <v>729</v>
      </c>
      <c r="F3" s="8">
        <v>1.8648145099132201E-4</v>
      </c>
      <c r="G3" s="6" t="s">
        <v>233</v>
      </c>
      <c r="H3" s="6" t="s">
        <v>234</v>
      </c>
      <c r="I3" s="6" t="s">
        <v>730</v>
      </c>
    </row>
    <row r="4" spans="1:9" x14ac:dyDescent="0.25">
      <c r="A4" s="6" t="s">
        <v>229</v>
      </c>
      <c r="B4" s="6" t="s">
        <v>2876</v>
      </c>
      <c r="C4" s="6">
        <v>3</v>
      </c>
      <c r="D4" s="6" t="s">
        <v>2874</v>
      </c>
      <c r="E4" s="6" t="s">
        <v>2877</v>
      </c>
      <c r="F4" s="8">
        <v>8.8069967229029495E-5</v>
      </c>
      <c r="G4" s="6" t="s">
        <v>233</v>
      </c>
      <c r="H4" s="6" t="s">
        <v>234</v>
      </c>
      <c r="I4" s="6" t="s">
        <v>229</v>
      </c>
    </row>
    <row r="5" spans="1:9" x14ac:dyDescent="0.25">
      <c r="A5" s="6" t="s">
        <v>733</v>
      </c>
      <c r="B5" s="6" t="s">
        <v>2878</v>
      </c>
      <c r="C5" s="6">
        <v>3</v>
      </c>
      <c r="D5" s="6" t="s">
        <v>2874</v>
      </c>
      <c r="E5" s="6" t="s">
        <v>732</v>
      </c>
      <c r="F5" s="8">
        <v>1.9325655555867699E-4</v>
      </c>
      <c r="G5" s="6" t="s">
        <v>233</v>
      </c>
      <c r="H5" s="6" t="s">
        <v>234</v>
      </c>
      <c r="I5" s="6" t="s">
        <v>733</v>
      </c>
    </row>
    <row r="6" spans="1:9" x14ac:dyDescent="0.25">
      <c r="A6" s="6" t="s">
        <v>727</v>
      </c>
      <c r="B6" s="6" t="s">
        <v>2879</v>
      </c>
      <c r="C6" s="6">
        <v>3</v>
      </c>
      <c r="D6" s="6" t="s">
        <v>2874</v>
      </c>
      <c r="E6" s="6" t="s">
        <v>726</v>
      </c>
      <c r="F6" s="8">
        <v>1.34940113602058E-4</v>
      </c>
      <c r="G6" s="6" t="s">
        <v>233</v>
      </c>
      <c r="H6" s="6" t="s">
        <v>234</v>
      </c>
      <c r="I6" s="6" t="s">
        <v>727</v>
      </c>
    </row>
    <row r="7" spans="1:9" x14ac:dyDescent="0.25">
      <c r="A7" s="6" t="s">
        <v>347</v>
      </c>
      <c r="B7" s="6" t="s">
        <v>2880</v>
      </c>
      <c r="C7" s="6">
        <v>3</v>
      </c>
      <c r="D7" s="6" t="s">
        <v>2874</v>
      </c>
      <c r="E7" s="6" t="s">
        <v>346</v>
      </c>
      <c r="F7" s="8">
        <v>2.1065654610590999E-4</v>
      </c>
      <c r="G7" s="6" t="s">
        <v>233</v>
      </c>
      <c r="H7" s="6" t="s">
        <v>234</v>
      </c>
      <c r="I7" s="6" t="s">
        <v>347</v>
      </c>
    </row>
    <row r="8" spans="1:9" x14ac:dyDescent="0.25">
      <c r="A8" s="6" t="s">
        <v>414</v>
      </c>
      <c r="B8" s="6" t="s">
        <v>2881</v>
      </c>
      <c r="C8" s="6">
        <v>3</v>
      </c>
      <c r="D8" s="6" t="s">
        <v>2874</v>
      </c>
      <c r="E8" s="6" t="s">
        <v>413</v>
      </c>
      <c r="F8" s="8">
        <v>3.1322198387294099E-4</v>
      </c>
      <c r="G8" s="6" t="s">
        <v>233</v>
      </c>
      <c r="H8" s="6" t="s">
        <v>234</v>
      </c>
      <c r="I8" s="6" t="s">
        <v>414</v>
      </c>
    </row>
    <row r="9" spans="1:9" x14ac:dyDescent="0.25">
      <c r="A9" s="6" t="s">
        <v>722</v>
      </c>
      <c r="B9" s="6" t="s">
        <v>2882</v>
      </c>
      <c r="C9" s="6">
        <v>3</v>
      </c>
      <c r="D9" s="6" t="s">
        <v>2874</v>
      </c>
      <c r="E9" s="6" t="s">
        <v>721</v>
      </c>
      <c r="F9" s="8">
        <v>1.2499284038234801E-4</v>
      </c>
      <c r="G9" s="6" t="s">
        <v>233</v>
      </c>
      <c r="H9" s="6" t="s">
        <v>234</v>
      </c>
      <c r="I9" s="6" t="s">
        <v>722</v>
      </c>
    </row>
    <row r="10" spans="1:9" x14ac:dyDescent="0.25">
      <c r="A10" s="6" t="s">
        <v>2883</v>
      </c>
      <c r="B10" s="6" t="s">
        <v>2884</v>
      </c>
      <c r="C10" s="6">
        <v>3</v>
      </c>
      <c r="D10" s="6" t="s">
        <v>2874</v>
      </c>
      <c r="E10" s="6" t="s">
        <v>2885</v>
      </c>
      <c r="F10" s="8">
        <v>2.4586503917891001E-4</v>
      </c>
      <c r="G10" s="6" t="s">
        <v>233</v>
      </c>
      <c r="H10" s="6" t="s">
        <v>234</v>
      </c>
      <c r="I10" s="6" t="s">
        <v>2883</v>
      </c>
    </row>
    <row r="11" spans="1:9" x14ac:dyDescent="0.25">
      <c r="A11" s="6" t="s">
        <v>738</v>
      </c>
      <c r="B11" s="6" t="s">
        <v>2886</v>
      </c>
      <c r="C11" s="6">
        <v>3</v>
      </c>
      <c r="D11" s="6" t="s">
        <v>2874</v>
      </c>
      <c r="E11" s="6" t="s">
        <v>737</v>
      </c>
      <c r="F11" s="8">
        <v>1.8130628760180999E-4</v>
      </c>
      <c r="G11" s="6" t="s">
        <v>233</v>
      </c>
      <c r="H11" s="6" t="s">
        <v>234</v>
      </c>
      <c r="I11" s="6" t="s">
        <v>738</v>
      </c>
    </row>
    <row r="12" spans="1:9" x14ac:dyDescent="0.25">
      <c r="A12" s="6" t="s">
        <v>747</v>
      </c>
      <c r="B12" s="6" t="s">
        <v>2887</v>
      </c>
      <c r="C12" s="6">
        <v>3</v>
      </c>
      <c r="D12" s="6" t="s">
        <v>2874</v>
      </c>
      <c r="E12" s="6" t="s">
        <v>746</v>
      </c>
      <c r="F12" s="8">
        <v>2.4671812491351399E-4</v>
      </c>
      <c r="G12" s="6" t="s">
        <v>233</v>
      </c>
      <c r="H12" s="6" t="s">
        <v>234</v>
      </c>
      <c r="I12" s="6" t="s">
        <v>747</v>
      </c>
    </row>
    <row r="13" spans="1:9" x14ac:dyDescent="0.25">
      <c r="A13" s="6" t="s">
        <v>408</v>
      </c>
      <c r="B13" s="6" t="s">
        <v>2888</v>
      </c>
      <c r="C13" s="6">
        <v>3</v>
      </c>
      <c r="D13" s="6" t="s">
        <v>2874</v>
      </c>
      <c r="E13" s="6" t="s">
        <v>407</v>
      </c>
      <c r="F13" s="8">
        <v>1.67136339459407E-4</v>
      </c>
      <c r="G13" s="6" t="s">
        <v>233</v>
      </c>
      <c r="H13" s="6" t="s">
        <v>234</v>
      </c>
      <c r="I13" s="6" t="s">
        <v>408</v>
      </c>
    </row>
    <row r="14" spans="1:9" x14ac:dyDescent="0.25">
      <c r="A14" s="6" t="s">
        <v>354</v>
      </c>
      <c r="B14" s="6" t="s">
        <v>2889</v>
      </c>
      <c r="C14" s="6">
        <v>3</v>
      </c>
      <c r="D14" s="6" t="s">
        <v>2874</v>
      </c>
      <c r="E14" s="6" t="s">
        <v>353</v>
      </c>
      <c r="F14" s="8">
        <v>2.7875205344188899E-4</v>
      </c>
      <c r="G14" s="6" t="s">
        <v>233</v>
      </c>
      <c r="H14" s="6" t="s">
        <v>234</v>
      </c>
      <c r="I14" s="6" t="s">
        <v>354</v>
      </c>
    </row>
    <row r="15" spans="1:9" x14ac:dyDescent="0.25">
      <c r="A15" s="6" t="s">
        <v>1331</v>
      </c>
      <c r="B15" s="6" t="s">
        <v>2890</v>
      </c>
      <c r="C15" s="6">
        <v>3</v>
      </c>
      <c r="D15" s="6" t="s">
        <v>2874</v>
      </c>
      <c r="E15" s="6" t="s">
        <v>1330</v>
      </c>
      <c r="F15" s="8">
        <v>2.4606472991321802E-4</v>
      </c>
      <c r="G15" s="6" t="s">
        <v>233</v>
      </c>
      <c r="H15" s="6" t="s">
        <v>234</v>
      </c>
      <c r="I15" s="6" t="s">
        <v>1331</v>
      </c>
    </row>
    <row r="16" spans="1:9" x14ac:dyDescent="0.25">
      <c r="A16" s="6" t="s">
        <v>1309</v>
      </c>
      <c r="B16" s="6" t="s">
        <v>2891</v>
      </c>
      <c r="C16" s="6">
        <v>3</v>
      </c>
      <c r="D16" s="6" t="s">
        <v>2874</v>
      </c>
      <c r="E16" s="6" t="s">
        <v>1308</v>
      </c>
      <c r="F16" s="8">
        <v>2.0042607011665499E-4</v>
      </c>
      <c r="G16" s="6" t="s">
        <v>233</v>
      </c>
      <c r="H16" s="6" t="s">
        <v>234</v>
      </c>
      <c r="I16" s="6" t="s">
        <v>1309</v>
      </c>
    </row>
    <row r="17" spans="1:9" x14ac:dyDescent="0.25">
      <c r="A17" s="6" t="s">
        <v>2892</v>
      </c>
      <c r="B17" s="6" t="s">
        <v>2893</v>
      </c>
      <c r="C17" s="6">
        <v>3</v>
      </c>
      <c r="D17" s="6" t="s">
        <v>2874</v>
      </c>
      <c r="E17" s="6" t="s">
        <v>2894</v>
      </c>
      <c r="F17" s="8">
        <v>2.5805820404696501E-4</v>
      </c>
      <c r="G17" s="6" t="s">
        <v>233</v>
      </c>
      <c r="H17" s="6" t="s">
        <v>234</v>
      </c>
      <c r="I17" s="6" t="s">
        <v>2892</v>
      </c>
    </row>
    <row r="18" spans="1:9" x14ac:dyDescent="0.25">
      <c r="A18" s="6" t="s">
        <v>744</v>
      </c>
      <c r="B18" s="6" t="s">
        <v>744</v>
      </c>
      <c r="C18" s="6">
        <v>3</v>
      </c>
      <c r="D18" s="6" t="s">
        <v>2874</v>
      </c>
      <c r="E18" s="6" t="s">
        <v>743</v>
      </c>
      <c r="F18" s="8">
        <v>3.813E-4</v>
      </c>
      <c r="G18" s="6" t="s">
        <v>233</v>
      </c>
      <c r="H18" s="6" t="s">
        <v>316</v>
      </c>
      <c r="I18" s="6" t="s">
        <v>744</v>
      </c>
    </row>
    <row r="19" spans="1:9" x14ac:dyDescent="0.25">
      <c r="A19" s="37" t="s">
        <v>3490</v>
      </c>
      <c r="B19" s="37" t="s">
        <v>3490</v>
      </c>
      <c r="C19" s="6">
        <v>3</v>
      </c>
      <c r="D19" s="37" t="s">
        <v>3616</v>
      </c>
      <c r="E19" s="6" t="s">
        <v>4774</v>
      </c>
      <c r="F19" s="36">
        <v>0.41299999999999998</v>
      </c>
      <c r="G19" s="36" t="s">
        <v>3489</v>
      </c>
      <c r="H19" s="36" t="s">
        <v>3497</v>
      </c>
      <c r="I19" s="37" t="s">
        <v>3002</v>
      </c>
    </row>
    <row r="20" spans="1:9" ht="30" x14ac:dyDescent="0.25">
      <c r="A20" s="5" t="s">
        <v>3511</v>
      </c>
      <c r="B20" s="5" t="s">
        <v>3511</v>
      </c>
      <c r="C20" s="6">
        <v>3</v>
      </c>
      <c r="D20" s="37" t="s">
        <v>3616</v>
      </c>
      <c r="E20" s="6" t="s">
        <v>4775</v>
      </c>
      <c r="F20" s="6">
        <v>5.28E-2</v>
      </c>
      <c r="G20" s="6" t="s">
        <v>3481</v>
      </c>
      <c r="H20" s="36" t="s">
        <v>3493</v>
      </c>
      <c r="I20" s="37" t="s">
        <v>3518</v>
      </c>
    </row>
    <row r="21" spans="1:9" x14ac:dyDescent="0.25">
      <c r="A21" s="5" t="s">
        <v>3521</v>
      </c>
      <c r="B21" s="6" t="s">
        <v>3522</v>
      </c>
      <c r="C21" s="6">
        <v>3</v>
      </c>
      <c r="D21" s="37" t="s">
        <v>3616</v>
      </c>
      <c r="E21" s="6" t="s">
        <v>4776</v>
      </c>
      <c r="F21" s="6">
        <v>0.31609999999999999</v>
      </c>
      <c r="G21" s="6" t="s">
        <v>3519</v>
      </c>
      <c r="H21" s="6" t="s">
        <v>3512</v>
      </c>
      <c r="I21" s="5" t="s">
        <v>3522</v>
      </c>
    </row>
    <row r="22" spans="1:9" x14ac:dyDescent="0.25">
      <c r="A22" s="5" t="s">
        <v>3511</v>
      </c>
      <c r="B22" s="6" t="s">
        <v>3523</v>
      </c>
      <c r="C22" s="6">
        <v>3</v>
      </c>
      <c r="D22" s="37" t="s">
        <v>3616</v>
      </c>
      <c r="E22" s="6" t="s">
        <v>4775</v>
      </c>
      <c r="F22" s="5">
        <v>5.28E-2</v>
      </c>
      <c r="G22" s="6" t="s">
        <v>3474</v>
      </c>
      <c r="H22" s="36" t="s">
        <v>3493</v>
      </c>
      <c r="I22" s="5" t="s">
        <v>3523</v>
      </c>
    </row>
    <row r="23" spans="1:9" x14ac:dyDescent="0.25">
      <c r="A23" s="5" t="s">
        <v>3524</v>
      </c>
      <c r="B23" s="6" t="s">
        <v>3526</v>
      </c>
      <c r="C23" s="6">
        <v>3</v>
      </c>
      <c r="D23" s="37" t="s">
        <v>3616</v>
      </c>
      <c r="E23" s="6" t="s">
        <v>4777</v>
      </c>
      <c r="F23" s="5">
        <v>0.26379999999999998</v>
      </c>
      <c r="G23" s="6" t="s">
        <v>3519</v>
      </c>
      <c r="H23" s="6" t="s">
        <v>3512</v>
      </c>
      <c r="I23" s="5" t="s">
        <v>3526</v>
      </c>
    </row>
    <row r="24" spans="1:9" x14ac:dyDescent="0.25">
      <c r="A24" s="5" t="s">
        <v>3528</v>
      </c>
      <c r="B24" s="6" t="s">
        <v>3530</v>
      </c>
      <c r="C24" s="6">
        <v>3</v>
      </c>
      <c r="D24" s="37" t="s">
        <v>3616</v>
      </c>
      <c r="E24" s="6" t="s">
        <v>4778</v>
      </c>
      <c r="F24" s="5">
        <v>0.08</v>
      </c>
      <c r="G24" s="6" t="s">
        <v>3196</v>
      </c>
      <c r="H24" s="6" t="s">
        <v>3605</v>
      </c>
      <c r="I24" s="5" t="s">
        <v>3530</v>
      </c>
    </row>
    <row r="25" spans="1:9" x14ac:dyDescent="0.25">
      <c r="A25" s="5" t="s">
        <v>3538</v>
      </c>
      <c r="B25" s="6" t="s">
        <v>3539</v>
      </c>
      <c r="C25" s="6">
        <v>3</v>
      </c>
      <c r="D25" s="37" t="s">
        <v>3616</v>
      </c>
      <c r="E25" s="6" t="s">
        <v>4779</v>
      </c>
      <c r="F25" s="5">
        <v>0.39600000000000002</v>
      </c>
      <c r="G25" s="6" t="s">
        <v>3519</v>
      </c>
      <c r="H25" s="6" t="s">
        <v>3608</v>
      </c>
      <c r="I25" s="5" t="s">
        <v>3539</v>
      </c>
    </row>
    <row r="26" spans="1:9" x14ac:dyDescent="0.25">
      <c r="A26" s="5" t="s">
        <v>3540</v>
      </c>
      <c r="B26" s="6" t="s">
        <v>3541</v>
      </c>
      <c r="C26" s="6">
        <v>3</v>
      </c>
      <c r="D26" s="37" t="s">
        <v>3616</v>
      </c>
      <c r="E26" s="6" t="s">
        <v>4773</v>
      </c>
      <c r="F26" s="5">
        <v>0.16200000000000001</v>
      </c>
      <c r="G26" s="6" t="s">
        <v>3519</v>
      </c>
      <c r="H26" s="6" t="s">
        <v>3608</v>
      </c>
      <c r="I26" s="5" t="s">
        <v>3541</v>
      </c>
    </row>
    <row r="27" spans="1:9" x14ac:dyDescent="0.25">
      <c r="A27" s="5" t="s">
        <v>3535</v>
      </c>
      <c r="B27" s="6" t="s">
        <v>3537</v>
      </c>
      <c r="C27" s="6">
        <v>3</v>
      </c>
      <c r="D27" s="37" t="s">
        <v>3616</v>
      </c>
      <c r="E27" s="6" t="s">
        <v>4780</v>
      </c>
      <c r="F27" s="5">
        <v>0.41299999999999998</v>
      </c>
      <c r="G27" s="6" t="s">
        <v>3196</v>
      </c>
      <c r="H27" s="6" t="s">
        <v>3607</v>
      </c>
      <c r="I27" s="5" t="s">
        <v>3537</v>
      </c>
    </row>
    <row r="28" spans="1:9" x14ac:dyDescent="0.25">
      <c r="A28" s="5" t="s">
        <v>3538</v>
      </c>
      <c r="B28" s="6" t="s">
        <v>3539</v>
      </c>
      <c r="C28" s="6">
        <v>3</v>
      </c>
      <c r="D28" s="37" t="s">
        <v>3616</v>
      </c>
      <c r="E28" s="6" t="s">
        <v>4781</v>
      </c>
      <c r="F28" s="5">
        <v>0.14000000000000001</v>
      </c>
      <c r="G28" s="6" t="s">
        <v>3196</v>
      </c>
      <c r="H28" s="6" t="s">
        <v>3609</v>
      </c>
      <c r="I28" s="5" t="s">
        <v>3539</v>
      </c>
    </row>
    <row r="29" spans="1:9" x14ac:dyDescent="0.25">
      <c r="A29" s="5" t="s">
        <v>3542</v>
      </c>
      <c r="B29" s="6" t="s">
        <v>3543</v>
      </c>
      <c r="C29" s="6">
        <v>3</v>
      </c>
      <c r="D29" s="37" t="s">
        <v>3616</v>
      </c>
      <c r="E29" s="6" t="s">
        <v>4782</v>
      </c>
      <c r="F29" s="5">
        <v>0.14000000000000001</v>
      </c>
      <c r="G29" s="6" t="s">
        <v>3196</v>
      </c>
      <c r="H29" s="6" t="s">
        <v>3609</v>
      </c>
      <c r="I29" s="5" t="s">
        <v>3543</v>
      </c>
    </row>
    <row r="30" spans="1:9" x14ac:dyDescent="0.25">
      <c r="A30" s="5" t="s">
        <v>1275</v>
      </c>
      <c r="B30" s="6" t="s">
        <v>3544</v>
      </c>
      <c r="C30" s="6">
        <v>3</v>
      </c>
      <c r="D30" s="37" t="s">
        <v>3616</v>
      </c>
      <c r="E30" s="6" t="s">
        <v>4783</v>
      </c>
      <c r="F30" s="5">
        <v>0.17399999999999999</v>
      </c>
      <c r="G30" s="6" t="s">
        <v>3474</v>
      </c>
      <c r="H30" s="6" t="s">
        <v>3513</v>
      </c>
      <c r="I30" s="5" t="s">
        <v>3544</v>
      </c>
    </row>
    <row r="31" spans="1:9" x14ac:dyDescent="0.25">
      <c r="A31" s="5" t="s">
        <v>3545</v>
      </c>
      <c r="B31" s="6" t="s">
        <v>3526</v>
      </c>
      <c r="C31" s="6">
        <v>3</v>
      </c>
      <c r="D31" s="37" t="s">
        <v>3616</v>
      </c>
      <c r="E31" s="6" t="s">
        <v>4784</v>
      </c>
      <c r="F31" s="5">
        <v>0.17319999999999999</v>
      </c>
      <c r="G31" s="6" t="s">
        <v>3519</v>
      </c>
      <c r="H31" s="6" t="s">
        <v>3512</v>
      </c>
      <c r="I31" s="5" t="s">
        <v>3526</v>
      </c>
    </row>
    <row r="32" spans="1:9" x14ac:dyDescent="0.25">
      <c r="A32" s="5" t="s">
        <v>3198</v>
      </c>
      <c r="B32" s="6" t="s">
        <v>3526</v>
      </c>
      <c r="C32" s="6">
        <v>3</v>
      </c>
      <c r="D32" s="37" t="s">
        <v>3616</v>
      </c>
      <c r="E32" s="6" t="s">
        <v>4785</v>
      </c>
      <c r="F32" s="5">
        <v>0.10299999999999999</v>
      </c>
      <c r="G32" s="6" t="s">
        <v>3196</v>
      </c>
      <c r="H32" s="6" t="s">
        <v>3605</v>
      </c>
      <c r="I32" s="5" t="s">
        <v>3526</v>
      </c>
    </row>
    <row r="33" spans="1:9" x14ac:dyDescent="0.25">
      <c r="A33" s="5" t="s">
        <v>3189</v>
      </c>
      <c r="B33" s="6" t="s">
        <v>3527</v>
      </c>
      <c r="C33" s="6">
        <v>3</v>
      </c>
      <c r="D33" s="37" t="s">
        <v>3616</v>
      </c>
      <c r="E33" s="6" t="s">
        <v>4786</v>
      </c>
      <c r="F33" s="5">
        <v>0.91700000000000004</v>
      </c>
      <c r="G33" s="6" t="s">
        <v>3474</v>
      </c>
      <c r="H33" s="6" t="s">
        <v>3513</v>
      </c>
      <c r="I33" s="5" t="s">
        <v>3527</v>
      </c>
    </row>
    <row r="34" spans="1:9" x14ac:dyDescent="0.25">
      <c r="A34" s="5" t="s">
        <v>3550</v>
      </c>
      <c r="B34" s="6" t="s">
        <v>3551</v>
      </c>
      <c r="C34" s="6">
        <v>3</v>
      </c>
      <c r="D34" s="37" t="s">
        <v>3616</v>
      </c>
      <c r="E34" s="6" t="s">
        <v>4787</v>
      </c>
      <c r="F34" s="5">
        <v>3.61E-2</v>
      </c>
      <c r="G34" s="6" t="s">
        <v>3474</v>
      </c>
      <c r="H34" s="6" t="s">
        <v>3513</v>
      </c>
      <c r="I34" s="5" t="s">
        <v>3551</v>
      </c>
    </row>
    <row r="35" spans="1:9" x14ac:dyDescent="0.25">
      <c r="A35" s="5" t="s">
        <v>3552</v>
      </c>
      <c r="B35" s="6" t="s">
        <v>3553</v>
      </c>
      <c r="C35" s="6">
        <v>3</v>
      </c>
      <c r="D35" s="37" t="s">
        <v>3616</v>
      </c>
      <c r="E35" s="6" t="s">
        <v>4788</v>
      </c>
      <c r="F35" s="5">
        <v>0.2898</v>
      </c>
      <c r="G35" s="6" t="s">
        <v>3474</v>
      </c>
      <c r="H35" s="6" t="s">
        <v>3513</v>
      </c>
      <c r="I35" s="5" t="s">
        <v>3553</v>
      </c>
    </row>
    <row r="36" spans="1:9" x14ac:dyDescent="0.25">
      <c r="A36" s="5" t="s">
        <v>730</v>
      </c>
      <c r="B36" s="6" t="s">
        <v>3555</v>
      </c>
      <c r="C36" s="6">
        <v>3</v>
      </c>
      <c r="D36" s="37" t="s">
        <v>3616</v>
      </c>
      <c r="E36" s="6" t="s">
        <v>4789</v>
      </c>
      <c r="F36" s="5">
        <v>5.7799999999999997E-2</v>
      </c>
      <c r="G36" s="6" t="s">
        <v>3474</v>
      </c>
      <c r="H36" s="6" t="s">
        <v>3513</v>
      </c>
      <c r="I36" s="5" t="s">
        <v>3555</v>
      </c>
    </row>
    <row r="37" spans="1:9" x14ac:dyDescent="0.25">
      <c r="A37" s="5" t="s">
        <v>3556</v>
      </c>
      <c r="B37" s="6" t="s">
        <v>3557</v>
      </c>
      <c r="C37" s="6">
        <v>3</v>
      </c>
      <c r="D37" s="37" t="s">
        <v>3616</v>
      </c>
      <c r="E37" s="6" t="s">
        <v>4790</v>
      </c>
      <c r="F37" s="5">
        <v>3.7999999999999999E-2</v>
      </c>
      <c r="G37" s="6" t="s">
        <v>3474</v>
      </c>
      <c r="H37" s="6" t="s">
        <v>3513</v>
      </c>
      <c r="I37" s="5" t="s">
        <v>3557</v>
      </c>
    </row>
    <row r="38" spans="1:9" x14ac:dyDescent="0.25">
      <c r="A38" s="5" t="s">
        <v>3558</v>
      </c>
      <c r="B38" s="6" t="s">
        <v>3530</v>
      </c>
      <c r="C38" s="6">
        <v>3</v>
      </c>
      <c r="D38" s="37" t="s">
        <v>3616</v>
      </c>
      <c r="E38" s="6" t="s">
        <v>4791</v>
      </c>
      <c r="F38" s="5">
        <v>0.1472</v>
      </c>
      <c r="G38" s="6" t="s">
        <v>3474</v>
      </c>
      <c r="H38" s="6" t="s">
        <v>3513</v>
      </c>
      <c r="I38" s="5" t="s">
        <v>3530</v>
      </c>
    </row>
    <row r="39" spans="1:9" x14ac:dyDescent="0.25">
      <c r="A39" s="5" t="s">
        <v>3528</v>
      </c>
      <c r="B39" s="6" t="s">
        <v>3529</v>
      </c>
      <c r="C39" s="6">
        <v>3</v>
      </c>
      <c r="D39" s="37" t="s">
        <v>3616</v>
      </c>
      <c r="E39" s="6" t="s">
        <v>4778</v>
      </c>
      <c r="F39" s="5">
        <v>0.08</v>
      </c>
      <c r="G39" s="6" t="s">
        <v>3196</v>
      </c>
      <c r="H39" s="6" t="s">
        <v>3605</v>
      </c>
      <c r="I39" s="5" t="s">
        <v>3529</v>
      </c>
    </row>
    <row r="40" spans="1:9" x14ac:dyDescent="0.25">
      <c r="A40" s="5" t="s">
        <v>3562</v>
      </c>
      <c r="B40" s="6" t="s">
        <v>3563</v>
      </c>
      <c r="C40" s="6">
        <v>3</v>
      </c>
      <c r="D40" s="37" t="s">
        <v>3616</v>
      </c>
      <c r="E40" s="6" t="s">
        <v>4792</v>
      </c>
      <c r="F40" s="5">
        <v>0.32400000000000001</v>
      </c>
      <c r="G40" s="6" t="s">
        <v>3519</v>
      </c>
      <c r="H40" s="6" t="s">
        <v>3612</v>
      </c>
      <c r="I40" s="5" t="s">
        <v>3563</v>
      </c>
    </row>
    <row r="41" spans="1:9" x14ac:dyDescent="0.25">
      <c r="A41" s="5" t="s">
        <v>3565</v>
      </c>
      <c r="B41" s="6" t="s">
        <v>3543</v>
      </c>
      <c r="C41" s="6">
        <v>3</v>
      </c>
      <c r="D41" s="37" t="s">
        <v>3616</v>
      </c>
      <c r="E41" s="6" t="s">
        <v>4793</v>
      </c>
      <c r="F41" s="5">
        <v>0.14000000000000001</v>
      </c>
      <c r="G41" s="6" t="s">
        <v>3196</v>
      </c>
      <c r="H41" s="6" t="s">
        <v>3609</v>
      </c>
      <c r="I41" s="5" t="s">
        <v>3543</v>
      </c>
    </row>
    <row r="42" spans="1:9" x14ac:dyDescent="0.25">
      <c r="A42" s="5" t="s">
        <v>3538</v>
      </c>
      <c r="B42" s="6" t="s">
        <v>3539</v>
      </c>
      <c r="C42" s="6">
        <v>3</v>
      </c>
      <c r="D42" s="37" t="s">
        <v>3616</v>
      </c>
      <c r="E42" s="6" t="s">
        <v>4794</v>
      </c>
      <c r="F42" s="5">
        <v>0.41299999999999998</v>
      </c>
      <c r="G42" s="6" t="s">
        <v>3196</v>
      </c>
      <c r="H42" s="6" t="s">
        <v>3607</v>
      </c>
      <c r="I42" s="5" t="s">
        <v>3539</v>
      </c>
    </row>
    <row r="43" spans="1:9" x14ac:dyDescent="0.25">
      <c r="A43" s="5" t="s">
        <v>3198</v>
      </c>
      <c r="B43" s="6" t="s">
        <v>3546</v>
      </c>
      <c r="C43" s="6">
        <v>3</v>
      </c>
      <c r="D43" s="37" t="s">
        <v>3616</v>
      </c>
      <c r="E43" s="6" t="s">
        <v>4785</v>
      </c>
      <c r="F43" s="5">
        <v>0.10299999999999999</v>
      </c>
      <c r="G43" s="6" t="s">
        <v>3196</v>
      </c>
      <c r="H43" s="6" t="s">
        <v>3605</v>
      </c>
      <c r="I43" s="5" t="s">
        <v>3546</v>
      </c>
    </row>
    <row r="44" spans="1:9" ht="30" x14ac:dyDescent="0.25">
      <c r="A44" s="5" t="s">
        <v>3579</v>
      </c>
      <c r="B44" s="6" t="s">
        <v>3580</v>
      </c>
      <c r="C44" s="6">
        <v>3</v>
      </c>
      <c r="D44" s="37" t="s">
        <v>3616</v>
      </c>
      <c r="E44" s="6" t="s">
        <v>4795</v>
      </c>
      <c r="F44" s="5">
        <v>9.6799999999999997E-2</v>
      </c>
      <c r="G44" s="6" t="s">
        <v>3474</v>
      </c>
      <c r="H44" s="6" t="s">
        <v>3513</v>
      </c>
      <c r="I44" s="6" t="s">
        <v>3529</v>
      </c>
    </row>
    <row r="45" spans="1:9" x14ac:dyDescent="0.25">
      <c r="A45" s="5" t="s">
        <v>3582</v>
      </c>
      <c r="B45" s="6" t="s">
        <v>3536</v>
      </c>
      <c r="C45" s="6">
        <v>3</v>
      </c>
      <c r="D45" s="37" t="s">
        <v>3616</v>
      </c>
      <c r="E45" s="6" t="s">
        <v>4796</v>
      </c>
      <c r="F45" s="5">
        <v>0.18970000000000001</v>
      </c>
      <c r="G45" s="6" t="s">
        <v>3474</v>
      </c>
      <c r="H45" s="6" t="s">
        <v>3513</v>
      </c>
      <c r="I45" s="6" t="s">
        <v>3583</v>
      </c>
    </row>
    <row r="46" spans="1:9" x14ac:dyDescent="0.25">
      <c r="A46" s="5" t="s">
        <v>3584</v>
      </c>
      <c r="B46" s="6" t="s">
        <v>3525</v>
      </c>
      <c r="C46" s="6">
        <v>3</v>
      </c>
      <c r="D46" s="37" t="s">
        <v>3616</v>
      </c>
      <c r="E46" s="6" t="s">
        <v>4797</v>
      </c>
      <c r="F46" s="5">
        <v>9.2999999999999999E-2</v>
      </c>
      <c r="G46" s="6" t="s">
        <v>3196</v>
      </c>
      <c r="H46" s="6" t="s">
        <v>3605</v>
      </c>
      <c r="I46" s="5" t="s">
        <v>3526</v>
      </c>
    </row>
    <row r="47" spans="1:9" x14ac:dyDescent="0.25">
      <c r="A47" s="5" t="s">
        <v>3585</v>
      </c>
      <c r="B47" s="6" t="s">
        <v>3563</v>
      </c>
      <c r="C47" s="6">
        <v>3</v>
      </c>
      <c r="D47" s="37" t="s">
        <v>3616</v>
      </c>
      <c r="E47" s="6" t="s">
        <v>4798</v>
      </c>
      <c r="F47" s="5">
        <v>63.8</v>
      </c>
      <c r="G47" s="6" t="s">
        <v>3520</v>
      </c>
      <c r="H47" s="6" t="s">
        <v>3614</v>
      </c>
      <c r="I47" s="6" t="s">
        <v>3563</v>
      </c>
    </row>
    <row r="48" spans="1:9" x14ac:dyDescent="0.25">
      <c r="A48" s="5" t="s">
        <v>3588</v>
      </c>
      <c r="B48" s="6" t="s">
        <v>3589</v>
      </c>
      <c r="C48" s="6">
        <v>3</v>
      </c>
      <c r="D48" s="37" t="s">
        <v>3616</v>
      </c>
      <c r="E48" s="6" t="s">
        <v>4799</v>
      </c>
      <c r="F48" s="5">
        <v>8.4699999999999998E-2</v>
      </c>
      <c r="G48" s="6" t="s">
        <v>3474</v>
      </c>
      <c r="H48" s="6" t="s">
        <v>3513</v>
      </c>
      <c r="I48" s="6" t="s">
        <v>3589</v>
      </c>
    </row>
    <row r="49" spans="1:9" x14ac:dyDescent="0.25">
      <c r="A49" s="5" t="s">
        <v>3581</v>
      </c>
      <c r="B49" s="5" t="s">
        <v>3581</v>
      </c>
      <c r="C49" s="6">
        <v>3</v>
      </c>
      <c r="D49" s="37" t="s">
        <v>3616</v>
      </c>
      <c r="E49" s="6" t="s">
        <v>4800</v>
      </c>
      <c r="F49" s="5">
        <v>9.0999999999999998E-2</v>
      </c>
      <c r="G49" s="6" t="s">
        <v>3488</v>
      </c>
      <c r="H49" s="6" t="s">
        <v>3513</v>
      </c>
      <c r="I49" s="5" t="s">
        <v>3581</v>
      </c>
    </row>
    <row r="50" spans="1:9" x14ac:dyDescent="0.25">
      <c r="A50" s="5" t="s">
        <v>3602</v>
      </c>
      <c r="B50" s="5" t="s">
        <v>3602</v>
      </c>
      <c r="C50" s="6">
        <v>3</v>
      </c>
      <c r="D50" s="37" t="s">
        <v>3616</v>
      </c>
      <c r="E50" s="6" t="s">
        <v>4801</v>
      </c>
      <c r="F50" s="5">
        <v>0.154</v>
      </c>
      <c r="G50" s="6" t="s">
        <v>3489</v>
      </c>
      <c r="H50" s="6" t="s">
        <v>3513</v>
      </c>
      <c r="I50" s="5" t="s">
        <v>3602</v>
      </c>
    </row>
  </sheetData>
  <phoneticPr fontId="2" type="noConversion"/>
  <conditionalFormatting sqref="H21">
    <cfRule type="expression" dxfId="53" priority="262">
      <formula>MOD(ROW(),2)=0</formula>
    </cfRule>
  </conditionalFormatting>
  <conditionalFormatting sqref="H23">
    <cfRule type="expression" dxfId="52" priority="255">
      <formula>MOD(ROW(),2)=0</formula>
    </cfRule>
  </conditionalFormatting>
  <conditionalFormatting sqref="H25:H26">
    <cfRule type="expression" dxfId="51" priority="233">
      <formula>MOD(ROW(),2)=0</formula>
    </cfRule>
  </conditionalFormatting>
  <conditionalFormatting sqref="H30:H31">
    <cfRule type="expression" dxfId="50" priority="207">
      <formula>MOD(ROW(),2)=0</formula>
    </cfRule>
  </conditionalFormatting>
  <conditionalFormatting sqref="H33:H38">
    <cfRule type="expression" dxfId="49" priority="182">
      <formula>MOD(ROW(),2)=0</formula>
    </cfRule>
  </conditionalFormatting>
  <conditionalFormatting sqref="H40">
    <cfRule type="expression" dxfId="48" priority="138">
      <formula>MOD(ROW(),2)=0</formula>
    </cfRule>
  </conditionalFormatting>
  <conditionalFormatting sqref="H44:H45">
    <cfRule type="expression" dxfId="47" priority="101">
      <formula>MOD(ROW(),2)=0</formula>
    </cfRule>
  </conditionalFormatting>
  <conditionalFormatting sqref="H48:H50">
    <cfRule type="expression" dxfId="46" priority="273">
      <formula>MOD(ROW(),2)=0</formula>
    </cfRule>
  </conditionalFormatting>
  <conditionalFormatting sqref="I19 A19:B50 F19:G50">
    <cfRule type="expression" dxfId="45" priority="58">
      <formula>MOD(ROW(),2)=0</formula>
    </cfRule>
  </conditionalFormatting>
  <conditionalFormatting sqref="I21:I50">
    <cfRule type="expression" dxfId="44" priority="2">
      <formula>MOD(ROW(),2)=0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F987-58A0-4810-BDE4-AAC1333E1946}">
  <dimension ref="A1:K42"/>
  <sheetViews>
    <sheetView workbookViewId="0">
      <selection activeCell="I14" sqref="I14"/>
    </sheetView>
  </sheetViews>
  <sheetFormatPr defaultRowHeight="15" x14ac:dyDescent="0.25"/>
  <cols>
    <col min="1" max="1" width="71.5703125" style="29" customWidth="1"/>
    <col min="2" max="2" width="13.42578125" style="29" bestFit="1" customWidth="1"/>
    <col min="3" max="3" width="6.140625" bestFit="1" customWidth="1"/>
    <col min="4" max="4" width="39.5703125" bestFit="1" customWidth="1"/>
    <col min="5" max="5" width="11.42578125" bestFit="1" customWidth="1"/>
    <col min="6" max="6" width="11.85546875" bestFit="1" customWidth="1"/>
    <col min="7" max="7" width="15.5703125" bestFit="1" customWidth="1"/>
    <col min="8" max="8" width="17.140625" bestFit="1" customWidth="1"/>
    <col min="9" max="9" width="88.140625" bestFit="1" customWidth="1"/>
    <col min="10" max="10" width="9.42578125" bestFit="1" customWidth="1"/>
    <col min="11" max="11" width="17.140625" bestFit="1" customWidth="1"/>
  </cols>
  <sheetData>
    <row r="1" spans="1:11" ht="30" x14ac:dyDescent="0.25">
      <c r="A1" s="32" t="s">
        <v>0</v>
      </c>
      <c r="B1" s="3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33" t="s">
        <v>3247</v>
      </c>
      <c r="K1" s="33" t="s">
        <v>3248</v>
      </c>
    </row>
    <row r="2" spans="1:11" x14ac:dyDescent="0.25">
      <c r="A2" s="5" t="s">
        <v>2001</v>
      </c>
      <c r="B2" s="5"/>
      <c r="C2" s="6">
        <v>3</v>
      </c>
      <c r="D2" s="6" t="s">
        <v>2874</v>
      </c>
      <c r="E2" s="6" t="s">
        <v>3374</v>
      </c>
      <c r="F2" s="6">
        <v>2.21282957707349E-4</v>
      </c>
      <c r="G2" s="6" t="s">
        <v>233</v>
      </c>
      <c r="H2" s="6" t="s">
        <v>234</v>
      </c>
      <c r="I2" s="6" t="s">
        <v>466</v>
      </c>
      <c r="J2" s="6" t="s">
        <v>2002</v>
      </c>
      <c r="K2" s="6" t="s">
        <v>2000</v>
      </c>
    </row>
    <row r="3" spans="1:11" x14ac:dyDescent="0.25">
      <c r="A3" s="5" t="s">
        <v>421</v>
      </c>
      <c r="B3" s="5"/>
      <c r="C3" s="6">
        <v>3</v>
      </c>
      <c r="D3" s="6" t="s">
        <v>2874</v>
      </c>
      <c r="E3" s="6" t="s">
        <v>3375</v>
      </c>
      <c r="F3" s="6">
        <v>2.21282957707349E-4</v>
      </c>
      <c r="G3" s="6" t="s">
        <v>233</v>
      </c>
      <c r="H3" s="6" t="s">
        <v>234</v>
      </c>
      <c r="I3" s="6" t="s">
        <v>466</v>
      </c>
      <c r="J3" s="6" t="s">
        <v>1721</v>
      </c>
      <c r="K3" s="6" t="s">
        <v>3376</v>
      </c>
    </row>
    <row r="4" spans="1:11" ht="30" x14ac:dyDescent="0.25">
      <c r="A4" s="5" t="s">
        <v>2495</v>
      </c>
      <c r="B4" s="5"/>
      <c r="C4" s="6">
        <v>3</v>
      </c>
      <c r="D4" s="6" t="s">
        <v>2874</v>
      </c>
      <c r="E4" s="6" t="s">
        <v>3377</v>
      </c>
      <c r="F4" s="6">
        <v>2.21282957707349E-4</v>
      </c>
      <c r="G4" s="6" t="s">
        <v>233</v>
      </c>
      <c r="H4" s="6" t="s">
        <v>234</v>
      </c>
      <c r="I4" s="6" t="s">
        <v>466</v>
      </c>
      <c r="J4" s="6" t="s">
        <v>2122</v>
      </c>
      <c r="K4" s="6" t="s">
        <v>2494</v>
      </c>
    </row>
    <row r="5" spans="1:11" x14ac:dyDescent="0.25">
      <c r="A5" s="5" t="s">
        <v>2520</v>
      </c>
      <c r="B5" s="5"/>
      <c r="C5" s="6">
        <v>3</v>
      </c>
      <c r="D5" s="6" t="s">
        <v>2874</v>
      </c>
      <c r="E5" s="6" t="s">
        <v>3378</v>
      </c>
      <c r="F5" s="6">
        <v>2.21282957707349E-4</v>
      </c>
      <c r="G5" s="6" t="s">
        <v>233</v>
      </c>
      <c r="H5" s="6" t="s">
        <v>234</v>
      </c>
      <c r="I5" s="6" t="s">
        <v>466</v>
      </c>
      <c r="J5" s="6" t="s">
        <v>2518</v>
      </c>
      <c r="K5" s="6" t="s">
        <v>3379</v>
      </c>
    </row>
    <row r="6" spans="1:11" x14ac:dyDescent="0.25">
      <c r="A6" s="5" t="s">
        <v>420</v>
      </c>
      <c r="B6" s="5"/>
      <c r="C6" s="6">
        <v>3</v>
      </c>
      <c r="D6" s="6" t="s">
        <v>2874</v>
      </c>
      <c r="E6" s="6" t="s">
        <v>3380</v>
      </c>
      <c r="F6" s="6">
        <v>2.1065654610590999E-4</v>
      </c>
      <c r="G6" s="6" t="s">
        <v>233</v>
      </c>
      <c r="H6" s="6" t="s">
        <v>234</v>
      </c>
      <c r="I6" s="6" t="s">
        <v>347</v>
      </c>
      <c r="J6" s="6" t="s">
        <v>1494</v>
      </c>
      <c r="K6" s="6" t="s">
        <v>1493</v>
      </c>
    </row>
    <row r="7" spans="1:11" x14ac:dyDescent="0.25">
      <c r="A7" s="5" t="s">
        <v>1540</v>
      </c>
      <c r="B7" s="5"/>
      <c r="C7" s="6">
        <v>3</v>
      </c>
      <c r="D7" s="6" t="s">
        <v>2874</v>
      </c>
      <c r="E7" s="6" t="s">
        <v>3381</v>
      </c>
      <c r="F7" s="6">
        <v>2.1065654610590999E-4</v>
      </c>
      <c r="G7" s="6" t="s">
        <v>233</v>
      </c>
      <c r="H7" s="6" t="s">
        <v>234</v>
      </c>
      <c r="I7" s="6" t="s">
        <v>347</v>
      </c>
      <c r="J7" s="6" t="s">
        <v>1502</v>
      </c>
      <c r="K7" s="6" t="s">
        <v>1539</v>
      </c>
    </row>
    <row r="8" spans="1:11" x14ac:dyDescent="0.25">
      <c r="A8" s="5" t="s">
        <v>1540</v>
      </c>
      <c r="B8" s="5"/>
      <c r="C8" s="6">
        <v>3</v>
      </c>
      <c r="D8" s="6" t="s">
        <v>2874</v>
      </c>
      <c r="E8" s="6" t="s">
        <v>3382</v>
      </c>
      <c r="F8" s="6">
        <v>2.1065654610590999E-4</v>
      </c>
      <c r="G8" s="6" t="s">
        <v>233</v>
      </c>
      <c r="H8" s="6" t="s">
        <v>234</v>
      </c>
      <c r="I8" s="6" t="s">
        <v>347</v>
      </c>
      <c r="J8" s="6" t="s">
        <v>3383</v>
      </c>
      <c r="K8" s="6" t="s">
        <v>3384</v>
      </c>
    </row>
    <row r="9" spans="1:11" x14ac:dyDescent="0.25">
      <c r="A9" s="5" t="s">
        <v>1674</v>
      </c>
      <c r="B9" s="5"/>
      <c r="C9" s="6">
        <v>3</v>
      </c>
      <c r="D9" s="6" t="s">
        <v>2874</v>
      </c>
      <c r="E9" s="6" t="s">
        <v>3385</v>
      </c>
      <c r="F9" s="6">
        <v>2.1065654610590999E-4</v>
      </c>
      <c r="G9" s="6" t="s">
        <v>233</v>
      </c>
      <c r="H9" s="6" t="s">
        <v>234</v>
      </c>
      <c r="I9" s="6" t="s">
        <v>347</v>
      </c>
      <c r="J9" s="6" t="s">
        <v>3386</v>
      </c>
      <c r="K9" s="6" t="s">
        <v>1673</v>
      </c>
    </row>
    <row r="10" spans="1:11" x14ac:dyDescent="0.25">
      <c r="A10" s="5" t="s">
        <v>1742</v>
      </c>
      <c r="B10" s="5"/>
      <c r="C10" s="6">
        <v>3</v>
      </c>
      <c r="D10" s="6" t="s">
        <v>2874</v>
      </c>
      <c r="E10" s="6" t="s">
        <v>3387</v>
      </c>
      <c r="F10" s="6">
        <v>2.1065654610590999E-4</v>
      </c>
      <c r="G10" s="6" t="s">
        <v>233</v>
      </c>
      <c r="H10" s="6" t="s">
        <v>234</v>
      </c>
      <c r="I10" s="6" t="s">
        <v>347</v>
      </c>
      <c r="J10" s="6" t="s">
        <v>1743</v>
      </c>
      <c r="K10" s="6" t="s">
        <v>1741</v>
      </c>
    </row>
    <row r="11" spans="1:11" x14ac:dyDescent="0.25">
      <c r="A11" s="5" t="s">
        <v>1782</v>
      </c>
      <c r="B11" s="5"/>
      <c r="C11" s="6">
        <v>3</v>
      </c>
      <c r="D11" s="6" t="s">
        <v>2874</v>
      </c>
      <c r="E11" s="6" t="s">
        <v>3388</v>
      </c>
      <c r="F11" s="6">
        <v>2.1065654610590999E-4</v>
      </c>
      <c r="G11" s="6" t="s">
        <v>233</v>
      </c>
      <c r="H11" s="6" t="s">
        <v>234</v>
      </c>
      <c r="I11" s="6" t="s">
        <v>347</v>
      </c>
      <c r="J11" s="6" t="s">
        <v>1766</v>
      </c>
      <c r="K11" s="6" t="s">
        <v>1781</v>
      </c>
    </row>
    <row r="12" spans="1:11" x14ac:dyDescent="0.25">
      <c r="A12" s="5" t="s">
        <v>1540</v>
      </c>
      <c r="B12" s="5"/>
      <c r="C12" s="6">
        <v>3</v>
      </c>
      <c r="D12" s="6" t="s">
        <v>2874</v>
      </c>
      <c r="E12" s="6" t="s">
        <v>3389</v>
      </c>
      <c r="F12" s="6">
        <v>2.1065654610590999E-4</v>
      </c>
      <c r="G12" s="6" t="s">
        <v>233</v>
      </c>
      <c r="H12" s="6" t="s">
        <v>234</v>
      </c>
      <c r="I12" s="6" t="s">
        <v>347</v>
      </c>
      <c r="J12" s="6" t="s">
        <v>3390</v>
      </c>
      <c r="K12" s="6" t="s">
        <v>3391</v>
      </c>
    </row>
    <row r="13" spans="1:11" x14ac:dyDescent="0.25">
      <c r="A13" s="5" t="s">
        <v>1540</v>
      </c>
      <c r="B13" s="5"/>
      <c r="C13" s="6">
        <v>3</v>
      </c>
      <c r="D13" s="6" t="s">
        <v>2874</v>
      </c>
      <c r="E13" s="6" t="s">
        <v>3392</v>
      </c>
      <c r="F13" s="6">
        <v>2.1065654610590999E-4</v>
      </c>
      <c r="G13" s="6" t="s">
        <v>233</v>
      </c>
      <c r="H13" s="6" t="s">
        <v>234</v>
      </c>
      <c r="I13" s="6" t="s">
        <v>347</v>
      </c>
      <c r="J13" s="6" t="s">
        <v>3393</v>
      </c>
      <c r="K13" s="6" t="s">
        <v>3394</v>
      </c>
    </row>
    <row r="14" spans="1:11" x14ac:dyDescent="0.25">
      <c r="A14" s="5" t="s">
        <v>1865</v>
      </c>
      <c r="B14" s="5"/>
      <c r="C14" s="6">
        <v>3</v>
      </c>
      <c r="D14" s="6" t="s">
        <v>2874</v>
      </c>
      <c r="E14" s="6" t="s">
        <v>3395</v>
      </c>
      <c r="F14" s="6">
        <v>2.1065654610590999E-4</v>
      </c>
      <c r="G14" s="6" t="s">
        <v>233</v>
      </c>
      <c r="H14" s="6" t="s">
        <v>234</v>
      </c>
      <c r="I14" s="6" t="s">
        <v>347</v>
      </c>
      <c r="J14" s="6" t="s">
        <v>1866</v>
      </c>
      <c r="K14" s="6" t="s">
        <v>3396</v>
      </c>
    </row>
    <row r="15" spans="1:11" x14ac:dyDescent="0.25">
      <c r="A15" s="5" t="s">
        <v>2078</v>
      </c>
      <c r="B15" s="5"/>
      <c r="C15" s="6">
        <v>3</v>
      </c>
      <c r="D15" s="6" t="s">
        <v>2874</v>
      </c>
      <c r="E15" s="6" t="s">
        <v>3397</v>
      </c>
      <c r="F15" s="6">
        <v>2.1065654610590999E-4</v>
      </c>
      <c r="G15" s="6" t="s">
        <v>233</v>
      </c>
      <c r="H15" s="6" t="s">
        <v>234</v>
      </c>
      <c r="I15" s="6" t="s">
        <v>347</v>
      </c>
      <c r="J15" s="6" t="s">
        <v>2079</v>
      </c>
      <c r="K15" s="6" t="s">
        <v>2077</v>
      </c>
    </row>
    <row r="16" spans="1:11" x14ac:dyDescent="0.25">
      <c r="A16" s="5" t="s">
        <v>2081</v>
      </c>
      <c r="B16" s="5"/>
      <c r="C16" s="6">
        <v>3</v>
      </c>
      <c r="D16" s="6" t="s">
        <v>2874</v>
      </c>
      <c r="E16" s="6" t="s">
        <v>3398</v>
      </c>
      <c r="F16" s="6">
        <v>2.1065654610590999E-4</v>
      </c>
      <c r="G16" s="6" t="s">
        <v>233</v>
      </c>
      <c r="H16" s="6" t="s">
        <v>234</v>
      </c>
      <c r="I16" s="6" t="s">
        <v>347</v>
      </c>
      <c r="J16" s="6" t="s">
        <v>2082</v>
      </c>
      <c r="K16" s="6" t="s">
        <v>2080</v>
      </c>
    </row>
    <row r="17" spans="1:11" x14ac:dyDescent="0.25">
      <c r="A17" s="5" t="s">
        <v>2134</v>
      </c>
      <c r="B17" s="5"/>
      <c r="C17" s="6">
        <v>3</v>
      </c>
      <c r="D17" s="6" t="s">
        <v>2874</v>
      </c>
      <c r="E17" s="6" t="s">
        <v>3399</v>
      </c>
      <c r="F17" s="6">
        <v>2.1065654610590999E-4</v>
      </c>
      <c r="G17" s="6" t="s">
        <v>233</v>
      </c>
      <c r="H17" s="6" t="s">
        <v>234</v>
      </c>
      <c r="I17" s="6" t="s">
        <v>347</v>
      </c>
      <c r="J17" s="6" t="s">
        <v>2135</v>
      </c>
      <c r="K17" s="6" t="s">
        <v>2133</v>
      </c>
    </row>
    <row r="18" spans="1:11" x14ac:dyDescent="0.25">
      <c r="A18" s="5" t="s">
        <v>2183</v>
      </c>
      <c r="B18" s="5"/>
      <c r="C18" s="6">
        <v>3</v>
      </c>
      <c r="D18" s="6" t="s">
        <v>2874</v>
      </c>
      <c r="E18" s="6" t="s">
        <v>3400</v>
      </c>
      <c r="F18" s="6">
        <v>2.1065654610590999E-4</v>
      </c>
      <c r="G18" s="6" t="s">
        <v>233</v>
      </c>
      <c r="H18" s="6" t="s">
        <v>234</v>
      </c>
      <c r="I18" s="6" t="s">
        <v>347</v>
      </c>
      <c r="J18" s="6" t="s">
        <v>2170</v>
      </c>
      <c r="K18" s="6" t="s">
        <v>2182</v>
      </c>
    </row>
    <row r="19" spans="1:11" x14ac:dyDescent="0.25">
      <c r="A19" s="5" t="s">
        <v>1540</v>
      </c>
      <c r="B19" s="5"/>
      <c r="C19" s="6">
        <v>3</v>
      </c>
      <c r="D19" s="6" t="s">
        <v>2874</v>
      </c>
      <c r="E19" s="6" t="s">
        <v>3401</v>
      </c>
      <c r="F19" s="6">
        <v>2.1065654610590999E-4</v>
      </c>
      <c r="G19" s="6" t="s">
        <v>233</v>
      </c>
      <c r="H19" s="6" t="s">
        <v>234</v>
      </c>
      <c r="I19" s="6" t="s">
        <v>347</v>
      </c>
      <c r="J19" s="6" t="s">
        <v>3402</v>
      </c>
      <c r="K19" s="6" t="s">
        <v>3403</v>
      </c>
    </row>
    <row r="20" spans="1:11" x14ac:dyDescent="0.25">
      <c r="A20" s="5" t="s">
        <v>2217</v>
      </c>
      <c r="B20" s="5"/>
      <c r="C20" s="6">
        <v>3</v>
      </c>
      <c r="D20" s="6" t="s">
        <v>2874</v>
      </c>
      <c r="E20" s="6" t="s">
        <v>3404</v>
      </c>
      <c r="F20" s="6">
        <v>2.1065654610590999E-4</v>
      </c>
      <c r="G20" s="6" t="s">
        <v>233</v>
      </c>
      <c r="H20" s="6" t="s">
        <v>234</v>
      </c>
      <c r="I20" s="6" t="s">
        <v>347</v>
      </c>
      <c r="J20" s="6" t="s">
        <v>2218</v>
      </c>
      <c r="K20" s="6" t="s">
        <v>2216</v>
      </c>
    </row>
    <row r="21" spans="1:11" x14ac:dyDescent="0.25">
      <c r="A21" s="5" t="s">
        <v>1540</v>
      </c>
      <c r="B21" s="5"/>
      <c r="C21" s="6">
        <v>3</v>
      </c>
      <c r="D21" s="6" t="s">
        <v>2874</v>
      </c>
      <c r="E21" s="6" t="s">
        <v>3405</v>
      </c>
      <c r="F21" s="6">
        <v>2.1065654610590999E-4</v>
      </c>
      <c r="G21" s="6" t="s">
        <v>233</v>
      </c>
      <c r="H21" s="6" t="s">
        <v>234</v>
      </c>
      <c r="I21" s="6" t="s">
        <v>347</v>
      </c>
      <c r="J21" s="6" t="s">
        <v>1821</v>
      </c>
      <c r="K21" s="6" t="s">
        <v>3406</v>
      </c>
    </row>
    <row r="22" spans="1:11" x14ac:dyDescent="0.25">
      <c r="A22" s="5" t="s">
        <v>2319</v>
      </c>
      <c r="B22" s="5"/>
      <c r="C22" s="6">
        <v>3</v>
      </c>
      <c r="D22" s="6" t="s">
        <v>2874</v>
      </c>
      <c r="E22" s="6" t="s">
        <v>3407</v>
      </c>
      <c r="F22" s="6">
        <v>2.1065654610590999E-4</v>
      </c>
      <c r="G22" s="6" t="s">
        <v>233</v>
      </c>
      <c r="H22" s="6" t="s">
        <v>234</v>
      </c>
      <c r="I22" s="6" t="s">
        <v>347</v>
      </c>
      <c r="J22" s="6" t="s">
        <v>1965</v>
      </c>
      <c r="K22" s="6" t="s">
        <v>3408</v>
      </c>
    </row>
    <row r="23" spans="1:11" x14ac:dyDescent="0.25">
      <c r="A23" s="5" t="s">
        <v>2072</v>
      </c>
      <c r="B23" s="5"/>
      <c r="C23" s="6">
        <v>3</v>
      </c>
      <c r="D23" s="6" t="s">
        <v>2874</v>
      </c>
      <c r="E23" s="6" t="s">
        <v>3409</v>
      </c>
      <c r="F23" s="6">
        <v>2.1065654610590999E-4</v>
      </c>
      <c r="G23" s="6" t="s">
        <v>233</v>
      </c>
      <c r="H23" s="6" t="s">
        <v>234</v>
      </c>
      <c r="I23" s="6" t="s">
        <v>347</v>
      </c>
      <c r="J23" s="6" t="s">
        <v>3410</v>
      </c>
      <c r="K23" s="6" t="s">
        <v>3411</v>
      </c>
    </row>
    <row r="24" spans="1:11" x14ac:dyDescent="0.25">
      <c r="A24" s="5" t="s">
        <v>2500</v>
      </c>
      <c r="B24" s="5"/>
      <c r="C24" s="6">
        <v>3</v>
      </c>
      <c r="D24" s="6" t="s">
        <v>2874</v>
      </c>
      <c r="E24" s="6" t="s">
        <v>3412</v>
      </c>
      <c r="F24" s="6">
        <v>2.1065654610590999E-4</v>
      </c>
      <c r="G24" s="6" t="s">
        <v>233</v>
      </c>
      <c r="H24" s="6" t="s">
        <v>234</v>
      </c>
      <c r="I24" s="6" t="s">
        <v>347</v>
      </c>
      <c r="J24" s="6" t="s">
        <v>2501</v>
      </c>
      <c r="K24" s="6" t="s">
        <v>2499</v>
      </c>
    </row>
    <row r="25" spans="1:11" x14ac:dyDescent="0.25">
      <c r="A25" s="5" t="s">
        <v>2623</v>
      </c>
      <c r="B25" s="5"/>
      <c r="C25" s="6">
        <v>3</v>
      </c>
      <c r="D25" s="6" t="s">
        <v>2874</v>
      </c>
      <c r="E25" s="6" t="s">
        <v>3413</v>
      </c>
      <c r="F25" s="6">
        <v>2.1065654610590999E-4</v>
      </c>
      <c r="G25" s="6" t="s">
        <v>233</v>
      </c>
      <c r="H25" s="6" t="s">
        <v>234</v>
      </c>
      <c r="I25" s="6" t="s">
        <v>347</v>
      </c>
      <c r="J25" s="6" t="s">
        <v>2624</v>
      </c>
      <c r="K25" s="6" t="s">
        <v>2622</v>
      </c>
    </row>
    <row r="26" spans="1:11" x14ac:dyDescent="0.25">
      <c r="A26" s="5" t="s">
        <v>409</v>
      </c>
      <c r="B26" s="5"/>
      <c r="C26" s="6">
        <v>3</v>
      </c>
      <c r="D26" s="6" t="s">
        <v>2874</v>
      </c>
      <c r="E26" s="6" t="s">
        <v>3414</v>
      </c>
      <c r="F26" s="6">
        <v>2.1065654610590999E-4</v>
      </c>
      <c r="G26" s="6" t="s">
        <v>233</v>
      </c>
      <c r="H26" s="6" t="s">
        <v>234</v>
      </c>
      <c r="I26" s="6" t="s">
        <v>347</v>
      </c>
      <c r="J26" s="6" t="s">
        <v>2310</v>
      </c>
      <c r="K26" s="6" t="s">
        <v>3415</v>
      </c>
    </row>
    <row r="27" spans="1:11" x14ac:dyDescent="0.25">
      <c r="A27" s="5" t="s">
        <v>401</v>
      </c>
      <c r="B27" s="5"/>
      <c r="C27" s="6">
        <v>3</v>
      </c>
      <c r="D27" s="6" t="s">
        <v>2874</v>
      </c>
      <c r="E27" s="6" t="s">
        <v>3416</v>
      </c>
      <c r="F27" s="6">
        <v>2.1065654610590999E-4</v>
      </c>
      <c r="G27" s="6" t="s">
        <v>233</v>
      </c>
      <c r="H27" s="6" t="s">
        <v>234</v>
      </c>
      <c r="I27" s="6" t="s">
        <v>347</v>
      </c>
      <c r="J27" s="6" t="s">
        <v>3417</v>
      </c>
      <c r="K27" s="6" t="s">
        <v>3418</v>
      </c>
    </row>
    <row r="28" spans="1:11" x14ac:dyDescent="0.25">
      <c r="A28" s="5" t="s">
        <v>2702</v>
      </c>
      <c r="B28" s="5"/>
      <c r="C28" s="6">
        <v>3</v>
      </c>
      <c r="D28" s="6" t="s">
        <v>2874</v>
      </c>
      <c r="E28" s="6" t="s">
        <v>3419</v>
      </c>
      <c r="F28" s="6">
        <v>2.1065654610590999E-4</v>
      </c>
      <c r="G28" s="6" t="s">
        <v>233</v>
      </c>
      <c r="H28" s="6" t="s">
        <v>234</v>
      </c>
      <c r="I28" s="6" t="s">
        <v>347</v>
      </c>
      <c r="J28" s="6" t="s">
        <v>2703</v>
      </c>
      <c r="K28" s="6" t="s">
        <v>3420</v>
      </c>
    </row>
    <row r="29" spans="1:11" x14ac:dyDescent="0.25">
      <c r="A29" s="5" t="s">
        <v>1688</v>
      </c>
      <c r="B29" s="5"/>
      <c r="C29" s="6">
        <v>3</v>
      </c>
      <c r="D29" s="6" t="s">
        <v>2874</v>
      </c>
      <c r="E29" s="6" t="s">
        <v>3421</v>
      </c>
      <c r="F29" s="6">
        <v>3.1322198387294099E-4</v>
      </c>
      <c r="G29" s="6" t="s">
        <v>233</v>
      </c>
      <c r="H29" s="6" t="s">
        <v>234</v>
      </c>
      <c r="I29" s="6" t="s">
        <v>414</v>
      </c>
      <c r="J29" s="6" t="s">
        <v>1689</v>
      </c>
      <c r="K29" s="6" t="s">
        <v>1687</v>
      </c>
    </row>
    <row r="30" spans="1:11" x14ac:dyDescent="0.25">
      <c r="A30" s="5" t="s">
        <v>2084</v>
      </c>
      <c r="B30" s="5"/>
      <c r="C30" s="6">
        <v>3</v>
      </c>
      <c r="D30" s="6" t="s">
        <v>2874</v>
      </c>
      <c r="E30" s="6" t="s">
        <v>3422</v>
      </c>
      <c r="F30" s="6">
        <v>3.1322198387294099E-4</v>
      </c>
      <c r="G30" s="6" t="s">
        <v>233</v>
      </c>
      <c r="H30" s="6" t="s">
        <v>234</v>
      </c>
      <c r="I30" s="6" t="s">
        <v>414</v>
      </c>
      <c r="J30" s="6" t="s">
        <v>2085</v>
      </c>
      <c r="K30" s="6" t="s">
        <v>2083</v>
      </c>
    </row>
    <row r="31" spans="1:11" x14ac:dyDescent="0.25">
      <c r="A31" s="5" t="s">
        <v>2068</v>
      </c>
      <c r="B31" s="5"/>
      <c r="C31" s="6">
        <v>3</v>
      </c>
      <c r="D31" s="6" t="s">
        <v>2874</v>
      </c>
      <c r="E31" s="6" t="s">
        <v>3423</v>
      </c>
      <c r="F31" s="6">
        <v>3.1322198387294099E-4</v>
      </c>
      <c r="G31" s="6" t="s">
        <v>233</v>
      </c>
      <c r="H31" s="6" t="s">
        <v>234</v>
      </c>
      <c r="I31" s="6" t="s">
        <v>414</v>
      </c>
      <c r="J31" s="6" t="s">
        <v>1814</v>
      </c>
      <c r="K31" s="6" t="s">
        <v>3424</v>
      </c>
    </row>
    <row r="32" spans="1:11" x14ac:dyDescent="0.25">
      <c r="A32" s="5" t="s">
        <v>1063</v>
      </c>
      <c r="B32" s="5"/>
      <c r="C32" s="6">
        <v>3</v>
      </c>
      <c r="D32" s="6" t="s">
        <v>2874</v>
      </c>
      <c r="E32" s="6" t="s">
        <v>3425</v>
      </c>
      <c r="F32" s="6">
        <v>3.1322198387294099E-4</v>
      </c>
      <c r="G32" s="6" t="s">
        <v>233</v>
      </c>
      <c r="H32" s="6" t="s">
        <v>234</v>
      </c>
      <c r="I32" s="6" t="s">
        <v>414</v>
      </c>
      <c r="J32" s="6" t="s">
        <v>1734</v>
      </c>
      <c r="K32" s="6" t="s">
        <v>3426</v>
      </c>
    </row>
    <row r="33" spans="1:11" x14ac:dyDescent="0.25">
      <c r="A33" s="5" t="s">
        <v>2284</v>
      </c>
      <c r="B33" s="5"/>
      <c r="C33" s="6">
        <v>3</v>
      </c>
      <c r="D33" s="6" t="s">
        <v>2874</v>
      </c>
      <c r="E33" s="6" t="s">
        <v>3427</v>
      </c>
      <c r="F33" s="6">
        <v>3.1322198387294099E-4</v>
      </c>
      <c r="G33" s="6" t="s">
        <v>233</v>
      </c>
      <c r="H33" s="6" t="s">
        <v>234</v>
      </c>
      <c r="I33" s="6" t="s">
        <v>414</v>
      </c>
      <c r="J33" s="6" t="s">
        <v>2285</v>
      </c>
      <c r="K33" s="6" t="s">
        <v>2283</v>
      </c>
    </row>
    <row r="34" spans="1:11" x14ac:dyDescent="0.25">
      <c r="A34" s="5" t="s">
        <v>412</v>
      </c>
      <c r="B34" s="5"/>
      <c r="C34" s="6">
        <v>3</v>
      </c>
      <c r="D34" s="6" t="s">
        <v>2874</v>
      </c>
      <c r="E34" s="6" t="s">
        <v>3428</v>
      </c>
      <c r="F34" s="6">
        <v>3.1322198387294099E-4</v>
      </c>
      <c r="G34" s="6" t="s">
        <v>233</v>
      </c>
      <c r="H34" s="6" t="s">
        <v>234</v>
      </c>
      <c r="I34" s="6" t="s">
        <v>414</v>
      </c>
      <c r="J34" s="6" t="s">
        <v>1914</v>
      </c>
      <c r="K34" s="6" t="s">
        <v>3429</v>
      </c>
    </row>
    <row r="35" spans="1:11" x14ac:dyDescent="0.25">
      <c r="A35" s="5" t="s">
        <v>2492</v>
      </c>
      <c r="B35" s="5"/>
      <c r="C35" s="6">
        <v>3</v>
      </c>
      <c r="D35" s="6" t="s">
        <v>2874</v>
      </c>
      <c r="E35" s="6" t="s">
        <v>3430</v>
      </c>
      <c r="F35" s="6">
        <v>3.1322198387294099E-4</v>
      </c>
      <c r="G35" s="6" t="s">
        <v>233</v>
      </c>
      <c r="H35" s="6" t="s">
        <v>234</v>
      </c>
      <c r="I35" s="6" t="s">
        <v>414</v>
      </c>
      <c r="J35" s="6" t="s">
        <v>2493</v>
      </c>
      <c r="K35" s="6" t="s">
        <v>3431</v>
      </c>
    </row>
    <row r="36" spans="1:11" x14ac:dyDescent="0.25">
      <c r="A36" s="5" t="s">
        <v>2803</v>
      </c>
      <c r="B36" s="5"/>
      <c r="C36" s="6">
        <v>3</v>
      </c>
      <c r="D36" s="6" t="s">
        <v>2874</v>
      </c>
      <c r="E36" s="6" t="s">
        <v>3432</v>
      </c>
      <c r="F36" s="6">
        <v>3.1322198387294099E-4</v>
      </c>
      <c r="G36" s="6" t="s">
        <v>233</v>
      </c>
      <c r="H36" s="6" t="s">
        <v>234</v>
      </c>
      <c r="I36" s="6" t="s">
        <v>414</v>
      </c>
      <c r="J36" s="6" t="s">
        <v>2804</v>
      </c>
      <c r="K36" s="6" t="s">
        <v>2802</v>
      </c>
    </row>
    <row r="37" spans="1:11" x14ac:dyDescent="0.25">
      <c r="A37" s="5" t="s">
        <v>2147</v>
      </c>
      <c r="B37" s="5"/>
      <c r="C37" s="6">
        <v>3</v>
      </c>
      <c r="D37" s="6" t="s">
        <v>2874</v>
      </c>
      <c r="E37" s="6" t="s">
        <v>3433</v>
      </c>
      <c r="F37" s="6">
        <v>3.1322198387294099E-4</v>
      </c>
      <c r="G37" s="6" t="s">
        <v>233</v>
      </c>
      <c r="H37" s="6" t="s">
        <v>234</v>
      </c>
      <c r="I37" s="6" t="s">
        <v>414</v>
      </c>
      <c r="J37" s="6" t="s">
        <v>2148</v>
      </c>
      <c r="K37" s="6" t="s">
        <v>3434</v>
      </c>
    </row>
    <row r="38" spans="1:11" x14ac:dyDescent="0.25">
      <c r="A38" s="5" t="s">
        <v>2301</v>
      </c>
      <c r="B38" s="5"/>
      <c r="C38" s="6">
        <v>3</v>
      </c>
      <c r="D38" s="6" t="s">
        <v>2874</v>
      </c>
      <c r="E38" s="6" t="s">
        <v>3435</v>
      </c>
      <c r="F38" s="6">
        <v>3.1322198387294099E-4</v>
      </c>
      <c r="G38" s="6" t="s">
        <v>233</v>
      </c>
      <c r="H38" s="6" t="s">
        <v>234</v>
      </c>
      <c r="I38" s="6" t="s">
        <v>414</v>
      </c>
      <c r="J38" s="6" t="s">
        <v>2302</v>
      </c>
      <c r="K38" s="6" t="s">
        <v>3436</v>
      </c>
    </row>
    <row r="39" spans="1:11" x14ac:dyDescent="0.25">
      <c r="A39" s="5" t="s">
        <v>1894</v>
      </c>
      <c r="B39" s="5"/>
      <c r="C39" s="6">
        <v>3</v>
      </c>
      <c r="D39" s="6" t="s">
        <v>2874</v>
      </c>
      <c r="E39" s="6" t="s">
        <v>3437</v>
      </c>
      <c r="F39" s="6">
        <v>1.67136339459407E-4</v>
      </c>
      <c r="G39" s="6" t="s">
        <v>233</v>
      </c>
      <c r="H39" s="6" t="s">
        <v>234</v>
      </c>
      <c r="I39" s="6" t="s">
        <v>408</v>
      </c>
      <c r="J39" s="6" t="s">
        <v>1895</v>
      </c>
      <c r="K39" s="6" t="s">
        <v>3438</v>
      </c>
    </row>
    <row r="40" spans="1:11" x14ac:dyDescent="0.25">
      <c r="A40" s="5" t="s">
        <v>1909</v>
      </c>
      <c r="B40" s="5"/>
      <c r="C40" s="6">
        <v>3</v>
      </c>
      <c r="D40" s="6" t="s">
        <v>2874</v>
      </c>
      <c r="E40" s="6" t="s">
        <v>3439</v>
      </c>
      <c r="F40" s="6">
        <v>1.67136339459407E-4</v>
      </c>
      <c r="G40" s="6" t="s">
        <v>233</v>
      </c>
      <c r="H40" s="6" t="s">
        <v>234</v>
      </c>
      <c r="I40" s="6" t="s">
        <v>408</v>
      </c>
      <c r="J40" s="6" t="s">
        <v>1854</v>
      </c>
      <c r="K40" s="6" t="s">
        <v>3440</v>
      </c>
    </row>
    <row r="41" spans="1:11" ht="30" x14ac:dyDescent="0.25">
      <c r="A41" s="5" t="s">
        <v>3441</v>
      </c>
      <c r="B41" s="5"/>
      <c r="C41" s="6">
        <v>3</v>
      </c>
      <c r="D41" s="6" t="s">
        <v>2874</v>
      </c>
      <c r="E41" s="6" t="s">
        <v>3442</v>
      </c>
      <c r="F41" s="6">
        <v>1.67136339459407E-4</v>
      </c>
      <c r="G41" s="6" t="s">
        <v>233</v>
      </c>
      <c r="H41" s="6" t="s">
        <v>234</v>
      </c>
      <c r="I41" s="6" t="s">
        <v>408</v>
      </c>
      <c r="J41" s="6" t="s">
        <v>2008</v>
      </c>
      <c r="K41" s="6" t="s">
        <v>3443</v>
      </c>
    </row>
    <row r="42" spans="1:11" x14ac:dyDescent="0.25">
      <c r="A42" s="5" t="s">
        <v>406</v>
      </c>
      <c r="B42" s="5"/>
      <c r="C42" s="6">
        <v>3</v>
      </c>
      <c r="D42" s="6" t="s">
        <v>2874</v>
      </c>
      <c r="E42" s="6" t="s">
        <v>3444</v>
      </c>
      <c r="F42" s="6">
        <v>1.67136339459407E-4</v>
      </c>
      <c r="G42" s="6" t="s">
        <v>233</v>
      </c>
      <c r="H42" s="6" t="s">
        <v>234</v>
      </c>
      <c r="I42" s="6" t="s">
        <v>408</v>
      </c>
      <c r="J42" s="6" t="s">
        <v>2342</v>
      </c>
      <c r="K42" s="6" t="s">
        <v>3445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0D3B-B423-4B25-AD25-C04B204633E5}">
  <dimension ref="A1:I2"/>
  <sheetViews>
    <sheetView workbookViewId="0">
      <selection activeCell="D32" sqref="D32"/>
    </sheetView>
  </sheetViews>
  <sheetFormatPr defaultRowHeight="15" x14ac:dyDescent="0.25"/>
  <cols>
    <col min="1" max="1" width="23.7109375" customWidth="1"/>
    <col min="2" max="2" width="18.28515625" customWidth="1"/>
    <col min="3" max="3" width="6.140625" bestFit="1" customWidth="1"/>
    <col min="4" max="4" width="39.5703125" customWidth="1"/>
    <col min="5" max="5" width="11" bestFit="1" customWidth="1"/>
    <col min="8" max="8" width="9.42578125" bestFit="1" customWidth="1"/>
    <col min="9" max="9" width="38.710937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25</v>
      </c>
      <c r="B2" s="6" t="s">
        <v>25</v>
      </c>
      <c r="C2" s="6">
        <v>3</v>
      </c>
      <c r="D2" s="6" t="s">
        <v>26</v>
      </c>
      <c r="E2" s="6" t="s">
        <v>27</v>
      </c>
      <c r="F2" s="6">
        <v>0</v>
      </c>
      <c r="G2" s="6"/>
      <c r="H2" s="6" t="s">
        <v>28</v>
      </c>
      <c r="I2" s="6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DC3A-8BC2-4391-8FFF-3041E629E423}">
  <dimension ref="A1:I11"/>
  <sheetViews>
    <sheetView zoomScaleNormal="100" workbookViewId="0">
      <selection activeCell="N52" sqref="N52"/>
    </sheetView>
  </sheetViews>
  <sheetFormatPr defaultRowHeight="15" x14ac:dyDescent="0.25"/>
  <cols>
    <col min="1" max="1" width="18.7109375" customWidth="1"/>
    <col min="2" max="2" width="29.7109375" customWidth="1"/>
    <col min="3" max="3" width="18.85546875" customWidth="1"/>
    <col min="4" max="4" width="34.42578125" customWidth="1"/>
    <col min="5" max="5" width="7.85546875" bestFit="1" customWidth="1"/>
    <col min="6" max="6" width="41.7109375" customWidth="1"/>
    <col min="7" max="7" width="8" bestFit="1" customWidth="1"/>
    <col min="8" max="8" width="11.85546875" bestFit="1" customWidth="1"/>
    <col min="9" max="9" width="50.8554687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9</v>
      </c>
      <c r="B2" s="6" t="s">
        <v>10</v>
      </c>
      <c r="C2" s="6">
        <v>3</v>
      </c>
      <c r="D2" s="6" t="s">
        <v>2895</v>
      </c>
      <c r="E2" s="6" t="s">
        <v>2896</v>
      </c>
      <c r="F2" s="6">
        <v>5.5900000000000004E-4</v>
      </c>
      <c r="G2" s="6" t="s">
        <v>13</v>
      </c>
      <c r="H2" s="6" t="s">
        <v>14</v>
      </c>
      <c r="I2" s="6" t="s">
        <v>2895</v>
      </c>
    </row>
    <row r="3" spans="1:9" x14ac:dyDescent="0.25">
      <c r="A3" s="6" t="s">
        <v>15</v>
      </c>
      <c r="B3" s="6" t="s">
        <v>15</v>
      </c>
      <c r="C3" s="6">
        <v>3</v>
      </c>
      <c r="D3" s="6" t="s">
        <v>2895</v>
      </c>
      <c r="E3" s="6" t="s">
        <v>2897</v>
      </c>
      <c r="F3" s="6">
        <v>5.1906000000000001E-4</v>
      </c>
      <c r="G3" s="6" t="s">
        <v>13</v>
      </c>
      <c r="H3" s="6" t="s">
        <v>14</v>
      </c>
      <c r="I3" s="6" t="s">
        <v>2895</v>
      </c>
    </row>
    <row r="4" spans="1:9" x14ac:dyDescent="0.25">
      <c r="A4" s="6" t="s">
        <v>17</v>
      </c>
      <c r="B4" s="6" t="s">
        <v>17</v>
      </c>
      <c r="C4" s="6">
        <v>3</v>
      </c>
      <c r="D4" s="6" t="s">
        <v>2895</v>
      </c>
      <c r="E4" s="6" t="s">
        <v>2898</v>
      </c>
      <c r="F4" s="6">
        <v>9.289E-5</v>
      </c>
      <c r="G4" s="6" t="s">
        <v>13</v>
      </c>
      <c r="H4" s="6" t="s">
        <v>14</v>
      </c>
      <c r="I4" s="6" t="s">
        <v>2895</v>
      </c>
    </row>
    <row r="5" spans="1:9" x14ac:dyDescent="0.25">
      <c r="A5" s="6" t="s">
        <v>19</v>
      </c>
      <c r="B5" s="6" t="s">
        <v>19</v>
      </c>
      <c r="C5" s="6">
        <v>3</v>
      </c>
      <c r="D5" s="6" t="s">
        <v>2895</v>
      </c>
      <c r="E5" s="6" t="s">
        <v>2899</v>
      </c>
      <c r="F5" s="6">
        <v>6.1101000000000005E-4</v>
      </c>
      <c r="G5" s="6" t="s">
        <v>13</v>
      </c>
      <c r="H5" s="6" t="s">
        <v>14</v>
      </c>
      <c r="I5" s="6" t="s">
        <v>2895</v>
      </c>
    </row>
    <row r="6" spans="1:9" x14ac:dyDescent="0.25">
      <c r="A6" s="6" t="s">
        <v>21</v>
      </c>
      <c r="B6" s="6" t="s">
        <v>21</v>
      </c>
      <c r="C6" s="6">
        <v>3</v>
      </c>
      <c r="D6" s="6" t="s">
        <v>2895</v>
      </c>
      <c r="E6" s="6" t="s">
        <v>2900</v>
      </c>
      <c r="F6" s="6">
        <v>1.8551E-4</v>
      </c>
      <c r="G6" s="6" t="s">
        <v>13</v>
      </c>
      <c r="H6" s="6" t="s">
        <v>14</v>
      </c>
      <c r="I6" s="6" t="s">
        <v>2895</v>
      </c>
    </row>
    <row r="7" spans="1:9" x14ac:dyDescent="0.25">
      <c r="A7" s="6" t="s">
        <v>23</v>
      </c>
      <c r="B7" s="6" t="s">
        <v>23</v>
      </c>
      <c r="C7" s="6">
        <v>3</v>
      </c>
      <c r="D7" s="6" t="s">
        <v>2895</v>
      </c>
      <c r="E7" s="6" t="s">
        <v>2901</v>
      </c>
      <c r="F7" s="6">
        <v>6.0663999999999998E-4</v>
      </c>
      <c r="G7" s="6" t="s">
        <v>13</v>
      </c>
      <c r="H7" s="6" t="s">
        <v>14</v>
      </c>
      <c r="I7" s="6" t="s">
        <v>2895</v>
      </c>
    </row>
    <row r="8" spans="1:9" x14ac:dyDescent="0.25">
      <c r="A8" s="6" t="s">
        <v>2902</v>
      </c>
      <c r="B8" s="6" t="s">
        <v>2902</v>
      </c>
      <c r="C8" s="6">
        <v>3</v>
      </c>
      <c r="D8" s="6" t="s">
        <v>2895</v>
      </c>
      <c r="E8" s="6" t="s">
        <v>2903</v>
      </c>
      <c r="F8" s="6">
        <v>5.8093999999999995E-4</v>
      </c>
      <c r="G8" s="6" t="s">
        <v>13</v>
      </c>
      <c r="H8" s="6" t="s">
        <v>14</v>
      </c>
      <c r="I8" s="6" t="s">
        <v>2895</v>
      </c>
    </row>
    <row r="9" spans="1:9" x14ac:dyDescent="0.25">
      <c r="A9" s="6" t="s">
        <v>64</v>
      </c>
      <c r="B9" s="6" t="s">
        <v>64</v>
      </c>
      <c r="C9" s="6">
        <v>3</v>
      </c>
      <c r="D9" s="6" t="s">
        <v>2895</v>
      </c>
      <c r="E9" s="6" t="s">
        <v>2904</v>
      </c>
      <c r="F9" s="6">
        <v>1.435E-5</v>
      </c>
      <c r="G9" s="6" t="s">
        <v>13</v>
      </c>
      <c r="H9" s="6" t="s">
        <v>14</v>
      </c>
      <c r="I9" s="6" t="s">
        <v>2895</v>
      </c>
    </row>
    <row r="10" spans="1:9" x14ac:dyDescent="0.25">
      <c r="A10" s="6" t="s">
        <v>2905</v>
      </c>
      <c r="B10" s="6" t="s">
        <v>64</v>
      </c>
      <c r="C10" s="6">
        <v>3</v>
      </c>
      <c r="D10" s="6" t="s">
        <v>2895</v>
      </c>
      <c r="E10" s="6" t="s">
        <v>2906</v>
      </c>
      <c r="F10" s="6">
        <v>1.435E-5</v>
      </c>
      <c r="G10" s="6" t="s">
        <v>13</v>
      </c>
      <c r="H10" s="6" t="s">
        <v>14</v>
      </c>
      <c r="I10" s="6" t="s">
        <v>2895</v>
      </c>
    </row>
    <row r="11" spans="1:9" x14ac:dyDescent="0.25">
      <c r="A11" s="6" t="s">
        <v>3629</v>
      </c>
      <c r="B11" s="6" t="s">
        <v>3629</v>
      </c>
      <c r="C11" s="20">
        <v>3</v>
      </c>
      <c r="D11" s="20" t="s">
        <v>2895</v>
      </c>
      <c r="E11" s="6" t="s">
        <v>3631</v>
      </c>
      <c r="F11" s="6">
        <v>6.0663999999999998E-4</v>
      </c>
      <c r="G11" s="6" t="s">
        <v>13</v>
      </c>
      <c r="H11" s="6" t="s">
        <v>14</v>
      </c>
      <c r="I11" s="6" t="s">
        <v>2895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3134-470F-477D-B958-61AC660BA575}">
  <dimension ref="A1:H38"/>
  <sheetViews>
    <sheetView workbookViewId="0">
      <selection activeCell="M12" sqref="M12"/>
    </sheetView>
  </sheetViews>
  <sheetFormatPr defaultRowHeight="15" x14ac:dyDescent="0.25"/>
  <cols>
    <col min="1" max="1" width="45.140625" customWidth="1"/>
    <col min="2" max="2" width="28.7109375" customWidth="1"/>
    <col min="3" max="3" width="6.140625" bestFit="1" customWidth="1"/>
    <col min="4" max="4" width="34.85546875" bestFit="1" customWidth="1"/>
    <col min="5" max="5" width="8.140625" bestFit="1" customWidth="1"/>
    <col min="6" max="6" width="11.85546875" bestFit="1" customWidth="1"/>
    <col min="7" max="7" width="11.28515625" bestFit="1" customWidth="1"/>
    <col min="8" max="8" width="34.85546875" bestFit="1" customWidth="1"/>
  </cols>
  <sheetData>
    <row r="1" spans="1:8" x14ac:dyDescent="0.25">
      <c r="A1" s="4" t="s">
        <v>0</v>
      </c>
      <c r="B1" s="3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8</v>
      </c>
    </row>
    <row r="2" spans="1:8" x14ac:dyDescent="0.25">
      <c r="A2" s="10" t="s">
        <v>59</v>
      </c>
      <c r="B2" s="10" t="s">
        <v>60</v>
      </c>
      <c r="C2" s="10">
        <v>1</v>
      </c>
      <c r="D2" s="10" t="s">
        <v>5042</v>
      </c>
      <c r="E2" s="10" t="s">
        <v>5005</v>
      </c>
      <c r="F2" s="10">
        <v>6.8499999999999995E-4</v>
      </c>
      <c r="G2" s="46" t="s">
        <v>5043</v>
      </c>
      <c r="H2" s="10" t="s">
        <v>5042</v>
      </c>
    </row>
    <row r="3" spans="1:8" x14ac:dyDescent="0.25">
      <c r="A3" s="10" t="s">
        <v>64</v>
      </c>
      <c r="B3" s="10" t="s">
        <v>65</v>
      </c>
      <c r="C3" s="10">
        <v>1</v>
      </c>
      <c r="D3" s="10" t="s">
        <v>5042</v>
      </c>
      <c r="E3" s="10" t="s">
        <v>5006</v>
      </c>
      <c r="F3" s="11"/>
      <c r="G3" s="46" t="s">
        <v>5043</v>
      </c>
      <c r="H3" s="10" t="s">
        <v>5042</v>
      </c>
    </row>
    <row r="4" spans="1:8" x14ac:dyDescent="0.25">
      <c r="A4" s="10" t="s">
        <v>67</v>
      </c>
      <c r="B4" s="10" t="s">
        <v>68</v>
      </c>
      <c r="C4" s="10">
        <v>1</v>
      </c>
      <c r="D4" s="10" t="s">
        <v>5042</v>
      </c>
      <c r="E4" s="10" t="s">
        <v>5007</v>
      </c>
      <c r="F4" s="10"/>
      <c r="G4" s="46" t="s">
        <v>5043</v>
      </c>
      <c r="H4" s="10" t="s">
        <v>5042</v>
      </c>
    </row>
    <row r="5" spans="1:8" x14ac:dyDescent="0.25">
      <c r="A5" s="10" t="s">
        <v>70</v>
      </c>
      <c r="B5" s="10" t="s">
        <v>71</v>
      </c>
      <c r="C5" s="10">
        <v>1</v>
      </c>
      <c r="D5" s="10" t="s">
        <v>5042</v>
      </c>
      <c r="E5" s="10" t="s">
        <v>5008</v>
      </c>
      <c r="G5" s="46" t="s">
        <v>5043</v>
      </c>
      <c r="H5" s="10" t="s">
        <v>5042</v>
      </c>
    </row>
    <row r="6" spans="1:8" x14ac:dyDescent="0.25">
      <c r="A6" s="10" t="s">
        <v>73</v>
      </c>
      <c r="B6" s="10" t="s">
        <v>74</v>
      </c>
      <c r="C6" s="10">
        <v>1</v>
      </c>
      <c r="D6" s="10" t="s">
        <v>5042</v>
      </c>
      <c r="E6" s="10" t="s">
        <v>5009</v>
      </c>
      <c r="F6" s="10">
        <v>8.1599999999999999E-4</v>
      </c>
      <c r="G6" s="46" t="s">
        <v>5043</v>
      </c>
      <c r="H6" s="10" t="s">
        <v>5042</v>
      </c>
    </row>
    <row r="7" spans="1:8" x14ac:dyDescent="0.25">
      <c r="A7" s="10" t="s">
        <v>76</v>
      </c>
      <c r="B7" s="10" t="s">
        <v>77</v>
      </c>
      <c r="C7" s="10">
        <v>1</v>
      </c>
      <c r="D7" s="10" t="s">
        <v>5042</v>
      </c>
      <c r="E7" s="10" t="s">
        <v>5010</v>
      </c>
      <c r="F7" s="11"/>
      <c r="G7" s="46" t="s">
        <v>5043</v>
      </c>
      <c r="H7" s="10" t="s">
        <v>5042</v>
      </c>
    </row>
    <row r="8" spans="1:8" x14ac:dyDescent="0.25">
      <c r="A8" s="10" t="s">
        <v>80</v>
      </c>
      <c r="B8" s="10" t="s">
        <v>81</v>
      </c>
      <c r="C8" s="10">
        <v>1</v>
      </c>
      <c r="D8" s="10" t="s">
        <v>5042</v>
      </c>
      <c r="E8" s="10" t="s">
        <v>5011</v>
      </c>
      <c r="F8" s="11"/>
      <c r="G8" s="46" t="s">
        <v>5043</v>
      </c>
      <c r="H8" s="10" t="s">
        <v>5042</v>
      </c>
    </row>
    <row r="9" spans="1:8" x14ac:dyDescent="0.25">
      <c r="A9" s="10" t="s">
        <v>83</v>
      </c>
      <c r="B9" s="10" t="s">
        <v>84</v>
      </c>
      <c r="C9" s="10">
        <v>1</v>
      </c>
      <c r="D9" s="10" t="s">
        <v>5042</v>
      </c>
      <c r="E9" s="10" t="s">
        <v>5012</v>
      </c>
      <c r="F9" s="11"/>
      <c r="G9" s="46" t="s">
        <v>5043</v>
      </c>
      <c r="H9" s="10" t="s">
        <v>5042</v>
      </c>
    </row>
    <row r="10" spans="1:8" x14ac:dyDescent="0.25">
      <c r="A10" s="10" t="s">
        <v>86</v>
      </c>
      <c r="B10" s="10" t="s">
        <v>87</v>
      </c>
      <c r="C10" s="10">
        <v>1</v>
      </c>
      <c r="D10" s="10" t="s">
        <v>5042</v>
      </c>
      <c r="E10" s="10" t="s">
        <v>5013</v>
      </c>
      <c r="F10" s="11"/>
      <c r="G10" s="46" t="s">
        <v>5043</v>
      </c>
      <c r="H10" s="10" t="s">
        <v>5042</v>
      </c>
    </row>
    <row r="11" spans="1:8" x14ac:dyDescent="0.25">
      <c r="A11" s="10" t="s">
        <v>89</v>
      </c>
      <c r="B11" s="10" t="s">
        <v>90</v>
      </c>
      <c r="C11" s="10">
        <v>1</v>
      </c>
      <c r="D11" s="10" t="s">
        <v>5042</v>
      </c>
      <c r="E11" s="10" t="s">
        <v>5014</v>
      </c>
      <c r="F11" s="11"/>
      <c r="G11" s="46" t="s">
        <v>5043</v>
      </c>
      <c r="H11" s="10" t="s">
        <v>5042</v>
      </c>
    </row>
    <row r="12" spans="1:8" x14ac:dyDescent="0.25">
      <c r="A12" s="10" t="s">
        <v>92</v>
      </c>
      <c r="B12" s="10" t="s">
        <v>93</v>
      </c>
      <c r="C12" s="10">
        <v>1</v>
      </c>
      <c r="D12" s="10" t="s">
        <v>5042</v>
      </c>
      <c r="E12" s="10" t="s">
        <v>5015</v>
      </c>
      <c r="F12" s="10"/>
      <c r="G12" s="46" t="s">
        <v>5043</v>
      </c>
      <c r="H12" s="10" t="s">
        <v>5042</v>
      </c>
    </row>
    <row r="13" spans="1:8" x14ac:dyDescent="0.25">
      <c r="A13" s="10" t="s">
        <v>95</v>
      </c>
      <c r="B13" s="10" t="s">
        <v>96</v>
      </c>
      <c r="C13" s="10">
        <v>1</v>
      </c>
      <c r="D13" s="10" t="s">
        <v>5042</v>
      </c>
      <c r="E13" s="10" t="s">
        <v>5016</v>
      </c>
      <c r="F13" s="11"/>
      <c r="G13" s="46" t="s">
        <v>5043</v>
      </c>
      <c r="H13" s="10" t="s">
        <v>5042</v>
      </c>
    </row>
    <row r="14" spans="1:8" x14ac:dyDescent="0.25">
      <c r="A14" s="10" t="s">
        <v>98</v>
      </c>
      <c r="B14" s="10" t="s">
        <v>99</v>
      </c>
      <c r="C14" s="10">
        <v>1</v>
      </c>
      <c r="D14" s="10" t="s">
        <v>5042</v>
      </c>
      <c r="E14" s="10" t="s">
        <v>5017</v>
      </c>
      <c r="F14" s="11"/>
      <c r="G14" s="46" t="s">
        <v>5043</v>
      </c>
      <c r="H14" s="10" t="s">
        <v>5042</v>
      </c>
    </row>
    <row r="15" spans="1:8" x14ac:dyDescent="0.25">
      <c r="A15" s="10" t="s">
        <v>101</v>
      </c>
      <c r="B15" s="10" t="s">
        <v>102</v>
      </c>
      <c r="C15" s="10">
        <v>1</v>
      </c>
      <c r="D15" s="10" t="s">
        <v>5042</v>
      </c>
      <c r="E15" s="10" t="s">
        <v>5018</v>
      </c>
      <c r="F15" s="11"/>
      <c r="G15" s="46" t="s">
        <v>5043</v>
      </c>
      <c r="H15" s="10" t="s">
        <v>5042</v>
      </c>
    </row>
    <row r="16" spans="1:8" x14ac:dyDescent="0.25">
      <c r="A16" s="10" t="s">
        <v>104</v>
      </c>
      <c r="B16" s="10" t="s">
        <v>105</v>
      </c>
      <c r="C16" s="10">
        <v>1</v>
      </c>
      <c r="D16" s="10" t="s">
        <v>5042</v>
      </c>
      <c r="E16" s="10" t="s">
        <v>5019</v>
      </c>
      <c r="F16" s="11"/>
      <c r="G16" s="46" t="s">
        <v>5043</v>
      </c>
      <c r="H16" s="10" t="s">
        <v>5042</v>
      </c>
    </row>
    <row r="17" spans="1:8" x14ac:dyDescent="0.25">
      <c r="A17" s="10" t="s">
        <v>107</v>
      </c>
      <c r="B17" s="10" t="s">
        <v>108</v>
      </c>
      <c r="C17" s="10">
        <v>1</v>
      </c>
      <c r="D17" s="10" t="s">
        <v>5042</v>
      </c>
      <c r="E17" s="10" t="s">
        <v>5020</v>
      </c>
      <c r="F17" s="11"/>
      <c r="G17" s="46" t="s">
        <v>5043</v>
      </c>
      <c r="H17" s="10" t="s">
        <v>5042</v>
      </c>
    </row>
    <row r="18" spans="1:8" x14ac:dyDescent="0.25">
      <c r="A18" s="10" t="s">
        <v>110</v>
      </c>
      <c r="B18" s="10" t="s">
        <v>111</v>
      </c>
      <c r="C18" s="10">
        <v>1</v>
      </c>
      <c r="D18" s="10" t="s">
        <v>5042</v>
      </c>
      <c r="E18" s="10" t="s">
        <v>5021</v>
      </c>
      <c r="F18" s="11"/>
      <c r="G18" s="46" t="s">
        <v>5043</v>
      </c>
      <c r="H18" s="10" t="s">
        <v>5042</v>
      </c>
    </row>
    <row r="19" spans="1:8" x14ac:dyDescent="0.25">
      <c r="A19" s="10" t="s">
        <v>113</v>
      </c>
      <c r="B19" s="10" t="s">
        <v>114</v>
      </c>
      <c r="C19" s="10">
        <v>1</v>
      </c>
      <c r="D19" s="10" t="s">
        <v>5042</v>
      </c>
      <c r="E19" s="10" t="s">
        <v>5022</v>
      </c>
      <c r="F19" s="11"/>
      <c r="G19" s="46" t="s">
        <v>5043</v>
      </c>
      <c r="H19" s="10" t="s">
        <v>5042</v>
      </c>
    </row>
    <row r="20" spans="1:8" x14ac:dyDescent="0.25">
      <c r="A20" s="10" t="s">
        <v>116</v>
      </c>
      <c r="B20" s="10" t="s">
        <v>117</v>
      </c>
      <c r="C20" s="10">
        <v>1</v>
      </c>
      <c r="D20" s="10" t="s">
        <v>5042</v>
      </c>
      <c r="E20" s="10" t="s">
        <v>5023</v>
      </c>
      <c r="F20" s="11"/>
      <c r="G20" s="46" t="s">
        <v>5043</v>
      </c>
      <c r="H20" s="10" t="s">
        <v>5042</v>
      </c>
    </row>
    <row r="21" spans="1:8" x14ac:dyDescent="0.25">
      <c r="A21" s="10" t="s">
        <v>119</v>
      </c>
      <c r="B21" s="10" t="s">
        <v>120</v>
      </c>
      <c r="C21" s="10">
        <v>1</v>
      </c>
      <c r="D21" s="10" t="s">
        <v>5042</v>
      </c>
      <c r="E21" s="10" t="s">
        <v>5024</v>
      </c>
      <c r="F21" s="10"/>
      <c r="G21" s="46" t="s">
        <v>5043</v>
      </c>
      <c r="H21" s="10" t="s">
        <v>5042</v>
      </c>
    </row>
    <row r="22" spans="1:8" x14ac:dyDescent="0.25">
      <c r="A22" s="10" t="s">
        <v>122</v>
      </c>
      <c r="B22" s="10" t="s">
        <v>123</v>
      </c>
      <c r="C22" s="10">
        <v>1</v>
      </c>
      <c r="D22" s="10" t="s">
        <v>5042</v>
      </c>
      <c r="E22" s="10" t="s">
        <v>5025</v>
      </c>
      <c r="F22" s="11"/>
      <c r="G22" s="46" t="s">
        <v>5043</v>
      </c>
      <c r="H22" s="10" t="s">
        <v>5042</v>
      </c>
    </row>
    <row r="23" spans="1:8" x14ac:dyDescent="0.25">
      <c r="A23" s="10" t="s">
        <v>125</v>
      </c>
      <c r="B23" s="10" t="s">
        <v>126</v>
      </c>
      <c r="C23" s="10">
        <v>1</v>
      </c>
      <c r="D23" s="10" t="s">
        <v>5042</v>
      </c>
      <c r="E23" s="10" t="s">
        <v>5026</v>
      </c>
      <c r="F23" s="11"/>
      <c r="G23" s="46" t="s">
        <v>5043</v>
      </c>
      <c r="H23" s="10" t="s">
        <v>5042</v>
      </c>
    </row>
    <row r="24" spans="1:8" x14ac:dyDescent="0.25">
      <c r="A24" s="10" t="s">
        <v>128</v>
      </c>
      <c r="B24" s="10" t="s">
        <v>129</v>
      </c>
      <c r="C24" s="10">
        <v>1</v>
      </c>
      <c r="D24" s="10" t="s">
        <v>5042</v>
      </c>
      <c r="E24" s="10" t="s">
        <v>5027</v>
      </c>
      <c r="F24" s="11"/>
      <c r="G24" s="46" t="s">
        <v>5043</v>
      </c>
      <c r="H24" s="10" t="s">
        <v>5042</v>
      </c>
    </row>
    <row r="25" spans="1:8" x14ac:dyDescent="0.25">
      <c r="A25" s="10" t="s">
        <v>131</v>
      </c>
      <c r="B25" s="10" t="s">
        <v>132</v>
      </c>
      <c r="C25" s="10">
        <v>1</v>
      </c>
      <c r="D25" s="10" t="s">
        <v>5042</v>
      </c>
      <c r="E25" s="10" t="s">
        <v>5028</v>
      </c>
      <c r="F25" s="10"/>
      <c r="G25" s="46" t="s">
        <v>5043</v>
      </c>
      <c r="H25" s="10" t="s">
        <v>5042</v>
      </c>
    </row>
    <row r="26" spans="1:8" x14ac:dyDescent="0.25">
      <c r="A26" s="10" t="s">
        <v>134</v>
      </c>
      <c r="B26" s="10" t="s">
        <v>135</v>
      </c>
      <c r="C26" s="10">
        <v>1</v>
      </c>
      <c r="D26" s="10" t="s">
        <v>5042</v>
      </c>
      <c r="E26" s="10" t="s">
        <v>5029</v>
      </c>
      <c r="F26" s="10"/>
      <c r="G26" s="46" t="s">
        <v>5043</v>
      </c>
      <c r="H26" s="10" t="s">
        <v>5042</v>
      </c>
    </row>
    <row r="27" spans="1:8" x14ac:dyDescent="0.25">
      <c r="A27" s="10" t="s">
        <v>137</v>
      </c>
      <c r="B27" s="10" t="s">
        <v>138</v>
      </c>
      <c r="C27" s="10">
        <v>1</v>
      </c>
      <c r="D27" s="10" t="s">
        <v>5042</v>
      </c>
      <c r="E27" s="10" t="s">
        <v>5030</v>
      </c>
      <c r="F27" s="10"/>
      <c r="G27" s="46" t="s">
        <v>5043</v>
      </c>
      <c r="H27" s="10" t="s">
        <v>5042</v>
      </c>
    </row>
    <row r="28" spans="1:8" x14ac:dyDescent="0.25">
      <c r="A28" s="10" t="s">
        <v>140</v>
      </c>
      <c r="B28" s="10" t="s">
        <v>141</v>
      </c>
      <c r="C28" s="10">
        <v>1</v>
      </c>
      <c r="D28" s="10" t="s">
        <v>5042</v>
      </c>
      <c r="E28" s="10" t="s">
        <v>5031</v>
      </c>
      <c r="F28" s="10"/>
      <c r="G28" s="46" t="s">
        <v>5043</v>
      </c>
      <c r="H28" s="10" t="s">
        <v>5042</v>
      </c>
    </row>
    <row r="29" spans="1:8" x14ac:dyDescent="0.25">
      <c r="A29" s="10" t="s">
        <v>143</v>
      </c>
      <c r="B29" s="10" t="s">
        <v>144</v>
      </c>
      <c r="C29" s="10">
        <v>1</v>
      </c>
      <c r="D29" s="10" t="s">
        <v>5042</v>
      </c>
      <c r="E29" s="10" t="s">
        <v>5032</v>
      </c>
      <c r="F29" s="10"/>
      <c r="G29" s="46" t="s">
        <v>5043</v>
      </c>
      <c r="H29" s="10" t="s">
        <v>5042</v>
      </c>
    </row>
    <row r="30" spans="1:8" x14ac:dyDescent="0.25">
      <c r="A30" s="10" t="s">
        <v>146</v>
      </c>
      <c r="B30" s="10" t="s">
        <v>147</v>
      </c>
      <c r="C30" s="10">
        <v>1</v>
      </c>
      <c r="D30" s="10" t="s">
        <v>5042</v>
      </c>
      <c r="E30" s="10" t="s">
        <v>5033</v>
      </c>
      <c r="F30" s="10"/>
      <c r="G30" s="46" t="s">
        <v>5043</v>
      </c>
      <c r="H30" s="10" t="s">
        <v>5042</v>
      </c>
    </row>
    <row r="31" spans="1:8" x14ac:dyDescent="0.25">
      <c r="A31" s="10" t="s">
        <v>149</v>
      </c>
      <c r="B31" s="10" t="s">
        <v>150</v>
      </c>
      <c r="C31" s="10">
        <v>1</v>
      </c>
      <c r="D31" s="10" t="s">
        <v>5042</v>
      </c>
      <c r="E31" s="10" t="s">
        <v>5034</v>
      </c>
      <c r="F31" s="10"/>
      <c r="G31" s="46" t="s">
        <v>5043</v>
      </c>
      <c r="H31" s="10" t="s">
        <v>5042</v>
      </c>
    </row>
    <row r="32" spans="1:8" x14ac:dyDescent="0.25">
      <c r="A32" s="10" t="s">
        <v>152</v>
      </c>
      <c r="B32" s="10" t="s">
        <v>153</v>
      </c>
      <c r="C32" s="10">
        <v>1</v>
      </c>
      <c r="D32" s="10" t="s">
        <v>5042</v>
      </c>
      <c r="E32" s="10" t="s">
        <v>5035</v>
      </c>
      <c r="F32" s="10"/>
      <c r="G32" s="46" t="s">
        <v>5043</v>
      </c>
      <c r="H32" s="10" t="s">
        <v>5042</v>
      </c>
    </row>
    <row r="33" spans="1:8" x14ac:dyDescent="0.25">
      <c r="A33" s="10" t="s">
        <v>155</v>
      </c>
      <c r="B33" s="10" t="s">
        <v>156</v>
      </c>
      <c r="C33" s="10">
        <v>1</v>
      </c>
      <c r="D33" s="10" t="s">
        <v>5042</v>
      </c>
      <c r="E33" s="10" t="s">
        <v>5036</v>
      </c>
      <c r="F33" s="10">
        <v>6.8499999999999995E-4</v>
      </c>
      <c r="G33" s="46" t="s">
        <v>5043</v>
      </c>
      <c r="H33" s="10" t="s">
        <v>5042</v>
      </c>
    </row>
    <row r="34" spans="1:8" x14ac:dyDescent="0.25">
      <c r="A34" s="10" t="s">
        <v>158</v>
      </c>
      <c r="B34" s="10" t="s">
        <v>159</v>
      </c>
      <c r="C34" s="10">
        <v>1</v>
      </c>
      <c r="D34" s="10" t="s">
        <v>5042</v>
      </c>
      <c r="E34" s="10" t="s">
        <v>5037</v>
      </c>
      <c r="F34" s="11"/>
      <c r="G34" s="46" t="s">
        <v>5043</v>
      </c>
      <c r="H34" s="10" t="s">
        <v>5042</v>
      </c>
    </row>
    <row r="35" spans="1:8" x14ac:dyDescent="0.25">
      <c r="A35" s="10" t="s">
        <v>161</v>
      </c>
      <c r="B35" s="10" t="s">
        <v>162</v>
      </c>
      <c r="C35" s="10">
        <v>1</v>
      </c>
      <c r="D35" s="10" t="s">
        <v>5042</v>
      </c>
      <c r="E35" s="10" t="s">
        <v>5038</v>
      </c>
      <c r="F35" s="10"/>
      <c r="G35" s="46" t="s">
        <v>5043</v>
      </c>
      <c r="H35" s="10" t="s">
        <v>5042</v>
      </c>
    </row>
    <row r="36" spans="1:8" x14ac:dyDescent="0.25">
      <c r="A36" s="10" t="s">
        <v>164</v>
      </c>
      <c r="B36" s="10" t="s">
        <v>165</v>
      </c>
      <c r="C36" s="10">
        <v>1</v>
      </c>
      <c r="D36" s="10" t="s">
        <v>5042</v>
      </c>
      <c r="E36" s="10" t="s">
        <v>5039</v>
      </c>
      <c r="F36" s="10"/>
      <c r="G36" s="46" t="s">
        <v>5043</v>
      </c>
      <c r="H36" s="10" t="s">
        <v>5042</v>
      </c>
    </row>
    <row r="37" spans="1:8" x14ac:dyDescent="0.25">
      <c r="A37" s="10" t="s">
        <v>167</v>
      </c>
      <c r="B37" s="10" t="s">
        <v>168</v>
      </c>
      <c r="C37" s="10">
        <v>1</v>
      </c>
      <c r="D37" s="10" t="s">
        <v>5042</v>
      </c>
      <c r="E37" s="10" t="s">
        <v>5040</v>
      </c>
      <c r="F37" s="10"/>
      <c r="G37" s="46" t="s">
        <v>5043</v>
      </c>
      <c r="H37" s="10" t="s">
        <v>5042</v>
      </c>
    </row>
    <row r="38" spans="1:8" x14ac:dyDescent="0.25">
      <c r="A38" s="10" t="s">
        <v>170</v>
      </c>
      <c r="B38" s="10" t="s">
        <v>171</v>
      </c>
      <c r="C38" s="10">
        <v>1</v>
      </c>
      <c r="D38" s="10" t="s">
        <v>5042</v>
      </c>
      <c r="E38" s="10" t="s">
        <v>5041</v>
      </c>
      <c r="F38" s="10">
        <v>0</v>
      </c>
      <c r="G38" s="46" t="s">
        <v>5043</v>
      </c>
      <c r="H38" s="10" t="s">
        <v>5042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EA68-3A87-42BC-BDB1-B9FFAAE72E7B}">
  <dimension ref="A1:I19"/>
  <sheetViews>
    <sheetView workbookViewId="0">
      <selection activeCell="I21" sqref="I21"/>
    </sheetView>
  </sheetViews>
  <sheetFormatPr defaultRowHeight="15" x14ac:dyDescent="0.25"/>
  <cols>
    <col min="1" max="1" width="18.42578125" bestFit="1" customWidth="1"/>
    <col min="2" max="2" width="26.5703125" bestFit="1" customWidth="1"/>
    <col min="3" max="3" width="8.42578125" customWidth="1"/>
    <col min="4" max="4" width="73.42578125" customWidth="1"/>
    <col min="5" max="5" width="14.85546875" customWidth="1"/>
    <col min="6" max="6" width="10.85546875" bestFit="1" customWidth="1"/>
    <col min="7" max="7" width="10.42578125" bestFit="1" customWidth="1"/>
    <col min="8" max="8" width="61.140625" customWidth="1"/>
    <col min="9" max="9" width="57" customWidth="1"/>
  </cols>
  <sheetData>
    <row r="1" spans="1:9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spans="1:9" ht="30" x14ac:dyDescent="0.25">
      <c r="A2" s="34" t="s">
        <v>3461</v>
      </c>
      <c r="B2" s="20" t="s">
        <v>10</v>
      </c>
      <c r="C2" s="20">
        <v>3</v>
      </c>
      <c r="D2" s="20" t="s">
        <v>2895</v>
      </c>
      <c r="E2" s="20" t="s">
        <v>3462</v>
      </c>
      <c r="F2" s="20">
        <v>1.2999999999999999E-4</v>
      </c>
      <c r="G2" s="20" t="s">
        <v>50</v>
      </c>
      <c r="H2" s="34" t="s">
        <v>3471</v>
      </c>
      <c r="I2" s="20" t="s">
        <v>2895</v>
      </c>
    </row>
    <row r="3" spans="1:9" ht="30" x14ac:dyDescent="0.25">
      <c r="A3" s="34" t="s">
        <v>15</v>
      </c>
      <c r="B3" s="20" t="s">
        <v>15</v>
      </c>
      <c r="C3" s="20">
        <v>3</v>
      </c>
      <c r="D3" s="20" t="s">
        <v>2895</v>
      </c>
      <c r="E3" s="20" t="s">
        <v>3463</v>
      </c>
      <c r="F3" s="20">
        <v>1.4999999999999999E-4</v>
      </c>
      <c r="G3" s="20" t="s">
        <v>50</v>
      </c>
      <c r="H3" s="34" t="s">
        <v>3471</v>
      </c>
      <c r="I3" s="20" t="s">
        <v>2895</v>
      </c>
    </row>
    <row r="4" spans="1:9" ht="30" x14ac:dyDescent="0.25">
      <c r="A4" s="34" t="s">
        <v>17</v>
      </c>
      <c r="B4" s="20" t="s">
        <v>17</v>
      </c>
      <c r="C4" s="20">
        <v>3</v>
      </c>
      <c r="D4" s="20" t="s">
        <v>2895</v>
      </c>
      <c r="E4" s="20" t="s">
        <v>3464</v>
      </c>
      <c r="F4" s="20">
        <v>1.7000000000000001E-4</v>
      </c>
      <c r="G4" s="20" t="s">
        <v>50</v>
      </c>
      <c r="H4" s="34" t="s">
        <v>3471</v>
      </c>
      <c r="I4" s="20" t="s">
        <v>2895</v>
      </c>
    </row>
    <row r="5" spans="1:9" ht="30" x14ac:dyDescent="0.25">
      <c r="A5" s="34" t="s">
        <v>73</v>
      </c>
      <c r="B5" s="20" t="s">
        <v>19</v>
      </c>
      <c r="C5" s="20">
        <v>3</v>
      </c>
      <c r="D5" s="20" t="s">
        <v>2895</v>
      </c>
      <c r="E5" s="20" t="s">
        <v>3465</v>
      </c>
      <c r="F5" s="20">
        <v>2.2000000000000001E-4</v>
      </c>
      <c r="G5" s="20" t="s">
        <v>50</v>
      </c>
      <c r="H5" s="34" t="s">
        <v>3471</v>
      </c>
      <c r="I5" s="20" t="s">
        <v>2895</v>
      </c>
    </row>
    <row r="6" spans="1:9" ht="30" x14ac:dyDescent="0.25">
      <c r="A6" s="34" t="s">
        <v>21</v>
      </c>
      <c r="B6" s="20" t="s">
        <v>21</v>
      </c>
      <c r="C6" s="20">
        <v>3</v>
      </c>
      <c r="D6" s="20" t="s">
        <v>2895</v>
      </c>
      <c r="E6" s="20" t="s">
        <v>3466</v>
      </c>
      <c r="F6" s="20">
        <v>1.8000000000000001E-4</v>
      </c>
      <c r="G6" s="20" t="s">
        <v>50</v>
      </c>
      <c r="H6" s="34" t="s">
        <v>3471</v>
      </c>
      <c r="I6" s="20" t="s">
        <v>2895</v>
      </c>
    </row>
    <row r="7" spans="1:9" ht="30" x14ac:dyDescent="0.25">
      <c r="A7" s="34" t="s">
        <v>23</v>
      </c>
      <c r="B7" s="20" t="s">
        <v>23</v>
      </c>
      <c r="C7" s="20">
        <v>3</v>
      </c>
      <c r="D7" s="20" t="s">
        <v>2895</v>
      </c>
      <c r="E7" s="20" t="s">
        <v>3467</v>
      </c>
      <c r="F7" s="20">
        <v>2.1000000000000001E-4</v>
      </c>
      <c r="G7" s="20" t="s">
        <v>50</v>
      </c>
      <c r="H7" s="34" t="s">
        <v>3471</v>
      </c>
      <c r="I7" s="20" t="s">
        <v>2895</v>
      </c>
    </row>
    <row r="8" spans="1:9" ht="30" x14ac:dyDescent="0.25">
      <c r="A8" s="6" t="s">
        <v>2902</v>
      </c>
      <c r="B8" s="20" t="s">
        <v>2902</v>
      </c>
      <c r="C8" s="20">
        <v>3</v>
      </c>
      <c r="D8" s="20" t="s">
        <v>2895</v>
      </c>
      <c r="E8" s="20" t="s">
        <v>3468</v>
      </c>
      <c r="F8" s="20">
        <v>2.3000000000000001E-4</v>
      </c>
      <c r="G8" s="20" t="s">
        <v>50</v>
      </c>
      <c r="H8" s="34" t="s">
        <v>3471</v>
      </c>
      <c r="I8" s="20" t="s">
        <v>2895</v>
      </c>
    </row>
    <row r="9" spans="1:9" ht="30" x14ac:dyDescent="0.25">
      <c r="A9" s="20" t="s">
        <v>64</v>
      </c>
      <c r="B9" s="20" t="s">
        <v>64</v>
      </c>
      <c r="C9" s="20">
        <v>3</v>
      </c>
      <c r="D9" s="20" t="s">
        <v>2895</v>
      </c>
      <c r="E9" s="20" t="s">
        <v>3469</v>
      </c>
      <c r="F9" s="20">
        <v>1E-4</v>
      </c>
      <c r="G9" s="20" t="s">
        <v>50</v>
      </c>
      <c r="H9" s="34" t="s">
        <v>3471</v>
      </c>
      <c r="I9" s="20" t="s">
        <v>2895</v>
      </c>
    </row>
    <row r="10" spans="1:9" ht="30" x14ac:dyDescent="0.25">
      <c r="A10" s="6" t="s">
        <v>2905</v>
      </c>
      <c r="B10" s="20" t="s">
        <v>64</v>
      </c>
      <c r="C10" s="20">
        <v>3</v>
      </c>
      <c r="D10" s="20" t="s">
        <v>2895</v>
      </c>
      <c r="E10" s="20" t="s">
        <v>3470</v>
      </c>
      <c r="F10" s="20">
        <v>1.435E-5</v>
      </c>
      <c r="G10" s="20" t="s">
        <v>50</v>
      </c>
      <c r="H10" s="34" t="s">
        <v>3471</v>
      </c>
      <c r="I10" s="20" t="s">
        <v>2895</v>
      </c>
    </row>
    <row r="11" spans="1:9" ht="30" x14ac:dyDescent="0.25">
      <c r="A11" t="s">
        <v>3629</v>
      </c>
      <c r="B11" t="s">
        <v>3629</v>
      </c>
      <c r="C11" s="38">
        <v>3</v>
      </c>
      <c r="D11" s="20" t="s">
        <v>2895</v>
      </c>
      <c r="E11" s="20" t="s">
        <v>3630</v>
      </c>
      <c r="F11" s="20">
        <v>2.1000000000000001E-4</v>
      </c>
      <c r="G11" s="20" t="s">
        <v>50</v>
      </c>
      <c r="H11" s="34" t="s">
        <v>3471</v>
      </c>
      <c r="I11" s="20" t="s">
        <v>2895</v>
      </c>
    </row>
    <row r="19" ht="18.600000000000001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4BF4-BB58-47F2-A914-85CC7188A1B6}">
  <dimension ref="A1:J20"/>
  <sheetViews>
    <sheetView workbookViewId="0">
      <selection activeCell="F33" sqref="F33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6.140625" bestFit="1" customWidth="1"/>
    <col min="4" max="4" width="54" customWidth="1"/>
    <col min="5" max="5" width="7.85546875" bestFit="1" customWidth="1"/>
    <col min="6" max="6" width="115.42578125" customWidth="1"/>
    <col min="7" max="7" width="10.5703125" bestFit="1" customWidth="1"/>
    <col min="8" max="8" width="31.85546875" bestFit="1" customWidth="1"/>
    <col min="9" max="9" width="80.42578125" customWidth="1"/>
    <col min="10" max="10" width="14.4257812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2" t="s">
        <v>173</v>
      </c>
    </row>
    <row r="2" spans="1:10" x14ac:dyDescent="0.25">
      <c r="A2" s="6" t="s">
        <v>174</v>
      </c>
      <c r="B2" s="6" t="s">
        <v>174</v>
      </c>
      <c r="C2" s="6">
        <v>3</v>
      </c>
      <c r="D2" s="6" t="s">
        <v>2907</v>
      </c>
      <c r="E2" s="19" t="s">
        <v>2908</v>
      </c>
      <c r="F2" s="6">
        <v>1.8E-5</v>
      </c>
      <c r="G2" s="6" t="s">
        <v>177</v>
      </c>
      <c r="H2" s="6" t="s">
        <v>5791</v>
      </c>
      <c r="I2" s="6" t="s">
        <v>2907</v>
      </c>
      <c r="J2" s="6" t="s">
        <v>174</v>
      </c>
    </row>
    <row r="3" spans="1:10" x14ac:dyDescent="0.25">
      <c r="A3" s="6" t="s">
        <v>180</v>
      </c>
      <c r="B3" s="6" t="s">
        <v>180</v>
      </c>
      <c r="C3" s="6">
        <v>3</v>
      </c>
      <c r="D3" s="6" t="s">
        <v>2907</v>
      </c>
      <c r="E3" s="19" t="s">
        <v>2909</v>
      </c>
      <c r="F3" s="6">
        <v>2.5000000000000001E-5</v>
      </c>
      <c r="G3" s="6" t="s">
        <v>182</v>
      </c>
      <c r="H3" s="6" t="s">
        <v>5792</v>
      </c>
      <c r="I3" s="6" t="s">
        <v>2907</v>
      </c>
      <c r="J3" s="6" t="s">
        <v>180</v>
      </c>
    </row>
    <row r="4" spans="1:10" x14ac:dyDescent="0.25">
      <c r="A4" s="6" t="s">
        <v>185</v>
      </c>
      <c r="B4" s="6" t="s">
        <v>185</v>
      </c>
      <c r="C4" s="6">
        <v>3</v>
      </c>
      <c r="D4" s="6" t="s">
        <v>2907</v>
      </c>
      <c r="E4" s="19" t="s">
        <v>2910</v>
      </c>
      <c r="F4" s="6">
        <v>2.1999999999999999E-5</v>
      </c>
      <c r="G4" s="6" t="s">
        <v>182</v>
      </c>
      <c r="H4" s="6" t="s">
        <v>5793</v>
      </c>
      <c r="I4" s="6" t="s">
        <v>2907</v>
      </c>
      <c r="J4" s="6" t="s">
        <v>187</v>
      </c>
    </row>
    <row r="5" spans="1:10" x14ac:dyDescent="0.25">
      <c r="A5" s="6" t="s">
        <v>188</v>
      </c>
      <c r="B5" s="6" t="s">
        <v>188</v>
      </c>
      <c r="C5" s="6">
        <v>3</v>
      </c>
      <c r="D5" s="6" t="s">
        <v>2907</v>
      </c>
      <c r="E5" s="19" t="s">
        <v>2911</v>
      </c>
      <c r="F5" s="6">
        <v>1.5E-5</v>
      </c>
      <c r="G5" s="6" t="s">
        <v>177</v>
      </c>
      <c r="H5" s="6" t="s">
        <v>5794</v>
      </c>
      <c r="I5" s="6" t="s">
        <v>2907</v>
      </c>
      <c r="J5" s="6" t="s">
        <v>188</v>
      </c>
    </row>
    <row r="6" spans="1:10" x14ac:dyDescent="0.25">
      <c r="A6" s="6" t="s">
        <v>190</v>
      </c>
      <c r="B6" s="6" t="s">
        <v>190</v>
      </c>
      <c r="C6" s="6">
        <v>3</v>
      </c>
      <c r="D6" s="6" t="s">
        <v>2907</v>
      </c>
      <c r="E6" s="19" t="s">
        <v>2912</v>
      </c>
      <c r="F6" s="6">
        <v>1.2E-5</v>
      </c>
      <c r="G6" s="6" t="s">
        <v>177</v>
      </c>
      <c r="H6" s="6" t="s">
        <v>5795</v>
      </c>
      <c r="I6" s="6" t="s">
        <v>2907</v>
      </c>
      <c r="J6" s="6" t="s">
        <v>190</v>
      </c>
    </row>
    <row r="7" spans="1:10" x14ac:dyDescent="0.25">
      <c r="A7" s="6" t="s">
        <v>192</v>
      </c>
      <c r="B7" s="6" t="s">
        <v>192</v>
      </c>
      <c r="C7" s="6">
        <v>3</v>
      </c>
      <c r="D7" s="6" t="s">
        <v>2907</v>
      </c>
      <c r="E7" s="19" t="s">
        <v>2913</v>
      </c>
      <c r="F7" s="6">
        <v>2.8E-5</v>
      </c>
      <c r="G7" s="6" t="s">
        <v>177</v>
      </c>
      <c r="H7" s="6" t="s">
        <v>5796</v>
      </c>
      <c r="I7" s="6" t="s">
        <v>2907</v>
      </c>
      <c r="J7" s="6" t="s">
        <v>192</v>
      </c>
    </row>
    <row r="8" spans="1:10" x14ac:dyDescent="0.25">
      <c r="A8" s="6" t="s">
        <v>195</v>
      </c>
      <c r="B8" s="6" t="s">
        <v>195</v>
      </c>
      <c r="C8" s="6">
        <v>3</v>
      </c>
      <c r="D8" s="6" t="s">
        <v>2907</v>
      </c>
      <c r="E8" s="19" t="s">
        <v>2914</v>
      </c>
      <c r="F8" s="6">
        <v>3.4999999999999997E-5</v>
      </c>
      <c r="G8" s="6" t="s">
        <v>182</v>
      </c>
      <c r="H8" s="6" t="s">
        <v>5797</v>
      </c>
      <c r="I8" s="6" t="s">
        <v>2907</v>
      </c>
      <c r="J8" s="6" t="s">
        <v>195</v>
      </c>
    </row>
    <row r="9" spans="1:10" x14ac:dyDescent="0.25">
      <c r="A9" s="6" t="s">
        <v>2915</v>
      </c>
      <c r="B9" s="6" t="s">
        <v>2915</v>
      </c>
      <c r="C9" s="6">
        <v>3</v>
      </c>
      <c r="D9" s="6" t="s">
        <v>2907</v>
      </c>
      <c r="E9" s="19" t="s">
        <v>2916</v>
      </c>
      <c r="F9" s="6">
        <v>3.1999999999999999E-5</v>
      </c>
      <c r="G9" s="6" t="s">
        <v>177</v>
      </c>
      <c r="H9" s="6" t="s">
        <v>5798</v>
      </c>
      <c r="I9" s="6" t="s">
        <v>2907</v>
      </c>
      <c r="J9" s="6" t="s">
        <v>2915</v>
      </c>
    </row>
    <row r="10" spans="1:10" x14ac:dyDescent="0.25">
      <c r="A10" s="6" t="s">
        <v>197</v>
      </c>
      <c r="B10" s="6" t="s">
        <v>197</v>
      </c>
      <c r="C10" s="6">
        <v>3</v>
      </c>
      <c r="D10" s="6" t="s">
        <v>2907</v>
      </c>
      <c r="E10" s="19" t="s">
        <v>2917</v>
      </c>
      <c r="F10" s="6">
        <v>5.0000000000000004E-6</v>
      </c>
      <c r="G10" s="6" t="s">
        <v>177</v>
      </c>
      <c r="H10" s="6" t="s">
        <v>5799</v>
      </c>
      <c r="I10" s="6" t="s">
        <v>2907</v>
      </c>
      <c r="J10" s="6" t="s">
        <v>197</v>
      </c>
    </row>
    <row r="11" spans="1:10" x14ac:dyDescent="0.25">
      <c r="A11" s="6" t="s">
        <v>199</v>
      </c>
      <c r="B11" s="6" t="s">
        <v>199</v>
      </c>
      <c r="C11" s="6">
        <v>3</v>
      </c>
      <c r="D11" s="6" t="s">
        <v>2907</v>
      </c>
      <c r="E11" s="19" t="s">
        <v>2918</v>
      </c>
      <c r="F11" s="6">
        <v>9.5000000000000005E-5</v>
      </c>
      <c r="G11" s="6" t="s">
        <v>182</v>
      </c>
      <c r="H11" s="6" t="s">
        <v>5800</v>
      </c>
      <c r="I11" s="6" t="s">
        <v>2907</v>
      </c>
      <c r="J11" s="6" t="s">
        <v>199</v>
      </c>
    </row>
    <row r="12" spans="1:10" x14ac:dyDescent="0.25">
      <c r="A12" s="6" t="s">
        <v>201</v>
      </c>
      <c r="B12" s="6" t="s">
        <v>201</v>
      </c>
      <c r="C12" s="6">
        <v>3</v>
      </c>
      <c r="D12" s="6" t="s">
        <v>2907</v>
      </c>
      <c r="E12" s="19" t="s">
        <v>2919</v>
      </c>
      <c r="F12" s="6">
        <v>2.4000000000000001E-5</v>
      </c>
      <c r="G12" s="6" t="s">
        <v>177</v>
      </c>
      <c r="H12" s="6" t="s">
        <v>5801</v>
      </c>
      <c r="I12" s="6" t="s">
        <v>2907</v>
      </c>
      <c r="J12" s="6" t="s">
        <v>201</v>
      </c>
    </row>
    <row r="13" spans="1:10" x14ac:dyDescent="0.25">
      <c r="A13" s="6" t="s">
        <v>203</v>
      </c>
      <c r="B13" s="6" t="s">
        <v>203</v>
      </c>
      <c r="C13" s="6">
        <v>3</v>
      </c>
      <c r="D13" s="6" t="s">
        <v>2907</v>
      </c>
      <c r="E13" s="19" t="s">
        <v>2920</v>
      </c>
      <c r="F13" s="6">
        <v>2.6999999999999999E-5</v>
      </c>
      <c r="G13" s="6" t="s">
        <v>177</v>
      </c>
      <c r="H13" s="6" t="s">
        <v>5802</v>
      </c>
      <c r="I13" s="6" t="s">
        <v>2907</v>
      </c>
      <c r="J13" s="6" t="s">
        <v>203</v>
      </c>
    </row>
    <row r="14" spans="1:10" x14ac:dyDescent="0.25">
      <c r="A14" s="6" t="s">
        <v>209</v>
      </c>
      <c r="B14" s="6" t="s">
        <v>206</v>
      </c>
      <c r="C14" s="6">
        <v>3</v>
      </c>
      <c r="D14" s="6" t="s">
        <v>2907</v>
      </c>
      <c r="E14" s="19" t="s">
        <v>2921</v>
      </c>
      <c r="F14" s="6">
        <v>1.5999999999999999E-5</v>
      </c>
      <c r="G14" s="6" t="s">
        <v>177</v>
      </c>
      <c r="H14" s="6" t="s">
        <v>5803</v>
      </c>
      <c r="I14" s="6" t="s">
        <v>2907</v>
      </c>
      <c r="J14" s="6" t="s">
        <v>209</v>
      </c>
    </row>
    <row r="15" spans="1:10" x14ac:dyDescent="0.25">
      <c r="A15" s="6" t="s">
        <v>210</v>
      </c>
      <c r="B15" s="6" t="s">
        <v>210</v>
      </c>
      <c r="C15" s="6">
        <v>3</v>
      </c>
      <c r="D15" s="6" t="s">
        <v>2907</v>
      </c>
      <c r="E15" s="19" t="s">
        <v>2922</v>
      </c>
      <c r="F15" s="6">
        <v>7.9999999999999996E-6</v>
      </c>
      <c r="G15" s="6" t="s">
        <v>177</v>
      </c>
      <c r="H15" s="6" t="s">
        <v>5804</v>
      </c>
      <c r="I15" s="6" t="s">
        <v>2907</v>
      </c>
      <c r="J15" s="6" t="s">
        <v>210</v>
      </c>
    </row>
    <row r="16" spans="1:10" x14ac:dyDescent="0.25">
      <c r="A16" s="6" t="s">
        <v>212</v>
      </c>
      <c r="B16" s="6" t="s">
        <v>212</v>
      </c>
      <c r="C16" s="6">
        <v>3</v>
      </c>
      <c r="D16" s="6" t="s">
        <v>2907</v>
      </c>
      <c r="E16" s="19" t="s">
        <v>2923</v>
      </c>
      <c r="F16" s="6">
        <v>2.0000000000000002E-5</v>
      </c>
      <c r="G16" s="6" t="s">
        <v>177</v>
      </c>
      <c r="H16" s="6" t="s">
        <v>5805</v>
      </c>
      <c r="I16" s="6" t="s">
        <v>2907</v>
      </c>
      <c r="J16" s="6" t="s">
        <v>212</v>
      </c>
    </row>
    <row r="17" spans="1:10" x14ac:dyDescent="0.25">
      <c r="A17" s="6" t="s">
        <v>216</v>
      </c>
      <c r="B17" s="6" t="s">
        <v>216</v>
      </c>
      <c r="C17" s="6">
        <v>3</v>
      </c>
      <c r="D17" s="6" t="s">
        <v>2907</v>
      </c>
      <c r="E17" s="19" t="s">
        <v>2924</v>
      </c>
      <c r="F17" s="6">
        <v>2.0999999999999999E-5</v>
      </c>
      <c r="G17" s="6" t="s">
        <v>177</v>
      </c>
      <c r="H17" s="6" t="s">
        <v>5806</v>
      </c>
      <c r="I17" s="6" t="s">
        <v>2907</v>
      </c>
      <c r="J17" s="6" t="s">
        <v>216</v>
      </c>
    </row>
    <row r="18" spans="1:10" x14ac:dyDescent="0.25">
      <c r="A18" s="6" t="s">
        <v>218</v>
      </c>
      <c r="B18" s="6" t="s">
        <v>218</v>
      </c>
      <c r="C18" s="6">
        <v>3</v>
      </c>
      <c r="D18" s="6" t="s">
        <v>2907</v>
      </c>
      <c r="E18" s="19" t="s">
        <v>2925</v>
      </c>
      <c r="F18" s="6">
        <v>1.4E-5</v>
      </c>
      <c r="G18" s="6" t="s">
        <v>177</v>
      </c>
      <c r="H18" s="6" t="s">
        <v>5807</v>
      </c>
      <c r="I18" s="6" t="s">
        <v>2907</v>
      </c>
      <c r="J18" s="6" t="s">
        <v>218</v>
      </c>
    </row>
    <row r="19" spans="1:10" x14ac:dyDescent="0.25">
      <c r="A19" s="6" t="s">
        <v>220</v>
      </c>
      <c r="B19" s="6" t="s">
        <v>220</v>
      </c>
      <c r="C19" s="6">
        <v>3</v>
      </c>
      <c r="D19" s="6" t="s">
        <v>2907</v>
      </c>
      <c r="E19" s="19" t="s">
        <v>2926</v>
      </c>
      <c r="F19" s="6">
        <v>1.0000000000000001E-5</v>
      </c>
      <c r="G19" s="6" t="s">
        <v>177</v>
      </c>
      <c r="H19" s="6" t="s">
        <v>5808</v>
      </c>
      <c r="I19" s="6" t="s">
        <v>2907</v>
      </c>
      <c r="J19" s="6" t="s">
        <v>220</v>
      </c>
    </row>
    <row r="20" spans="1:10" x14ac:dyDescent="0.25">
      <c r="A20" s="6" t="s">
        <v>227</v>
      </c>
      <c r="B20" s="6" t="s">
        <v>227</v>
      </c>
      <c r="C20" s="6">
        <v>3</v>
      </c>
      <c r="D20" s="6" t="s">
        <v>2907</v>
      </c>
      <c r="E20" s="19" t="s">
        <v>2927</v>
      </c>
      <c r="F20" s="6">
        <v>2.3E-5</v>
      </c>
      <c r="G20" s="6" t="s">
        <v>177</v>
      </c>
      <c r="H20" s="6" t="s">
        <v>5809</v>
      </c>
      <c r="I20" s="6" t="s">
        <v>2907</v>
      </c>
      <c r="J20" s="6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DD61-B4BE-4107-81BE-93E74D47A46A}">
  <dimension ref="A1:S66"/>
  <sheetViews>
    <sheetView zoomScale="110" zoomScaleNormal="110" workbookViewId="0">
      <selection activeCell="M12" sqref="M12"/>
    </sheetView>
  </sheetViews>
  <sheetFormatPr defaultRowHeight="15" x14ac:dyDescent="0.25"/>
  <cols>
    <col min="1" max="1" width="42" bestFit="1" customWidth="1"/>
    <col min="2" max="2" width="45" bestFit="1" customWidth="1"/>
    <col min="3" max="3" width="6" bestFit="1" customWidth="1"/>
    <col min="4" max="4" width="10.42578125" bestFit="1" customWidth="1"/>
    <col min="5" max="5" width="5" bestFit="1" customWidth="1"/>
    <col min="6" max="6" width="23.5703125" customWidth="1"/>
    <col min="7" max="7" width="20.140625" bestFit="1" customWidth="1"/>
    <col min="8" max="8" width="12.28515625" bestFit="1" customWidth="1"/>
    <col min="9" max="9" width="55.8554687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3108</v>
      </c>
      <c r="B2" s="6" t="s">
        <v>3109</v>
      </c>
      <c r="C2" s="6">
        <v>3</v>
      </c>
      <c r="D2" s="6"/>
      <c r="E2" s="6"/>
      <c r="F2" s="6">
        <v>1.06E-5</v>
      </c>
      <c r="G2" s="6" t="s">
        <v>3110</v>
      </c>
      <c r="H2" s="6" t="s">
        <v>3111</v>
      </c>
      <c r="I2" s="6" t="s">
        <v>3112</v>
      </c>
    </row>
    <row r="3" spans="1:9" x14ac:dyDescent="0.25">
      <c r="A3" s="6" t="s">
        <v>3113</v>
      </c>
      <c r="B3" s="6" t="s">
        <v>3114</v>
      </c>
      <c r="C3" s="6">
        <v>3</v>
      </c>
      <c r="D3" s="6"/>
      <c r="E3" s="6"/>
      <c r="F3" s="6">
        <v>5.2000000000000002E-6</v>
      </c>
      <c r="G3" s="6" t="s">
        <v>3110</v>
      </c>
      <c r="H3" s="6" t="s">
        <v>3111</v>
      </c>
      <c r="I3" s="6" t="s">
        <v>3112</v>
      </c>
    </row>
    <row r="4" spans="1:9" x14ac:dyDescent="0.25">
      <c r="A4" s="6" t="s">
        <v>3115</v>
      </c>
      <c r="B4" s="6" t="s">
        <v>3116</v>
      </c>
      <c r="C4" s="6">
        <v>3</v>
      </c>
      <c r="D4" s="6"/>
      <c r="E4" s="6"/>
      <c r="F4" s="6">
        <v>2.9E-5</v>
      </c>
      <c r="G4" s="6" t="s">
        <v>3110</v>
      </c>
      <c r="H4" s="6" t="s">
        <v>3111</v>
      </c>
      <c r="I4" s="6" t="s">
        <v>3112</v>
      </c>
    </row>
    <row r="5" spans="1:9" x14ac:dyDescent="0.25">
      <c r="A5" s="6" t="s">
        <v>3117</v>
      </c>
      <c r="B5" s="6" t="s">
        <v>3118</v>
      </c>
      <c r="C5" s="6">
        <v>3</v>
      </c>
      <c r="D5" s="6"/>
      <c r="E5" s="6"/>
      <c r="F5" s="6">
        <v>1.2E-5</v>
      </c>
      <c r="G5" s="6" t="s">
        <v>3110</v>
      </c>
      <c r="H5" s="6" t="s">
        <v>3111</v>
      </c>
      <c r="I5" s="6" t="s">
        <v>3112</v>
      </c>
    </row>
    <row r="6" spans="1:9" x14ac:dyDescent="0.25">
      <c r="A6" s="6" t="s">
        <v>3119</v>
      </c>
      <c r="B6" s="6" t="s">
        <v>3120</v>
      </c>
      <c r="C6" s="6">
        <v>3</v>
      </c>
      <c r="D6" s="6"/>
      <c r="E6" s="6"/>
      <c r="F6" s="6">
        <v>9.0000000000000002E-6</v>
      </c>
      <c r="G6" s="6" t="s">
        <v>3110</v>
      </c>
      <c r="H6" s="6" t="s">
        <v>3111</v>
      </c>
      <c r="I6" s="6" t="s">
        <v>3112</v>
      </c>
    </row>
    <row r="7" spans="1:9" x14ac:dyDescent="0.25">
      <c r="A7" s="6" t="s">
        <v>3121</v>
      </c>
      <c r="B7" s="6" t="s">
        <v>3122</v>
      </c>
      <c r="C7" s="6">
        <v>3</v>
      </c>
      <c r="D7" s="6"/>
      <c r="E7" s="6"/>
      <c r="F7" s="6">
        <v>2.4000000000000001E-5</v>
      </c>
      <c r="G7" s="6" t="s">
        <v>3110</v>
      </c>
      <c r="H7" s="6" t="s">
        <v>3111</v>
      </c>
      <c r="I7" s="6" t="s">
        <v>3112</v>
      </c>
    </row>
    <row r="8" spans="1:9" x14ac:dyDescent="0.25">
      <c r="A8" s="6" t="s">
        <v>3123</v>
      </c>
      <c r="B8" s="6" t="s">
        <v>3124</v>
      </c>
      <c r="C8" s="6">
        <v>3</v>
      </c>
      <c r="D8" s="6"/>
      <c r="E8" s="6"/>
      <c r="F8" s="6">
        <v>1.5999999999999999E-5</v>
      </c>
      <c r="G8" s="6" t="s">
        <v>3110</v>
      </c>
      <c r="H8" s="6" t="s">
        <v>3111</v>
      </c>
      <c r="I8" s="6" t="s">
        <v>3112</v>
      </c>
    </row>
    <row r="9" spans="1:9" x14ac:dyDescent="0.25">
      <c r="A9" s="6" t="s">
        <v>3125</v>
      </c>
      <c r="B9" s="6" t="s">
        <v>3126</v>
      </c>
      <c r="C9" s="6">
        <v>3</v>
      </c>
      <c r="D9" s="6"/>
      <c r="E9" s="6"/>
      <c r="F9" s="6">
        <v>2.0999999999999999E-5</v>
      </c>
      <c r="G9" s="6" t="s">
        <v>3110</v>
      </c>
      <c r="H9" s="6" t="s">
        <v>3111</v>
      </c>
      <c r="I9" s="6" t="s">
        <v>3112</v>
      </c>
    </row>
    <row r="10" spans="1:9" x14ac:dyDescent="0.25">
      <c r="A10" s="6" t="s">
        <v>3127</v>
      </c>
      <c r="B10" s="6" t="s">
        <v>3128</v>
      </c>
      <c r="C10" s="6">
        <v>3</v>
      </c>
      <c r="D10" s="6"/>
      <c r="E10" s="6"/>
      <c r="F10" s="6">
        <v>9.7000000000000005E-4</v>
      </c>
      <c r="G10" s="6" t="s">
        <v>3129</v>
      </c>
      <c r="H10" s="6" t="s">
        <v>3130</v>
      </c>
      <c r="I10" s="6" t="s">
        <v>3112</v>
      </c>
    </row>
    <row r="11" spans="1:9" x14ac:dyDescent="0.25">
      <c r="A11" s="6" t="s">
        <v>3131</v>
      </c>
      <c r="B11" s="6" t="s">
        <v>3132</v>
      </c>
      <c r="C11" s="6">
        <v>3</v>
      </c>
      <c r="D11" s="6"/>
      <c r="E11" s="6"/>
      <c r="F11" s="6">
        <v>1.5999999999999999E-5</v>
      </c>
      <c r="G11" s="6" t="s">
        <v>3129</v>
      </c>
      <c r="H11" s="6" t="s">
        <v>3130</v>
      </c>
      <c r="I11" s="6" t="s">
        <v>3112</v>
      </c>
    </row>
    <row r="12" spans="1:9" x14ac:dyDescent="0.25">
      <c r="A12" s="6" t="s">
        <v>3133</v>
      </c>
      <c r="B12" s="6" t="s">
        <v>3134</v>
      </c>
      <c r="C12" s="6">
        <v>3</v>
      </c>
      <c r="D12" s="6"/>
      <c r="E12" s="6"/>
      <c r="F12" s="6">
        <v>1.6200000000000001E-5</v>
      </c>
      <c r="G12" s="6" t="s">
        <v>3129</v>
      </c>
      <c r="H12" s="6" t="s">
        <v>3130</v>
      </c>
      <c r="I12" s="6" t="s">
        <v>3112</v>
      </c>
    </row>
    <row r="13" spans="1:9" x14ac:dyDescent="0.25">
      <c r="A13" s="6" t="s">
        <v>3135</v>
      </c>
      <c r="B13" s="6" t="s">
        <v>3136</v>
      </c>
      <c r="C13" s="6">
        <v>3</v>
      </c>
      <c r="D13" s="6"/>
      <c r="E13" s="6"/>
      <c r="F13" s="6">
        <v>7.6000000000000001E-6</v>
      </c>
      <c r="G13" s="6" t="s">
        <v>3129</v>
      </c>
      <c r="H13" s="6" t="s">
        <v>3130</v>
      </c>
      <c r="I13" s="6" t="s">
        <v>3112</v>
      </c>
    </row>
    <row r="14" spans="1:9" x14ac:dyDescent="0.25">
      <c r="A14" s="6" t="s">
        <v>3137</v>
      </c>
      <c r="B14" s="6" t="s">
        <v>3138</v>
      </c>
      <c r="C14" s="6">
        <v>3</v>
      </c>
      <c r="D14" s="6"/>
      <c r="E14" s="6"/>
      <c r="F14" s="6">
        <v>7.3999999999999999E-4</v>
      </c>
      <c r="G14" s="6" t="s">
        <v>3129</v>
      </c>
      <c r="H14" s="6" t="s">
        <v>3130</v>
      </c>
      <c r="I14" s="6" t="s">
        <v>3112</v>
      </c>
    </row>
    <row r="15" spans="1:9" x14ac:dyDescent="0.25">
      <c r="A15" s="6" t="s">
        <v>3139</v>
      </c>
      <c r="B15" s="6" t="s">
        <v>3140</v>
      </c>
      <c r="C15" s="6">
        <v>3</v>
      </c>
      <c r="D15" s="6"/>
      <c r="E15" s="6"/>
      <c r="F15" s="6">
        <v>2.4199999999999999E-5</v>
      </c>
      <c r="G15" s="6" t="s">
        <v>3129</v>
      </c>
      <c r="H15" s="6" t="s">
        <v>3130</v>
      </c>
      <c r="I15" s="6" t="s">
        <v>3112</v>
      </c>
    </row>
    <row r="16" spans="1:9" x14ac:dyDescent="0.25">
      <c r="A16" s="6" t="s">
        <v>3141</v>
      </c>
      <c r="B16" s="6" t="s">
        <v>3142</v>
      </c>
      <c r="C16" s="6">
        <v>3</v>
      </c>
      <c r="D16" s="6"/>
      <c r="E16" s="6"/>
      <c r="F16" s="6">
        <v>2.0999999999999999E-3</v>
      </c>
      <c r="G16" s="6" t="s">
        <v>3129</v>
      </c>
      <c r="H16" s="6" t="s">
        <v>3130</v>
      </c>
      <c r="I16" s="6" t="s">
        <v>3112</v>
      </c>
    </row>
    <row r="17" spans="1:9" x14ac:dyDescent="0.25">
      <c r="A17" s="6" t="s">
        <v>3143</v>
      </c>
      <c r="B17" s="6" t="s">
        <v>3144</v>
      </c>
      <c r="C17" s="6">
        <v>3</v>
      </c>
      <c r="D17" s="6"/>
      <c r="E17" s="6"/>
      <c r="F17" s="6">
        <v>2.1599999999999999E-4</v>
      </c>
      <c r="G17" s="6" t="s">
        <v>3129</v>
      </c>
      <c r="H17" s="6" t="s">
        <v>3130</v>
      </c>
      <c r="I17" s="6" t="s">
        <v>3112</v>
      </c>
    </row>
    <row r="18" spans="1:9" x14ac:dyDescent="0.25">
      <c r="A18" s="6" t="s">
        <v>3145</v>
      </c>
      <c r="B18" s="6" t="s">
        <v>3146</v>
      </c>
      <c r="C18" s="6">
        <v>3</v>
      </c>
      <c r="D18" s="6"/>
      <c r="E18" s="6"/>
      <c r="F18" s="6">
        <v>2.23E-4</v>
      </c>
      <c r="G18" s="6" t="s">
        <v>3129</v>
      </c>
      <c r="H18" s="6" t="s">
        <v>3130</v>
      </c>
      <c r="I18" s="6" t="s">
        <v>3112</v>
      </c>
    </row>
    <row r="19" spans="1:9" x14ac:dyDescent="0.25">
      <c r="A19" s="6" t="s">
        <v>3147</v>
      </c>
      <c r="B19" s="6" t="s">
        <v>3148</v>
      </c>
      <c r="C19" s="6">
        <v>3</v>
      </c>
      <c r="D19" s="6"/>
      <c r="E19" s="6"/>
      <c r="F19" s="6">
        <v>2.03E-4</v>
      </c>
      <c r="G19" s="6" t="s">
        <v>3129</v>
      </c>
      <c r="H19" s="6" t="s">
        <v>3130</v>
      </c>
      <c r="I19" s="6" t="s">
        <v>3112</v>
      </c>
    </row>
    <row r="20" spans="1:9" x14ac:dyDescent="0.25">
      <c r="A20" s="6" t="s">
        <v>3149</v>
      </c>
      <c r="B20" s="6" t="s">
        <v>3150</v>
      </c>
      <c r="C20" s="6">
        <v>3</v>
      </c>
      <c r="D20" s="6"/>
      <c r="E20" s="6"/>
      <c r="F20" s="6">
        <v>1.01E-4</v>
      </c>
      <c r="G20" s="6" t="s">
        <v>3129</v>
      </c>
      <c r="H20" s="6" t="s">
        <v>3130</v>
      </c>
      <c r="I20" s="6" t="s">
        <v>3112</v>
      </c>
    </row>
    <row r="21" spans="1:9" x14ac:dyDescent="0.25">
      <c r="A21" s="6" t="s">
        <v>3151</v>
      </c>
      <c r="B21" s="6" t="s">
        <v>3152</v>
      </c>
      <c r="C21" s="6">
        <v>3</v>
      </c>
      <c r="D21" s="6"/>
      <c r="E21" s="6"/>
      <c r="F21" s="6">
        <v>1.06E-4</v>
      </c>
      <c r="G21" s="6" t="s">
        <v>3129</v>
      </c>
      <c r="H21" s="6" t="s">
        <v>3130</v>
      </c>
      <c r="I21" s="6" t="s">
        <v>3112</v>
      </c>
    </row>
    <row r="22" spans="1:9" x14ac:dyDescent="0.25">
      <c r="A22" s="6" t="s">
        <v>3153</v>
      </c>
      <c r="B22" s="6" t="s">
        <v>3154</v>
      </c>
      <c r="C22" s="6">
        <v>3</v>
      </c>
      <c r="D22" s="6"/>
      <c r="E22" s="6"/>
      <c r="F22" s="6">
        <v>9.5000000000000005E-5</v>
      </c>
      <c r="G22" s="6" t="s">
        <v>3129</v>
      </c>
      <c r="H22" s="6" t="s">
        <v>3130</v>
      </c>
      <c r="I22" s="6" t="s">
        <v>3112</v>
      </c>
    </row>
    <row r="23" spans="1:9" x14ac:dyDescent="0.25">
      <c r="A23" s="6" t="s">
        <v>3155</v>
      </c>
      <c r="B23" s="6" t="s">
        <v>3156</v>
      </c>
      <c r="C23" s="6">
        <v>3</v>
      </c>
      <c r="D23" s="6"/>
      <c r="E23" s="6"/>
      <c r="F23" s="6">
        <v>2.1499999999999999E-4</v>
      </c>
      <c r="G23" s="6" t="s">
        <v>3129</v>
      </c>
      <c r="H23" s="6" t="s">
        <v>3130</v>
      </c>
      <c r="I23" s="6" t="s">
        <v>3112</v>
      </c>
    </row>
    <row r="24" spans="1:9" x14ac:dyDescent="0.25">
      <c r="A24" s="6" t="s">
        <v>3157</v>
      </c>
      <c r="B24" s="6" t="s">
        <v>3158</v>
      </c>
      <c r="C24" s="6">
        <v>3</v>
      </c>
      <c r="D24" s="6"/>
      <c r="E24" s="6"/>
      <c r="F24" s="6">
        <v>2.23E-4</v>
      </c>
      <c r="G24" s="6" t="s">
        <v>3129</v>
      </c>
      <c r="H24" s="6" t="s">
        <v>3130</v>
      </c>
      <c r="I24" s="6" t="s">
        <v>3112</v>
      </c>
    </row>
    <row r="25" spans="1:9" x14ac:dyDescent="0.25">
      <c r="A25" s="6" t="s">
        <v>3159</v>
      </c>
      <c r="B25" s="6" t="s">
        <v>3160</v>
      </c>
      <c r="C25" s="6">
        <v>3</v>
      </c>
      <c r="D25" s="6"/>
      <c r="E25" s="6"/>
      <c r="F25" s="6">
        <v>2.02E-4</v>
      </c>
      <c r="G25" s="6" t="s">
        <v>3129</v>
      </c>
      <c r="H25" s="6" t="s">
        <v>3130</v>
      </c>
      <c r="I25" s="6" t="s">
        <v>3112</v>
      </c>
    </row>
    <row r="26" spans="1:9" x14ac:dyDescent="0.25">
      <c r="A26" s="6" t="s">
        <v>3161</v>
      </c>
      <c r="B26" s="6" t="s">
        <v>3162</v>
      </c>
      <c r="C26" s="6">
        <v>3</v>
      </c>
      <c r="D26" s="6"/>
      <c r="E26" s="6"/>
      <c r="F26" s="6">
        <v>6.7000000000000002E-5</v>
      </c>
      <c r="G26" s="6" t="s">
        <v>3129</v>
      </c>
      <c r="H26" s="6" t="s">
        <v>3130</v>
      </c>
      <c r="I26" s="6" t="s">
        <v>3112</v>
      </c>
    </row>
    <row r="27" spans="1:9" x14ac:dyDescent="0.25">
      <c r="A27" s="6" t="s">
        <v>3163</v>
      </c>
      <c r="B27" s="6" t="s">
        <v>3164</v>
      </c>
      <c r="C27" s="6">
        <v>3</v>
      </c>
      <c r="D27" s="6"/>
      <c r="E27" s="6"/>
      <c r="F27" s="6">
        <v>6.8999999999999997E-5</v>
      </c>
      <c r="G27" s="6" t="s">
        <v>3129</v>
      </c>
      <c r="H27" s="6" t="s">
        <v>3130</v>
      </c>
      <c r="I27" s="6" t="s">
        <v>3112</v>
      </c>
    </row>
    <row r="28" spans="1:9" x14ac:dyDescent="0.25">
      <c r="A28" s="6" t="s">
        <v>3165</v>
      </c>
      <c r="B28" s="6" t="s">
        <v>3166</v>
      </c>
      <c r="C28" s="6">
        <v>3</v>
      </c>
      <c r="D28" s="6"/>
      <c r="E28" s="6"/>
      <c r="F28" s="6">
        <v>6.3E-5</v>
      </c>
      <c r="G28" s="6" t="s">
        <v>3129</v>
      </c>
      <c r="H28" s="6" t="s">
        <v>3130</v>
      </c>
      <c r="I28" s="6" t="s">
        <v>3112</v>
      </c>
    </row>
    <row r="29" spans="1:9" x14ac:dyDescent="0.25">
      <c r="A29" s="6" t="s">
        <v>3167</v>
      </c>
      <c r="B29" s="6" t="s">
        <v>3168</v>
      </c>
      <c r="C29" s="6">
        <v>3</v>
      </c>
      <c r="D29" s="6"/>
      <c r="E29" s="6"/>
      <c r="F29" s="6">
        <v>5.8999999999999998E-5</v>
      </c>
      <c r="G29" s="6" t="s">
        <v>3129</v>
      </c>
      <c r="H29" s="6" t="s">
        <v>3130</v>
      </c>
      <c r="I29" s="6" t="s">
        <v>3112</v>
      </c>
    </row>
    <row r="30" spans="1:9" x14ac:dyDescent="0.25">
      <c r="A30" s="6" t="s">
        <v>3169</v>
      </c>
      <c r="B30" s="6" t="s">
        <v>3170</v>
      </c>
      <c r="C30" s="6">
        <v>3</v>
      </c>
      <c r="D30" s="6"/>
      <c r="E30" s="6"/>
      <c r="F30" s="6">
        <v>6.2000000000000003E-5</v>
      </c>
      <c r="G30" s="6" t="s">
        <v>3129</v>
      </c>
      <c r="H30" s="6" t="s">
        <v>3130</v>
      </c>
      <c r="I30" s="6" t="s">
        <v>3112</v>
      </c>
    </row>
    <row r="31" spans="1:9" x14ac:dyDescent="0.25">
      <c r="A31" s="6" t="s">
        <v>3171</v>
      </c>
      <c r="B31" s="6" t="s">
        <v>3172</v>
      </c>
      <c r="C31" s="6">
        <v>3</v>
      </c>
      <c r="D31" s="6"/>
      <c r="E31" s="6"/>
      <c r="F31" s="6">
        <v>5.5000000000000002E-5</v>
      </c>
      <c r="G31" s="6" t="s">
        <v>3129</v>
      </c>
      <c r="H31" s="6" t="s">
        <v>3130</v>
      </c>
      <c r="I31" s="6" t="s">
        <v>3112</v>
      </c>
    </row>
    <row r="32" spans="1:9" x14ac:dyDescent="0.25">
      <c r="A32" s="6" t="s">
        <v>3173</v>
      </c>
      <c r="B32" s="6" t="s">
        <v>3174</v>
      </c>
      <c r="C32" s="6">
        <v>3</v>
      </c>
      <c r="D32" s="6"/>
      <c r="E32" s="6"/>
      <c r="F32" s="6">
        <v>7.7200000000000001E-4</v>
      </c>
      <c r="G32" s="6" t="s">
        <v>3129</v>
      </c>
      <c r="H32" s="6" t="s">
        <v>3130</v>
      </c>
      <c r="I32" s="6" t="s">
        <v>3112</v>
      </c>
    </row>
    <row r="33" spans="1:9" x14ac:dyDescent="0.25">
      <c r="A33" s="6" t="s">
        <v>3175</v>
      </c>
      <c r="B33" s="6" t="s">
        <v>3176</v>
      </c>
      <c r="C33" s="6">
        <v>3</v>
      </c>
      <c r="D33" s="6"/>
      <c r="E33" s="6"/>
      <c r="F33" s="6">
        <v>8.0999999999999996E-4</v>
      </c>
      <c r="G33" s="6" t="s">
        <v>3129</v>
      </c>
      <c r="H33" s="6" t="s">
        <v>3130</v>
      </c>
      <c r="I33" s="6" t="s">
        <v>3112</v>
      </c>
    </row>
    <row r="34" spans="1:9" x14ac:dyDescent="0.25">
      <c r="A34" s="6" t="s">
        <v>3177</v>
      </c>
      <c r="B34" s="6" t="s">
        <v>3178</v>
      </c>
      <c r="C34" s="6">
        <v>3</v>
      </c>
      <c r="D34" s="6"/>
      <c r="E34" s="6"/>
      <c r="F34" s="6">
        <v>7.2499999999999995E-4</v>
      </c>
      <c r="G34" s="6" t="s">
        <v>3129</v>
      </c>
      <c r="H34" s="6" t="s">
        <v>3130</v>
      </c>
      <c r="I34" s="6" t="s">
        <v>3112</v>
      </c>
    </row>
    <row r="35" spans="1:9" x14ac:dyDescent="0.25">
      <c r="A35" s="6" t="s">
        <v>3179</v>
      </c>
      <c r="B35" s="6" t="s">
        <v>3180</v>
      </c>
      <c r="C35" s="6">
        <v>3</v>
      </c>
      <c r="D35" s="6"/>
      <c r="E35" s="6"/>
      <c r="F35" s="6">
        <v>3.1071000000000001E-4</v>
      </c>
      <c r="G35" s="6" t="s">
        <v>3129</v>
      </c>
      <c r="H35" s="6" t="s">
        <v>14</v>
      </c>
      <c r="I35" s="6" t="s">
        <v>3112</v>
      </c>
    </row>
    <row r="36" spans="1:9" x14ac:dyDescent="0.25">
      <c r="A36" s="6" t="s">
        <v>3181</v>
      </c>
      <c r="B36" s="6" t="s">
        <v>3182</v>
      </c>
      <c r="C36" s="6">
        <v>3</v>
      </c>
      <c r="D36" s="6"/>
      <c r="E36" s="6"/>
      <c r="F36" s="6">
        <v>1.9233999999999999E-4</v>
      </c>
      <c r="G36" s="6" t="s">
        <v>3129</v>
      </c>
      <c r="H36" s="6" t="s">
        <v>14</v>
      </c>
      <c r="I36" s="6" t="s">
        <v>3112</v>
      </c>
    </row>
    <row r="37" spans="1:9" x14ac:dyDescent="0.25">
      <c r="A37" s="6" t="s">
        <v>3183</v>
      </c>
      <c r="B37" s="6" t="s">
        <v>3184</v>
      </c>
      <c r="C37" s="6">
        <v>3</v>
      </c>
      <c r="D37" s="6"/>
      <c r="E37" s="6"/>
      <c r="F37" s="6">
        <v>3.4117000000000001E-4</v>
      </c>
      <c r="G37" s="6" t="s">
        <v>3129</v>
      </c>
      <c r="H37" s="6" t="s">
        <v>14</v>
      </c>
      <c r="I37" s="6" t="s">
        <v>3112</v>
      </c>
    </row>
    <row r="38" spans="1:9" x14ac:dyDescent="0.25">
      <c r="A38" s="6" t="s">
        <v>3185</v>
      </c>
      <c r="B38" s="6" t="s">
        <v>3186</v>
      </c>
      <c r="C38" s="6">
        <v>3</v>
      </c>
      <c r="D38" s="6"/>
      <c r="E38" s="6"/>
      <c r="F38" s="6">
        <v>2.8907E-4</v>
      </c>
      <c r="G38" s="6" t="s">
        <v>3129</v>
      </c>
      <c r="H38" s="6" t="s">
        <v>14</v>
      </c>
      <c r="I38" s="6" t="s">
        <v>3112</v>
      </c>
    </row>
    <row r="66" spans="19:19" x14ac:dyDescent="0.25">
      <c r="S66" t="s">
        <v>3187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A752-5B49-47FA-BC31-6A46D3EB743D}">
  <dimension ref="A1:I26"/>
  <sheetViews>
    <sheetView zoomScale="80" zoomScaleNormal="80" workbookViewId="0">
      <selection activeCell="A23" sqref="A23"/>
    </sheetView>
  </sheetViews>
  <sheetFormatPr defaultRowHeight="15" x14ac:dyDescent="0.25"/>
  <cols>
    <col min="1" max="1" width="43.85546875" customWidth="1"/>
    <col min="2" max="2" width="47.5703125" customWidth="1"/>
    <col min="3" max="3" width="28.28515625" customWidth="1"/>
    <col min="4" max="4" width="24.85546875" customWidth="1"/>
    <col min="5" max="5" width="28.140625" customWidth="1"/>
    <col min="6" max="6" width="19.85546875" customWidth="1"/>
    <col min="7" max="7" width="19.42578125" customWidth="1"/>
    <col min="8" max="8" width="30.140625" customWidth="1"/>
    <col min="9" max="9" width="43.2851562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3188</v>
      </c>
      <c r="B2" s="6" t="s">
        <v>3189</v>
      </c>
      <c r="C2" s="6">
        <v>3</v>
      </c>
      <c r="D2" s="6"/>
      <c r="E2" s="6" t="s">
        <v>5600</v>
      </c>
      <c r="F2" s="6">
        <v>9.1699999999999995E-4</v>
      </c>
      <c r="G2" s="17" t="s">
        <v>50</v>
      </c>
      <c r="H2" s="6" t="s">
        <v>3190</v>
      </c>
      <c r="I2" s="6" t="s">
        <v>3191</v>
      </c>
    </row>
    <row r="3" spans="1:9" x14ac:dyDescent="0.25">
      <c r="A3" s="6" t="s">
        <v>3192</v>
      </c>
      <c r="B3" s="6" t="s">
        <v>3192</v>
      </c>
      <c r="C3" s="6">
        <v>3</v>
      </c>
      <c r="D3" s="6"/>
      <c r="E3" s="6" t="s">
        <v>5599</v>
      </c>
      <c r="F3" s="6">
        <v>7.4999999999999997E-2</v>
      </c>
      <c r="G3" s="6" t="s">
        <v>3193</v>
      </c>
      <c r="H3" s="6" t="s">
        <v>3194</v>
      </c>
      <c r="I3" s="6" t="s">
        <v>3191</v>
      </c>
    </row>
    <row r="4" spans="1:9" x14ac:dyDescent="0.25">
      <c r="A4" s="6" t="s">
        <v>3195</v>
      </c>
      <c r="B4" s="6" t="s">
        <v>3195</v>
      </c>
      <c r="C4" s="6">
        <v>3</v>
      </c>
      <c r="D4" s="6"/>
      <c r="E4" s="6" t="s">
        <v>5601</v>
      </c>
      <c r="F4" s="6">
        <v>0.64400000000000002</v>
      </c>
      <c r="G4" s="6" t="s">
        <v>3196</v>
      </c>
      <c r="H4" s="6" t="s">
        <v>3197</v>
      </c>
      <c r="I4" s="6" t="s">
        <v>3191</v>
      </c>
    </row>
    <row r="5" spans="1:9" x14ac:dyDescent="0.25">
      <c r="A5" s="6" t="s">
        <v>3198</v>
      </c>
      <c r="B5" s="6" t="s">
        <v>3198</v>
      </c>
      <c r="C5" s="6">
        <v>3</v>
      </c>
      <c r="D5" s="6"/>
      <c r="E5" s="6" t="s">
        <v>4785</v>
      </c>
      <c r="F5" s="6">
        <v>0.10299999999999999</v>
      </c>
      <c r="G5" s="6" t="s">
        <v>3196</v>
      </c>
      <c r="H5" s="6" t="s">
        <v>3197</v>
      </c>
      <c r="I5" s="6" t="s">
        <v>3191</v>
      </c>
    </row>
    <row r="6" spans="1:9" x14ac:dyDescent="0.25">
      <c r="A6" s="6" t="s">
        <v>3199</v>
      </c>
      <c r="B6" s="6" t="s">
        <v>3200</v>
      </c>
      <c r="C6" s="6">
        <v>3</v>
      </c>
      <c r="D6" s="6"/>
      <c r="E6" s="6" t="s">
        <v>5602</v>
      </c>
      <c r="F6" s="6">
        <v>3.5459999999999998E-2</v>
      </c>
      <c r="G6" s="6" t="s">
        <v>3193</v>
      </c>
      <c r="H6" s="6" t="s">
        <v>14</v>
      </c>
      <c r="I6" s="6" t="s">
        <v>3191</v>
      </c>
    </row>
    <row r="7" spans="1:9" ht="30" x14ac:dyDescent="0.25">
      <c r="A7" s="37" t="s">
        <v>3192</v>
      </c>
      <c r="B7" s="37" t="s">
        <v>3192</v>
      </c>
      <c r="C7" s="37">
        <v>3.4</v>
      </c>
      <c r="D7" s="37" t="s">
        <v>3626</v>
      </c>
      <c r="E7" s="6" t="s">
        <v>5599</v>
      </c>
      <c r="F7" s="36">
        <v>7.4999999999999997E-2</v>
      </c>
      <c r="G7" s="36" t="s">
        <v>3193</v>
      </c>
      <c r="H7" s="36" t="s">
        <v>3495</v>
      </c>
      <c r="I7" s="37" t="s">
        <v>3498</v>
      </c>
    </row>
    <row r="8" spans="1:9" ht="30" x14ac:dyDescent="0.25">
      <c r="A8" s="37" t="s">
        <v>3189</v>
      </c>
      <c r="B8" s="37" t="s">
        <v>3189</v>
      </c>
      <c r="C8" s="37">
        <v>3.4</v>
      </c>
      <c r="D8" s="37" t="s">
        <v>3626</v>
      </c>
      <c r="E8" s="6" t="s">
        <v>4786</v>
      </c>
      <c r="F8" s="36">
        <v>0.91700000000000004</v>
      </c>
      <c r="G8" s="36" t="s">
        <v>3481</v>
      </c>
      <c r="H8" s="36" t="s">
        <v>3497</v>
      </c>
      <c r="I8" s="37" t="s">
        <v>3499</v>
      </c>
    </row>
    <row r="9" spans="1:9" ht="30" x14ac:dyDescent="0.25">
      <c r="A9" s="5" t="s">
        <v>3189</v>
      </c>
      <c r="B9" s="6" t="s">
        <v>3527</v>
      </c>
      <c r="C9" s="37">
        <v>3.4</v>
      </c>
      <c r="D9" s="37" t="s">
        <v>3615</v>
      </c>
      <c r="E9" s="6" t="s">
        <v>4786</v>
      </c>
      <c r="F9" s="5">
        <v>0.91700000000000004</v>
      </c>
      <c r="G9" s="6" t="s">
        <v>3474</v>
      </c>
      <c r="H9" s="6" t="s">
        <v>3513</v>
      </c>
      <c r="I9" s="5" t="s">
        <v>3527</v>
      </c>
    </row>
    <row r="10" spans="1:9" ht="30" x14ac:dyDescent="0.25">
      <c r="A10" s="5" t="s">
        <v>3192</v>
      </c>
      <c r="B10" s="6" t="s">
        <v>3478</v>
      </c>
      <c r="C10" s="37">
        <v>3.4</v>
      </c>
      <c r="D10" s="37" t="s">
        <v>3615</v>
      </c>
      <c r="E10" s="6" t="s">
        <v>5599</v>
      </c>
      <c r="F10" s="5">
        <v>7.4999999999999997E-2</v>
      </c>
      <c r="G10" s="6" t="s">
        <v>3193</v>
      </c>
      <c r="H10" s="6" t="s">
        <v>3495</v>
      </c>
      <c r="I10" s="5" t="s">
        <v>3478</v>
      </c>
    </row>
    <row r="11" spans="1:9" ht="30" x14ac:dyDescent="0.25">
      <c r="A11" s="5" t="s">
        <v>3564</v>
      </c>
      <c r="B11" s="6" t="s">
        <v>3478</v>
      </c>
      <c r="C11" s="37">
        <v>3.4</v>
      </c>
      <c r="D11" s="37" t="s">
        <v>3615</v>
      </c>
      <c r="E11" s="6" t="s">
        <v>5603</v>
      </c>
      <c r="F11" s="5">
        <v>0.43419999999999997</v>
      </c>
      <c r="G11" s="6" t="s">
        <v>3474</v>
      </c>
      <c r="H11" s="6" t="s">
        <v>3513</v>
      </c>
      <c r="I11" s="5" t="s">
        <v>3478</v>
      </c>
    </row>
    <row r="12" spans="1:9" ht="30" x14ac:dyDescent="0.25">
      <c r="A12" s="5" t="s">
        <v>3578</v>
      </c>
      <c r="B12" s="6" t="s">
        <v>3478</v>
      </c>
      <c r="C12" s="37">
        <v>3.4</v>
      </c>
      <c r="D12" s="37" t="s">
        <v>3615</v>
      </c>
      <c r="E12" s="6" t="s">
        <v>5605</v>
      </c>
      <c r="F12" s="5">
        <v>0.104</v>
      </c>
      <c r="G12" s="6" t="s">
        <v>3193</v>
      </c>
      <c r="H12" s="6" t="s">
        <v>3495</v>
      </c>
      <c r="I12" s="6" t="s">
        <v>3477</v>
      </c>
    </row>
    <row r="13" spans="1:9" ht="30" x14ac:dyDescent="0.25">
      <c r="A13" s="5" t="s">
        <v>3590</v>
      </c>
      <c r="B13" s="6" t="s">
        <v>3477</v>
      </c>
      <c r="C13" s="37">
        <v>3.4</v>
      </c>
      <c r="D13" s="37" t="s">
        <v>3615</v>
      </c>
      <c r="E13" s="6" t="s">
        <v>5606</v>
      </c>
      <c r="F13" s="5">
        <v>0.25800000000000001</v>
      </c>
      <c r="G13" s="6" t="s">
        <v>3193</v>
      </c>
      <c r="H13" s="6" t="s">
        <v>3495</v>
      </c>
      <c r="I13" s="6" t="s">
        <v>3591</v>
      </c>
    </row>
    <row r="14" spans="1:9" ht="30" x14ac:dyDescent="0.25">
      <c r="A14" s="5" t="s">
        <v>3604</v>
      </c>
      <c r="B14" s="5" t="s">
        <v>3477</v>
      </c>
      <c r="C14" s="37">
        <v>3.4</v>
      </c>
      <c r="D14" s="37" t="s">
        <v>3615</v>
      </c>
      <c r="E14" s="6" t="s">
        <v>5607</v>
      </c>
      <c r="F14" s="5">
        <v>2.555E-2</v>
      </c>
      <c r="G14" s="6" t="s">
        <v>3482</v>
      </c>
      <c r="H14" s="6" t="s">
        <v>3495</v>
      </c>
      <c r="I14" s="5" t="s">
        <v>3623</v>
      </c>
    </row>
    <row r="15" spans="1:9" ht="30" x14ac:dyDescent="0.25">
      <c r="A15" s="6" t="s">
        <v>3618</v>
      </c>
      <c r="B15" s="6" t="s">
        <v>3477</v>
      </c>
      <c r="C15" s="37">
        <v>3.4</v>
      </c>
      <c r="D15" s="37" t="s">
        <v>3615</v>
      </c>
      <c r="E15" s="6" t="s">
        <v>5604</v>
      </c>
      <c r="F15" s="6">
        <v>0.187</v>
      </c>
      <c r="G15" s="6" t="s">
        <v>3193</v>
      </c>
      <c r="H15" s="6" t="s">
        <v>3495</v>
      </c>
      <c r="I15" s="6" t="s">
        <v>3591</v>
      </c>
    </row>
    <row r="16" spans="1:9" ht="30" x14ac:dyDescent="0.25">
      <c r="A16" s="6" t="s">
        <v>3577</v>
      </c>
      <c r="B16" s="6" t="s">
        <v>3477</v>
      </c>
      <c r="C16" s="37">
        <v>3.4</v>
      </c>
      <c r="D16" s="37" t="s">
        <v>3615</v>
      </c>
      <c r="E16" s="6" t="s">
        <v>5608</v>
      </c>
      <c r="F16" s="6">
        <v>0.04</v>
      </c>
      <c r="G16" s="6" t="s">
        <v>3193</v>
      </c>
      <c r="H16" s="6" t="s">
        <v>3495</v>
      </c>
      <c r="I16" s="5" t="s">
        <v>3625</v>
      </c>
    </row>
    <row r="17" spans="1:9" ht="30" x14ac:dyDescent="0.25">
      <c r="A17" s="6" t="s">
        <v>3590</v>
      </c>
      <c r="B17" s="6" t="s">
        <v>3477</v>
      </c>
      <c r="C17" s="37">
        <v>3.4</v>
      </c>
      <c r="D17" s="37" t="s">
        <v>3615</v>
      </c>
      <c r="E17" s="6" t="s">
        <v>5606</v>
      </c>
      <c r="F17" s="6">
        <v>0.25800000000000001</v>
      </c>
      <c r="G17" s="6" t="s">
        <v>3193</v>
      </c>
      <c r="H17" s="6" t="s">
        <v>3495</v>
      </c>
      <c r="I17" s="6" t="s">
        <v>3591</v>
      </c>
    </row>
    <row r="18" spans="1:9" ht="30" x14ac:dyDescent="0.25">
      <c r="A18" s="6" t="s">
        <v>3562</v>
      </c>
      <c r="B18" s="6" t="s">
        <v>3563</v>
      </c>
      <c r="C18" s="37">
        <v>3.4</v>
      </c>
      <c r="D18" s="37" t="s">
        <v>3615</v>
      </c>
      <c r="E18" s="6" t="s">
        <v>4792</v>
      </c>
      <c r="F18" s="6">
        <v>0.32400000000000001</v>
      </c>
      <c r="G18" s="6" t="s">
        <v>3519</v>
      </c>
      <c r="H18" s="6" t="s">
        <v>3612</v>
      </c>
      <c r="I18" s="6" t="s">
        <v>3563</v>
      </c>
    </row>
    <row r="19" spans="1:9" ht="30" x14ac:dyDescent="0.25">
      <c r="A19" s="6" t="s">
        <v>3620</v>
      </c>
      <c r="B19" s="5" t="s">
        <v>3477</v>
      </c>
      <c r="C19" s="37">
        <v>3.4</v>
      </c>
      <c r="D19" s="37" t="s">
        <v>3615</v>
      </c>
      <c r="E19" s="6" t="s">
        <v>5609</v>
      </c>
      <c r="F19" s="6">
        <v>0.51500000000000001</v>
      </c>
      <c r="G19" s="6" t="s">
        <v>3196</v>
      </c>
      <c r="H19" s="6" t="s">
        <v>3607</v>
      </c>
      <c r="I19" s="5" t="s">
        <v>3478</v>
      </c>
    </row>
    <row r="20" spans="1:9" ht="30" x14ac:dyDescent="0.25">
      <c r="A20" s="6" t="s">
        <v>3621</v>
      </c>
      <c r="B20" s="5" t="s">
        <v>3477</v>
      </c>
      <c r="C20" s="37">
        <v>3.4</v>
      </c>
      <c r="D20" s="37" t="s">
        <v>3615</v>
      </c>
      <c r="E20" s="6" t="s">
        <v>5610</v>
      </c>
      <c r="F20" s="6">
        <v>0.111</v>
      </c>
      <c r="G20" s="6" t="s">
        <v>3193</v>
      </c>
      <c r="H20" s="6" t="s">
        <v>3495</v>
      </c>
      <c r="I20" s="5" t="s">
        <v>3478</v>
      </c>
    </row>
    <row r="21" spans="1:9" ht="30" x14ac:dyDescent="0.25">
      <c r="A21" s="6" t="s">
        <v>3619</v>
      </c>
      <c r="B21" s="6" t="s">
        <v>3563</v>
      </c>
      <c r="C21" s="37">
        <v>3.4</v>
      </c>
      <c r="D21" s="37" t="s">
        <v>3615</v>
      </c>
      <c r="E21" s="6" t="s">
        <v>5611</v>
      </c>
      <c r="F21" s="6">
        <v>0.183</v>
      </c>
      <c r="G21" s="6" t="s">
        <v>3196</v>
      </c>
      <c r="H21" s="6" t="s">
        <v>3609</v>
      </c>
      <c r="I21" s="6" t="s">
        <v>3563</v>
      </c>
    </row>
    <row r="22" spans="1:9" ht="30" x14ac:dyDescent="0.25">
      <c r="A22" s="6" t="s">
        <v>3622</v>
      </c>
      <c r="B22" s="5" t="s">
        <v>3477</v>
      </c>
      <c r="C22" s="37">
        <v>3.4</v>
      </c>
      <c r="D22" s="37" t="s">
        <v>3615</v>
      </c>
      <c r="E22" s="6" t="s">
        <v>5612</v>
      </c>
      <c r="F22" s="6">
        <v>2.9319999999999999E-2</v>
      </c>
      <c r="G22" s="6" t="s">
        <v>3193</v>
      </c>
      <c r="H22" s="6" t="s">
        <v>3491</v>
      </c>
      <c r="I22" s="5" t="s">
        <v>3623</v>
      </c>
    </row>
    <row r="23" spans="1:9" ht="30" x14ac:dyDescent="0.25">
      <c r="A23" s="6" t="s">
        <v>3593</v>
      </c>
      <c r="B23" s="5" t="s">
        <v>3477</v>
      </c>
      <c r="C23" s="37">
        <v>3.4</v>
      </c>
      <c r="D23" s="37" t="s">
        <v>3615</v>
      </c>
      <c r="E23" s="6" t="s">
        <v>4786</v>
      </c>
      <c r="F23" s="6">
        <v>0.91700000000000004</v>
      </c>
      <c r="G23" s="6" t="s">
        <v>3481</v>
      </c>
      <c r="H23" s="6" t="s">
        <v>3493</v>
      </c>
      <c r="I23" s="6" t="s">
        <v>3591</v>
      </c>
    </row>
    <row r="24" spans="1:9" ht="30" x14ac:dyDescent="0.25">
      <c r="A24" s="6" t="s">
        <v>3624</v>
      </c>
      <c r="B24" s="5" t="s">
        <v>3477</v>
      </c>
      <c r="C24" s="37">
        <v>3.4</v>
      </c>
      <c r="D24" s="37" t="s">
        <v>3615</v>
      </c>
      <c r="E24" s="6" t="s">
        <v>5613</v>
      </c>
      <c r="F24" s="6">
        <v>1.33</v>
      </c>
      <c r="G24" s="6" t="s">
        <v>3196</v>
      </c>
      <c r="H24" s="6" t="s">
        <v>3607</v>
      </c>
      <c r="I24" s="5" t="s">
        <v>3478</v>
      </c>
    </row>
    <row r="25" spans="1:9" ht="30" x14ac:dyDescent="0.25">
      <c r="A25" s="6" t="s">
        <v>3195</v>
      </c>
      <c r="B25" s="5" t="s">
        <v>3477</v>
      </c>
      <c r="C25" s="37">
        <v>3.4</v>
      </c>
      <c r="D25" s="37" t="s">
        <v>3615</v>
      </c>
      <c r="E25" s="6" t="s">
        <v>5614</v>
      </c>
      <c r="F25" s="6">
        <v>0.64400000000000002</v>
      </c>
      <c r="G25" s="6" t="s">
        <v>3196</v>
      </c>
      <c r="H25" s="6" t="s">
        <v>3605</v>
      </c>
      <c r="I25" s="6" t="s">
        <v>3591</v>
      </c>
    </row>
    <row r="26" spans="1:9" ht="30" x14ac:dyDescent="0.25">
      <c r="A26" s="6" t="s">
        <v>3604</v>
      </c>
      <c r="B26" s="5" t="s">
        <v>3477</v>
      </c>
      <c r="C26" s="37">
        <v>3.4</v>
      </c>
      <c r="D26" s="37" t="s">
        <v>3615</v>
      </c>
      <c r="E26" s="6" t="s">
        <v>5607</v>
      </c>
      <c r="F26" s="6">
        <v>2.555E-2</v>
      </c>
      <c r="G26" s="6" t="s">
        <v>3482</v>
      </c>
      <c r="H26" s="6" t="s">
        <v>3491</v>
      </c>
      <c r="I26" s="5" t="s">
        <v>3623</v>
      </c>
    </row>
  </sheetData>
  <phoneticPr fontId="2" type="noConversion"/>
  <conditionalFormatting sqref="A9:A26">
    <cfRule type="expression" dxfId="43" priority="13">
      <formula>MOD(ROW(),2)=0</formula>
    </cfRule>
  </conditionalFormatting>
  <conditionalFormatting sqref="A7:B8">
    <cfRule type="expression" dxfId="42" priority="72">
      <formula>MOD(ROW(),2)=0</formula>
    </cfRule>
  </conditionalFormatting>
  <conditionalFormatting sqref="B9:B13">
    <cfRule type="expression" dxfId="41" priority="47">
      <formula>MOD(ROW(),2)=0</formula>
    </cfRule>
  </conditionalFormatting>
  <conditionalFormatting sqref="B15:B18">
    <cfRule type="expression" dxfId="40" priority="33">
      <formula>MOD(ROW(),2)=0</formula>
    </cfRule>
  </conditionalFormatting>
  <conditionalFormatting sqref="B21">
    <cfRule type="expression" dxfId="39" priority="25">
      <formula>MOD(ROW(),2)=0</formula>
    </cfRule>
  </conditionalFormatting>
  <conditionalFormatting sqref="F7:G8">
    <cfRule type="expression" dxfId="38" priority="73">
      <formula>MOD(ROW(),2)=0</formula>
    </cfRule>
  </conditionalFormatting>
  <conditionalFormatting sqref="F9:H26">
    <cfRule type="expression" dxfId="37" priority="12">
      <formula>MOD(ROW(),2)=0</formula>
    </cfRule>
  </conditionalFormatting>
  <conditionalFormatting sqref="H7">
    <cfRule type="expression" dxfId="36" priority="76">
      <formula>MOD(ROW(),2)=0</formula>
    </cfRule>
  </conditionalFormatting>
  <conditionalFormatting sqref="I9:I13">
    <cfRule type="expression" dxfId="35" priority="7">
      <formula>MOD(ROW(),2)=0</formula>
    </cfRule>
  </conditionalFormatting>
  <conditionalFormatting sqref="I15">
    <cfRule type="expression" dxfId="34" priority="6">
      <formula>MOD(ROW(),2)=0</formula>
    </cfRule>
  </conditionalFormatting>
  <conditionalFormatting sqref="I17:I18">
    <cfRule type="expression" dxfId="33" priority="4">
      <formula>MOD(ROW(),2)=0</formula>
    </cfRule>
  </conditionalFormatting>
  <conditionalFormatting sqref="I21">
    <cfRule type="expression" dxfId="32" priority="3">
      <formula>MOD(ROW(),2)=0</formula>
    </cfRule>
  </conditionalFormatting>
  <conditionalFormatting sqref="I23">
    <cfRule type="expression" dxfId="31" priority="2">
      <formula>MOD(ROW(),2)=0</formula>
    </cfRule>
  </conditionalFormatting>
  <conditionalFormatting sqref="I25">
    <cfRule type="expression" dxfId="30" priority="1">
      <formula>MOD(ROW(),2)=0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0796-CF87-4718-A821-0DA711518306}">
  <dimension ref="A1:I254"/>
  <sheetViews>
    <sheetView topLeftCell="A235" zoomScale="110" zoomScaleNormal="110" workbookViewId="0">
      <selection activeCell="M244" sqref="M244"/>
    </sheetView>
  </sheetViews>
  <sheetFormatPr defaultRowHeight="15" x14ac:dyDescent="0.25"/>
  <cols>
    <col min="1" max="1" width="94.7109375" bestFit="1" customWidth="1"/>
    <col min="2" max="2" width="23" bestFit="1" customWidth="1"/>
    <col min="3" max="3" width="5.85546875" bestFit="1" customWidth="1"/>
    <col min="4" max="4" width="22" bestFit="1" customWidth="1"/>
    <col min="5" max="5" width="41.42578125" customWidth="1"/>
    <col min="6" max="6" width="10.85546875" bestFit="1" customWidth="1"/>
    <col min="7" max="7" width="28.7109375" customWidth="1"/>
    <col min="8" max="8" width="25.140625" customWidth="1"/>
    <col min="9" max="9" width="22.140625" bestFit="1" customWidth="1"/>
  </cols>
  <sheetData>
    <row r="1" spans="1:9" ht="20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5" t="s">
        <v>2967</v>
      </c>
      <c r="B2" s="6" t="s">
        <v>2968</v>
      </c>
      <c r="C2" s="6">
        <v>3</v>
      </c>
      <c r="D2" s="6" t="s">
        <v>2969</v>
      </c>
      <c r="E2" s="6" t="s">
        <v>2970</v>
      </c>
      <c r="F2" s="6">
        <v>8.8838600000000004E-3</v>
      </c>
      <c r="G2" s="6" t="s">
        <v>32</v>
      </c>
      <c r="H2" s="6" t="s">
        <v>14</v>
      </c>
      <c r="I2" s="6" t="s">
        <v>2969</v>
      </c>
    </row>
    <row r="3" spans="1:9" x14ac:dyDescent="0.25">
      <c r="A3" s="5" t="s">
        <v>2967</v>
      </c>
      <c r="B3" s="6" t="s">
        <v>2968</v>
      </c>
      <c r="C3" s="6">
        <v>3</v>
      </c>
      <c r="D3" s="6" t="s">
        <v>2969</v>
      </c>
      <c r="E3" s="6" t="s">
        <v>2970</v>
      </c>
      <c r="F3" s="6">
        <v>8.8838600000000004E-3</v>
      </c>
      <c r="G3" s="6" t="s">
        <v>32</v>
      </c>
      <c r="H3" s="6" t="s">
        <v>14</v>
      </c>
      <c r="I3" s="6" t="s">
        <v>2969</v>
      </c>
    </row>
    <row r="4" spans="1:9" x14ac:dyDescent="0.25">
      <c r="A4" s="5" t="s">
        <v>2967</v>
      </c>
      <c r="B4" s="6" t="s">
        <v>2968</v>
      </c>
      <c r="C4" s="6">
        <v>3</v>
      </c>
      <c r="D4" s="6" t="s">
        <v>2969</v>
      </c>
      <c r="E4" s="6" t="s">
        <v>2970</v>
      </c>
      <c r="F4" s="6">
        <v>8.8838600000000004E-3</v>
      </c>
      <c r="G4" s="6" t="s">
        <v>32</v>
      </c>
      <c r="H4" s="6" t="s">
        <v>14</v>
      </c>
      <c r="I4" s="6" t="s">
        <v>2969</v>
      </c>
    </row>
    <row r="5" spans="1:9" x14ac:dyDescent="0.25">
      <c r="A5" s="21" t="s">
        <v>3004</v>
      </c>
      <c r="B5" s="6" t="s">
        <v>2968</v>
      </c>
      <c r="C5" s="6">
        <v>3</v>
      </c>
      <c r="D5" s="6" t="s">
        <v>2969</v>
      </c>
      <c r="E5" s="6" t="s">
        <v>2970</v>
      </c>
      <c r="F5" s="6">
        <v>8.8838600000000004E-3</v>
      </c>
      <c r="G5" s="6" t="s">
        <v>32</v>
      </c>
      <c r="H5" s="6" t="s">
        <v>14</v>
      </c>
      <c r="I5" s="6" t="s">
        <v>2969</v>
      </c>
    </row>
    <row r="6" spans="1:9" ht="15.75" x14ac:dyDescent="0.25">
      <c r="A6" s="22" t="s">
        <v>3023</v>
      </c>
      <c r="B6" s="6" t="s">
        <v>3011</v>
      </c>
      <c r="C6" s="6">
        <v>3</v>
      </c>
      <c r="D6" s="6" t="s">
        <v>2969</v>
      </c>
      <c r="E6" s="6" t="s">
        <v>2970</v>
      </c>
      <c r="F6" s="6">
        <v>8.8838600000000004E-3</v>
      </c>
      <c r="G6" s="6" t="s">
        <v>32</v>
      </c>
      <c r="H6" s="6" t="s">
        <v>14</v>
      </c>
      <c r="I6" s="6" t="s">
        <v>2969</v>
      </c>
    </row>
    <row r="7" spans="1:9" ht="15.75" x14ac:dyDescent="0.25">
      <c r="A7" s="22" t="s">
        <v>3032</v>
      </c>
      <c r="B7" s="6" t="s">
        <v>3011</v>
      </c>
      <c r="C7" s="6">
        <v>3</v>
      </c>
      <c r="D7" s="6" t="s">
        <v>2969</v>
      </c>
      <c r="E7" s="6" t="s">
        <v>2970</v>
      </c>
      <c r="F7" s="6">
        <v>8.8838600000000004E-3</v>
      </c>
      <c r="G7" s="6" t="s">
        <v>32</v>
      </c>
      <c r="H7" s="6" t="s">
        <v>14</v>
      </c>
      <c r="I7" s="6" t="s">
        <v>2969</v>
      </c>
    </row>
    <row r="8" spans="1:9" ht="15.75" x14ac:dyDescent="0.25">
      <c r="A8" s="22" t="s">
        <v>3023</v>
      </c>
      <c r="B8" s="6" t="s">
        <v>3011</v>
      </c>
      <c r="C8" s="6">
        <v>3</v>
      </c>
      <c r="D8" s="6" t="s">
        <v>2969</v>
      </c>
      <c r="E8" s="6" t="s">
        <v>2970</v>
      </c>
      <c r="F8" s="6">
        <v>8.8838600000000004E-3</v>
      </c>
      <c r="G8" s="6" t="s">
        <v>32</v>
      </c>
      <c r="H8" s="6" t="s">
        <v>14</v>
      </c>
      <c r="I8" s="6" t="s">
        <v>2969</v>
      </c>
    </row>
    <row r="9" spans="1:9" ht="15.75" x14ac:dyDescent="0.25">
      <c r="A9" s="22" t="s">
        <v>3036</v>
      </c>
      <c r="B9" s="6" t="s">
        <v>3011</v>
      </c>
      <c r="C9" s="6">
        <v>3</v>
      </c>
      <c r="D9" s="6" t="s">
        <v>2969</v>
      </c>
      <c r="E9" s="6" t="s">
        <v>2970</v>
      </c>
      <c r="F9" s="6">
        <v>8.8838600000000004E-3</v>
      </c>
      <c r="G9" s="6" t="s">
        <v>32</v>
      </c>
      <c r="H9" s="6" t="s">
        <v>14</v>
      </c>
      <c r="I9" s="6" t="s">
        <v>2969</v>
      </c>
    </row>
    <row r="10" spans="1:9" x14ac:dyDescent="0.25">
      <c r="A10" s="5" t="s">
        <v>2967</v>
      </c>
      <c r="B10" s="6" t="s">
        <v>2968</v>
      </c>
      <c r="C10" s="6">
        <v>3</v>
      </c>
      <c r="D10" s="6" t="s">
        <v>2969</v>
      </c>
      <c r="E10" s="6" t="s">
        <v>2970</v>
      </c>
      <c r="F10" s="6">
        <v>8.8838600000000004E-3</v>
      </c>
      <c r="G10" s="6" t="s">
        <v>32</v>
      </c>
      <c r="H10" s="6" t="s">
        <v>14</v>
      </c>
      <c r="I10" s="6" t="s">
        <v>2969</v>
      </c>
    </row>
    <row r="11" spans="1:9" x14ac:dyDescent="0.25">
      <c r="A11" s="5" t="s">
        <v>2967</v>
      </c>
      <c r="B11" s="6" t="s">
        <v>2968</v>
      </c>
      <c r="C11" s="6">
        <v>3</v>
      </c>
      <c r="D11" s="6" t="s">
        <v>2969</v>
      </c>
      <c r="E11" s="6" t="s">
        <v>2970</v>
      </c>
      <c r="F11" s="6">
        <v>8.8838600000000004E-3</v>
      </c>
      <c r="G11" s="6" t="s">
        <v>32</v>
      </c>
      <c r="H11" s="6" t="s">
        <v>14</v>
      </c>
      <c r="I11" s="6" t="s">
        <v>2969</v>
      </c>
    </row>
    <row r="12" spans="1:9" x14ac:dyDescent="0.25">
      <c r="A12" s="5" t="s">
        <v>2967</v>
      </c>
      <c r="B12" s="6" t="s">
        <v>2968</v>
      </c>
      <c r="C12" s="6">
        <v>3</v>
      </c>
      <c r="D12" s="6" t="s">
        <v>2969</v>
      </c>
      <c r="E12" s="6" t="s">
        <v>2970</v>
      </c>
      <c r="F12" s="6">
        <v>8.8838600000000004E-3</v>
      </c>
      <c r="G12" s="6" t="s">
        <v>32</v>
      </c>
      <c r="H12" s="6" t="s">
        <v>14</v>
      </c>
      <c r="I12" s="6" t="s">
        <v>2969</v>
      </c>
    </row>
    <row r="13" spans="1:9" x14ac:dyDescent="0.25">
      <c r="A13" s="5" t="s">
        <v>2967</v>
      </c>
      <c r="B13" s="6" t="s">
        <v>2968</v>
      </c>
      <c r="C13" s="6">
        <v>3</v>
      </c>
      <c r="D13" s="6" t="s">
        <v>2969</v>
      </c>
      <c r="E13" s="6" t="s">
        <v>2970</v>
      </c>
      <c r="F13" s="6">
        <v>8.8838600000000004E-3</v>
      </c>
      <c r="G13" s="6" t="s">
        <v>32</v>
      </c>
      <c r="H13" s="6" t="s">
        <v>14</v>
      </c>
      <c r="I13" s="6" t="s">
        <v>2969</v>
      </c>
    </row>
    <row r="14" spans="1:9" x14ac:dyDescent="0.25">
      <c r="A14" s="5" t="s">
        <v>2967</v>
      </c>
      <c r="B14" s="6" t="s">
        <v>2968</v>
      </c>
      <c r="C14" s="6">
        <v>3</v>
      </c>
      <c r="D14" s="6" t="s">
        <v>2969</v>
      </c>
      <c r="E14" s="6" t="s">
        <v>2970</v>
      </c>
      <c r="F14" s="6">
        <v>8.8838600000000004E-3</v>
      </c>
      <c r="G14" s="6" t="s">
        <v>32</v>
      </c>
      <c r="H14" s="6" t="s">
        <v>14</v>
      </c>
      <c r="I14" s="6" t="s">
        <v>2969</v>
      </c>
    </row>
    <row r="15" spans="1:9" x14ac:dyDescent="0.25">
      <c r="A15" s="5" t="s">
        <v>3066</v>
      </c>
      <c r="B15" s="6" t="s">
        <v>3061</v>
      </c>
      <c r="C15" s="6">
        <v>3</v>
      </c>
      <c r="D15" s="6" t="s">
        <v>2969</v>
      </c>
      <c r="E15" s="6" t="s">
        <v>2970</v>
      </c>
      <c r="F15" s="6">
        <v>8.8838600000000004E-3</v>
      </c>
      <c r="G15" s="6" t="s">
        <v>32</v>
      </c>
      <c r="H15" s="6" t="s">
        <v>14</v>
      </c>
      <c r="I15" s="6" t="s">
        <v>2969</v>
      </c>
    </row>
    <row r="16" spans="1:9" x14ac:dyDescent="0.25">
      <c r="A16" s="5" t="s">
        <v>2967</v>
      </c>
      <c r="B16" s="6" t="s">
        <v>2968</v>
      </c>
      <c r="C16" s="6">
        <v>3</v>
      </c>
      <c r="D16" s="6" t="s">
        <v>2969</v>
      </c>
      <c r="E16" s="6" t="s">
        <v>2970</v>
      </c>
      <c r="F16" s="6">
        <v>8.8838600000000004E-3</v>
      </c>
      <c r="G16" s="6" t="s">
        <v>32</v>
      </c>
      <c r="H16" s="6" t="s">
        <v>14</v>
      </c>
      <c r="I16" s="6" t="s">
        <v>2969</v>
      </c>
    </row>
    <row r="17" spans="1:9" x14ac:dyDescent="0.25">
      <c r="A17" s="5" t="s">
        <v>2967</v>
      </c>
      <c r="B17" s="6" t="s">
        <v>2968</v>
      </c>
      <c r="C17" s="6">
        <v>3</v>
      </c>
      <c r="D17" s="6" t="s">
        <v>2969</v>
      </c>
      <c r="E17" s="6" t="s">
        <v>2970</v>
      </c>
      <c r="F17" s="6">
        <v>8.8838600000000004E-3</v>
      </c>
      <c r="G17" s="6" t="s">
        <v>32</v>
      </c>
      <c r="H17" s="6" t="s">
        <v>14</v>
      </c>
      <c r="I17" s="6" t="s">
        <v>2969</v>
      </c>
    </row>
    <row r="18" spans="1:9" x14ac:dyDescent="0.25">
      <c r="A18" s="5" t="s">
        <v>2967</v>
      </c>
      <c r="B18" s="6" t="s">
        <v>2968</v>
      </c>
      <c r="C18" s="6">
        <v>3</v>
      </c>
      <c r="D18" s="6" t="s">
        <v>2969</v>
      </c>
      <c r="E18" s="6" t="s">
        <v>2970</v>
      </c>
      <c r="F18" s="6">
        <v>8.8838600000000004E-3</v>
      </c>
      <c r="G18" s="6" t="s">
        <v>32</v>
      </c>
      <c r="H18" s="6" t="s">
        <v>14</v>
      </c>
      <c r="I18" s="6" t="s">
        <v>2969</v>
      </c>
    </row>
    <row r="19" spans="1:9" x14ac:dyDescent="0.25">
      <c r="A19" s="23" t="s">
        <v>3032</v>
      </c>
      <c r="B19" s="24" t="s">
        <v>3061</v>
      </c>
      <c r="C19" s="6">
        <v>3</v>
      </c>
      <c r="D19" s="6" t="s">
        <v>2969</v>
      </c>
      <c r="E19" s="6" t="s">
        <v>2970</v>
      </c>
      <c r="F19" s="6">
        <v>8.8838600000000004E-3</v>
      </c>
      <c r="G19" s="6" t="s">
        <v>32</v>
      </c>
      <c r="H19" s="6" t="s">
        <v>14</v>
      </c>
      <c r="I19" s="6" t="s">
        <v>2969</v>
      </c>
    </row>
    <row r="20" spans="1:9" x14ac:dyDescent="0.25">
      <c r="A20" s="23" t="s">
        <v>3023</v>
      </c>
      <c r="B20" s="24" t="s">
        <v>3061</v>
      </c>
      <c r="C20" s="6">
        <v>3</v>
      </c>
      <c r="D20" s="6" t="s">
        <v>2969</v>
      </c>
      <c r="E20" s="6" t="s">
        <v>2970</v>
      </c>
      <c r="F20" s="6">
        <v>8.8838600000000004E-3</v>
      </c>
      <c r="G20" s="6" t="s">
        <v>32</v>
      </c>
      <c r="H20" s="6" t="s">
        <v>14</v>
      </c>
      <c r="I20" s="6" t="s">
        <v>2969</v>
      </c>
    </row>
    <row r="21" spans="1:9" x14ac:dyDescent="0.25">
      <c r="A21" s="5" t="s">
        <v>3023</v>
      </c>
      <c r="B21" s="24" t="s">
        <v>3061</v>
      </c>
      <c r="C21" s="6">
        <v>3</v>
      </c>
      <c r="D21" s="6" t="s">
        <v>2969</v>
      </c>
      <c r="E21" s="6" t="s">
        <v>2970</v>
      </c>
      <c r="F21" s="6">
        <v>8.8838600000000004E-3</v>
      </c>
      <c r="G21" s="6" t="s">
        <v>32</v>
      </c>
      <c r="H21" s="6" t="s">
        <v>14</v>
      </c>
      <c r="I21" s="6" t="s">
        <v>2969</v>
      </c>
    </row>
    <row r="22" spans="1:9" x14ac:dyDescent="0.25">
      <c r="A22" s="5" t="s">
        <v>2967</v>
      </c>
      <c r="B22" s="6" t="s">
        <v>2968</v>
      </c>
      <c r="C22" s="6">
        <v>3</v>
      </c>
      <c r="D22" s="6" t="s">
        <v>2969</v>
      </c>
      <c r="E22" s="6" t="s">
        <v>2970</v>
      </c>
      <c r="F22" s="6">
        <v>8.8838600000000004E-3</v>
      </c>
      <c r="G22" s="6" t="s">
        <v>32</v>
      </c>
      <c r="H22" s="6" t="s">
        <v>14</v>
      </c>
      <c r="I22" s="6" t="s">
        <v>2969</v>
      </c>
    </row>
    <row r="23" spans="1:9" x14ac:dyDescent="0.25">
      <c r="A23" s="5" t="s">
        <v>2967</v>
      </c>
      <c r="B23" s="6" t="s">
        <v>2968</v>
      </c>
      <c r="C23" s="6">
        <v>3</v>
      </c>
      <c r="D23" s="6" t="s">
        <v>2969</v>
      </c>
      <c r="E23" s="6" t="s">
        <v>2970</v>
      </c>
      <c r="F23" s="6">
        <v>8.8838600000000004E-3</v>
      </c>
      <c r="G23" s="6" t="s">
        <v>32</v>
      </c>
      <c r="H23" s="6" t="s">
        <v>14</v>
      </c>
      <c r="I23" s="6" t="s">
        <v>2969</v>
      </c>
    </row>
    <row r="24" spans="1:9" ht="30" x14ac:dyDescent="0.25">
      <c r="A24" s="17" t="s">
        <v>3107</v>
      </c>
      <c r="B24" s="17" t="s">
        <v>2967</v>
      </c>
      <c r="C24" s="17">
        <v>3</v>
      </c>
      <c r="D24" s="17" t="s">
        <v>2969</v>
      </c>
      <c r="E24" s="17" t="s">
        <v>2970</v>
      </c>
      <c r="F24" s="17">
        <v>8.8838600000000004E-3</v>
      </c>
      <c r="G24" s="17" t="s">
        <v>32</v>
      </c>
      <c r="H24" s="17" t="s">
        <v>14</v>
      </c>
      <c r="I24" s="6" t="s">
        <v>2969</v>
      </c>
    </row>
    <row r="25" spans="1:9" ht="30" x14ac:dyDescent="0.25">
      <c r="A25" s="17" t="s">
        <v>2974</v>
      </c>
      <c r="B25" s="5" t="s">
        <v>2975</v>
      </c>
      <c r="C25" s="6">
        <v>3</v>
      </c>
      <c r="D25" s="6" t="s">
        <v>2969</v>
      </c>
      <c r="E25" s="6" t="s">
        <v>2976</v>
      </c>
      <c r="F25" s="6">
        <v>6.4106099999999997E-3</v>
      </c>
      <c r="G25" s="6" t="s">
        <v>32</v>
      </c>
      <c r="H25" s="6" t="s">
        <v>14</v>
      </c>
      <c r="I25" s="6" t="s">
        <v>2969</v>
      </c>
    </row>
    <row r="26" spans="1:9" ht="30" x14ac:dyDescent="0.25">
      <c r="A26" s="17" t="s">
        <v>2974</v>
      </c>
      <c r="B26" s="5" t="s">
        <v>2979</v>
      </c>
      <c r="C26" s="6">
        <v>3</v>
      </c>
      <c r="D26" s="6" t="s">
        <v>2969</v>
      </c>
      <c r="E26" s="6" t="s">
        <v>2976</v>
      </c>
      <c r="F26" s="6">
        <v>6.4106099999999997E-3</v>
      </c>
      <c r="G26" s="6" t="s">
        <v>32</v>
      </c>
      <c r="H26" s="6" t="s">
        <v>14</v>
      </c>
      <c r="I26" s="6" t="s">
        <v>2969</v>
      </c>
    </row>
    <row r="27" spans="1:9" x14ac:dyDescent="0.25">
      <c r="A27" s="5" t="s">
        <v>2982</v>
      </c>
      <c r="B27" s="6" t="s">
        <v>2980</v>
      </c>
      <c r="C27" s="6">
        <v>3</v>
      </c>
      <c r="D27" s="6" t="s">
        <v>2969</v>
      </c>
      <c r="E27" s="6" t="s">
        <v>2976</v>
      </c>
      <c r="F27" s="6">
        <v>6.4106099999999997E-3</v>
      </c>
      <c r="G27" s="6" t="s">
        <v>32</v>
      </c>
      <c r="H27" s="6" t="s">
        <v>14</v>
      </c>
      <c r="I27" s="6" t="s">
        <v>2969</v>
      </c>
    </row>
    <row r="28" spans="1:9" x14ac:dyDescent="0.25">
      <c r="A28" s="17" t="s">
        <v>2983</v>
      </c>
      <c r="B28" s="20" t="s">
        <v>2980</v>
      </c>
      <c r="C28" s="6">
        <v>3</v>
      </c>
      <c r="D28" s="6" t="s">
        <v>2969</v>
      </c>
      <c r="E28" s="6" t="s">
        <v>2976</v>
      </c>
      <c r="F28" s="6">
        <v>6.4106099999999997E-3</v>
      </c>
      <c r="G28" s="6" t="s">
        <v>32</v>
      </c>
      <c r="H28" s="6" t="s">
        <v>14</v>
      </c>
      <c r="I28" s="6" t="s">
        <v>2969</v>
      </c>
    </row>
    <row r="29" spans="1:9" x14ac:dyDescent="0.25">
      <c r="A29" s="17" t="s">
        <v>2986</v>
      </c>
      <c r="B29" s="20" t="s">
        <v>2980</v>
      </c>
      <c r="C29" s="6">
        <v>3</v>
      </c>
      <c r="D29" s="6" t="s">
        <v>2969</v>
      </c>
      <c r="E29" s="6" t="s">
        <v>2976</v>
      </c>
      <c r="F29" s="6">
        <v>6.4106099999999997E-3</v>
      </c>
      <c r="G29" s="6" t="s">
        <v>32</v>
      </c>
      <c r="H29" s="6" t="s">
        <v>14</v>
      </c>
      <c r="I29" s="6" t="s">
        <v>2969</v>
      </c>
    </row>
    <row r="30" spans="1:9" x14ac:dyDescent="0.25">
      <c r="A30" s="5" t="s">
        <v>2992</v>
      </c>
      <c r="B30" s="6" t="s">
        <v>2980</v>
      </c>
      <c r="C30" s="6">
        <v>3</v>
      </c>
      <c r="D30" s="6" t="s">
        <v>2969</v>
      </c>
      <c r="E30" s="6" t="s">
        <v>2976</v>
      </c>
      <c r="F30" s="6">
        <v>6.4106099999999997E-3</v>
      </c>
      <c r="G30" s="6" t="s">
        <v>32</v>
      </c>
      <c r="H30" s="6" t="s">
        <v>14</v>
      </c>
      <c r="I30" s="6" t="s">
        <v>2969</v>
      </c>
    </row>
    <row r="31" spans="1:9" ht="30" x14ac:dyDescent="0.25">
      <c r="A31" s="17" t="s">
        <v>2974</v>
      </c>
      <c r="B31" s="5" t="s">
        <v>2975</v>
      </c>
      <c r="C31" s="6">
        <v>3</v>
      </c>
      <c r="D31" s="6" t="s">
        <v>2969</v>
      </c>
      <c r="E31" s="6" t="s">
        <v>2976</v>
      </c>
      <c r="F31" s="6">
        <v>6.4106099999999997E-3</v>
      </c>
      <c r="G31" s="6" t="s">
        <v>32</v>
      </c>
      <c r="H31" s="6" t="s">
        <v>14</v>
      </c>
      <c r="I31" s="6" t="s">
        <v>2969</v>
      </c>
    </row>
    <row r="32" spans="1:9" x14ac:dyDescent="0.25">
      <c r="A32" s="21" t="s">
        <v>3010</v>
      </c>
      <c r="B32" s="6" t="s">
        <v>2980</v>
      </c>
      <c r="C32" s="6">
        <v>3</v>
      </c>
      <c r="D32" s="6" t="s">
        <v>2969</v>
      </c>
      <c r="E32" s="6" t="s">
        <v>2976</v>
      </c>
      <c r="F32" s="6">
        <v>6.4106099999999997E-3</v>
      </c>
      <c r="G32" s="6" t="s">
        <v>32</v>
      </c>
      <c r="H32" s="6" t="s">
        <v>14</v>
      </c>
      <c r="I32" s="6" t="s">
        <v>2969</v>
      </c>
    </row>
    <row r="33" spans="1:9" x14ac:dyDescent="0.25">
      <c r="A33" s="21" t="s">
        <v>3011</v>
      </c>
      <c r="B33" s="6" t="s">
        <v>2980</v>
      </c>
      <c r="C33" s="6">
        <v>3</v>
      </c>
      <c r="D33" s="6" t="s">
        <v>2969</v>
      </c>
      <c r="E33" s="6" t="s">
        <v>2976</v>
      </c>
      <c r="F33" s="6">
        <v>6.4106099999999997E-3</v>
      </c>
      <c r="G33" s="6" t="s">
        <v>32</v>
      </c>
      <c r="H33" s="6" t="s">
        <v>14</v>
      </c>
      <c r="I33" s="6" t="s">
        <v>2969</v>
      </c>
    </row>
    <row r="34" spans="1:9" x14ac:dyDescent="0.25">
      <c r="A34" s="5" t="s">
        <v>3011</v>
      </c>
      <c r="B34" s="6" t="s">
        <v>3011</v>
      </c>
      <c r="C34" s="6">
        <v>3</v>
      </c>
      <c r="D34" s="6" t="s">
        <v>2969</v>
      </c>
      <c r="E34" s="6" t="s">
        <v>2976</v>
      </c>
      <c r="F34" s="6">
        <v>6.4106099999999997E-3</v>
      </c>
      <c r="G34" s="6" t="s">
        <v>32</v>
      </c>
      <c r="H34" s="6" t="s">
        <v>14</v>
      </c>
      <c r="I34" s="6" t="s">
        <v>2969</v>
      </c>
    </row>
    <row r="35" spans="1:9" ht="30" x14ac:dyDescent="0.25">
      <c r="A35" s="17" t="s">
        <v>3011</v>
      </c>
      <c r="B35" s="5" t="s">
        <v>3018</v>
      </c>
      <c r="C35" s="6">
        <v>3</v>
      </c>
      <c r="D35" s="6" t="s">
        <v>2969</v>
      </c>
      <c r="E35" s="6" t="s">
        <v>2976</v>
      </c>
      <c r="F35" s="6">
        <v>6.4106099999999997E-3</v>
      </c>
      <c r="G35" s="6" t="s">
        <v>32</v>
      </c>
      <c r="H35" s="6" t="s">
        <v>14</v>
      </c>
      <c r="I35" s="6" t="s">
        <v>2969</v>
      </c>
    </row>
    <row r="36" spans="1:9" x14ac:dyDescent="0.25">
      <c r="A36" s="5" t="s">
        <v>3019</v>
      </c>
      <c r="B36" s="6" t="s">
        <v>3020</v>
      </c>
      <c r="C36" s="6">
        <v>3</v>
      </c>
      <c r="D36" s="6" t="s">
        <v>2969</v>
      </c>
      <c r="E36" s="6" t="s">
        <v>2976</v>
      </c>
      <c r="F36" s="6">
        <v>6.4106099999999997E-3</v>
      </c>
      <c r="G36" s="6" t="s">
        <v>32</v>
      </c>
      <c r="H36" s="6" t="s">
        <v>14</v>
      </c>
      <c r="I36" s="6" t="s">
        <v>2969</v>
      </c>
    </row>
    <row r="37" spans="1:9" x14ac:dyDescent="0.25">
      <c r="A37" s="5" t="s">
        <v>3008</v>
      </c>
      <c r="B37" s="6" t="s">
        <v>3008</v>
      </c>
      <c r="C37" s="6">
        <v>3</v>
      </c>
      <c r="D37" s="6" t="s">
        <v>2969</v>
      </c>
      <c r="E37" s="6" t="s">
        <v>2976</v>
      </c>
      <c r="F37" s="6">
        <v>6.4106099999999997E-3</v>
      </c>
      <c r="G37" s="6" t="s">
        <v>32</v>
      </c>
      <c r="H37" s="6" t="s">
        <v>14</v>
      </c>
      <c r="I37" s="6" t="s">
        <v>2969</v>
      </c>
    </row>
    <row r="38" spans="1:9" x14ac:dyDescent="0.25">
      <c r="A38" s="5" t="s">
        <v>3019</v>
      </c>
      <c r="B38" s="6" t="s">
        <v>3020</v>
      </c>
      <c r="C38" s="6">
        <v>3</v>
      </c>
      <c r="D38" s="6" t="s">
        <v>2969</v>
      </c>
      <c r="E38" s="6" t="s">
        <v>2976</v>
      </c>
      <c r="F38" s="6">
        <v>6.4106099999999997E-3</v>
      </c>
      <c r="G38" s="6" t="s">
        <v>32</v>
      </c>
      <c r="H38" s="6" t="s">
        <v>14</v>
      </c>
      <c r="I38" s="6" t="s">
        <v>2969</v>
      </c>
    </row>
    <row r="39" spans="1:9" x14ac:dyDescent="0.25">
      <c r="A39" s="5" t="s">
        <v>3008</v>
      </c>
      <c r="B39" s="6" t="s">
        <v>3008</v>
      </c>
      <c r="C39" s="6">
        <v>3</v>
      </c>
      <c r="D39" s="6" t="s">
        <v>2969</v>
      </c>
      <c r="E39" s="6" t="s">
        <v>2976</v>
      </c>
      <c r="F39" s="6">
        <v>6.4106099999999997E-3</v>
      </c>
      <c r="G39" s="6" t="s">
        <v>32</v>
      </c>
      <c r="H39" s="6" t="s">
        <v>14</v>
      </c>
      <c r="I39" s="6" t="s">
        <v>2969</v>
      </c>
    </row>
    <row r="40" spans="1:9" ht="15.75" x14ac:dyDescent="0.25">
      <c r="A40" s="22" t="s">
        <v>3033</v>
      </c>
      <c r="B40" s="6" t="s">
        <v>3011</v>
      </c>
      <c r="C40" s="6">
        <v>3</v>
      </c>
      <c r="D40" s="6" t="s">
        <v>2969</v>
      </c>
      <c r="E40" s="6" t="s">
        <v>2976</v>
      </c>
      <c r="F40" s="6">
        <v>6.4106099999999997E-3</v>
      </c>
      <c r="G40" s="6" t="s">
        <v>32</v>
      </c>
      <c r="H40" s="6" t="s">
        <v>14</v>
      </c>
      <c r="I40" s="6" t="s">
        <v>2969</v>
      </c>
    </row>
    <row r="41" spans="1:9" ht="30" x14ac:dyDescent="0.25">
      <c r="A41" s="17" t="s">
        <v>2974</v>
      </c>
      <c r="B41" s="5" t="s">
        <v>2975</v>
      </c>
      <c r="C41" s="6">
        <v>3</v>
      </c>
      <c r="D41" s="6" t="s">
        <v>2969</v>
      </c>
      <c r="E41" s="6" t="s">
        <v>2976</v>
      </c>
      <c r="F41" s="6">
        <v>6.4106099999999997E-3</v>
      </c>
      <c r="G41" s="6" t="s">
        <v>32</v>
      </c>
      <c r="H41" s="6" t="s">
        <v>14</v>
      </c>
      <c r="I41" s="6" t="s">
        <v>2969</v>
      </c>
    </row>
    <row r="42" spans="1:9" x14ac:dyDescent="0.25">
      <c r="A42" s="5" t="s">
        <v>3040</v>
      </c>
      <c r="B42" s="6" t="s">
        <v>2980</v>
      </c>
      <c r="C42" s="6">
        <v>3</v>
      </c>
      <c r="D42" s="6" t="s">
        <v>2969</v>
      </c>
      <c r="E42" s="6" t="s">
        <v>2976</v>
      </c>
      <c r="F42" s="6">
        <v>6.4106099999999997E-3</v>
      </c>
      <c r="G42" s="6" t="s">
        <v>32</v>
      </c>
      <c r="H42" s="6" t="s">
        <v>14</v>
      </c>
      <c r="I42" s="6" t="s">
        <v>2969</v>
      </c>
    </row>
    <row r="43" spans="1:9" x14ac:dyDescent="0.25">
      <c r="A43" s="5" t="s">
        <v>3041</v>
      </c>
      <c r="B43" s="6" t="s">
        <v>2980</v>
      </c>
      <c r="C43" s="6">
        <v>3</v>
      </c>
      <c r="D43" s="6" t="s">
        <v>2969</v>
      </c>
      <c r="E43" s="6" t="s">
        <v>2976</v>
      </c>
      <c r="F43" s="6">
        <v>6.4106099999999997E-3</v>
      </c>
      <c r="G43" s="6" t="s">
        <v>32</v>
      </c>
      <c r="H43" s="6" t="s">
        <v>14</v>
      </c>
      <c r="I43" s="6" t="s">
        <v>2969</v>
      </c>
    </row>
    <row r="44" spans="1:9" x14ac:dyDescent="0.25">
      <c r="A44" s="5" t="s">
        <v>3042</v>
      </c>
      <c r="B44" s="6" t="s">
        <v>2980</v>
      </c>
      <c r="C44" s="6">
        <v>3</v>
      </c>
      <c r="D44" s="6" t="s">
        <v>2969</v>
      </c>
      <c r="E44" s="6" t="s">
        <v>2976</v>
      </c>
      <c r="F44" s="6">
        <v>6.4106099999999997E-3</v>
      </c>
      <c r="G44" s="6" t="s">
        <v>32</v>
      </c>
      <c r="H44" s="6" t="s">
        <v>14</v>
      </c>
      <c r="I44" s="6" t="s">
        <v>2969</v>
      </c>
    </row>
    <row r="45" spans="1:9" ht="30" x14ac:dyDescent="0.25">
      <c r="A45" s="17" t="s">
        <v>2974</v>
      </c>
      <c r="B45" s="5" t="s">
        <v>2975</v>
      </c>
      <c r="C45" s="6">
        <v>3</v>
      </c>
      <c r="D45" s="6" t="s">
        <v>2969</v>
      </c>
      <c r="E45" s="6" t="s">
        <v>2976</v>
      </c>
      <c r="F45" s="6">
        <v>6.4106099999999997E-3</v>
      </c>
      <c r="G45" s="6" t="s">
        <v>32</v>
      </c>
      <c r="H45" s="6" t="s">
        <v>14</v>
      </c>
      <c r="I45" s="6" t="s">
        <v>2969</v>
      </c>
    </row>
    <row r="46" spans="1:9" ht="30" x14ac:dyDescent="0.25">
      <c r="A46" s="17" t="s">
        <v>2974</v>
      </c>
      <c r="B46" s="5" t="s">
        <v>2975</v>
      </c>
      <c r="C46" s="6">
        <v>3</v>
      </c>
      <c r="D46" s="6" t="s">
        <v>2969</v>
      </c>
      <c r="E46" s="6" t="s">
        <v>2976</v>
      </c>
      <c r="F46" s="6">
        <v>6.4106099999999997E-3</v>
      </c>
      <c r="G46" s="6" t="s">
        <v>32</v>
      </c>
      <c r="H46" s="6" t="s">
        <v>14</v>
      </c>
      <c r="I46" s="6" t="s">
        <v>2969</v>
      </c>
    </row>
    <row r="47" spans="1:9" ht="30" x14ac:dyDescent="0.25">
      <c r="A47" s="5" t="s">
        <v>3051</v>
      </c>
      <c r="B47" s="17" t="s">
        <v>3046</v>
      </c>
      <c r="C47" s="6">
        <v>3</v>
      </c>
      <c r="D47" s="6" t="s">
        <v>2969</v>
      </c>
      <c r="E47" s="6" t="s">
        <v>2976</v>
      </c>
      <c r="F47" s="6">
        <v>6.4106099999999997E-3</v>
      </c>
      <c r="G47" s="6" t="s">
        <v>32</v>
      </c>
      <c r="H47" s="6" t="s">
        <v>14</v>
      </c>
      <c r="I47" s="6" t="s">
        <v>2969</v>
      </c>
    </row>
    <row r="48" spans="1:9" ht="30" x14ac:dyDescent="0.25">
      <c r="A48" s="5" t="s">
        <v>3052</v>
      </c>
      <c r="B48" s="17" t="s">
        <v>3046</v>
      </c>
      <c r="C48" s="6">
        <v>3</v>
      </c>
      <c r="D48" s="6" t="s">
        <v>2969</v>
      </c>
      <c r="E48" s="6" t="s">
        <v>2976</v>
      </c>
      <c r="F48" s="6">
        <v>6.4106099999999997E-3</v>
      </c>
      <c r="G48" s="6" t="s">
        <v>32</v>
      </c>
      <c r="H48" s="6" t="s">
        <v>14</v>
      </c>
      <c r="I48" s="6" t="s">
        <v>2969</v>
      </c>
    </row>
    <row r="49" spans="1:9" ht="30" x14ac:dyDescent="0.25">
      <c r="A49" s="5" t="s">
        <v>3054</v>
      </c>
      <c r="B49" s="17" t="s">
        <v>3046</v>
      </c>
      <c r="C49" s="6">
        <v>3</v>
      </c>
      <c r="D49" s="6" t="s">
        <v>2969</v>
      </c>
      <c r="E49" s="6" t="s">
        <v>2976</v>
      </c>
      <c r="F49" s="6">
        <v>6.4106099999999997E-3</v>
      </c>
      <c r="G49" s="6" t="s">
        <v>32</v>
      </c>
      <c r="H49" s="6" t="s">
        <v>14</v>
      </c>
      <c r="I49" s="6" t="s">
        <v>2969</v>
      </c>
    </row>
    <row r="50" spans="1:9" ht="30" x14ac:dyDescent="0.25">
      <c r="A50" s="5" t="s">
        <v>3055</v>
      </c>
      <c r="B50" s="17" t="s">
        <v>3046</v>
      </c>
      <c r="C50" s="6">
        <v>3</v>
      </c>
      <c r="D50" s="6" t="s">
        <v>2969</v>
      </c>
      <c r="E50" s="6" t="s">
        <v>2976</v>
      </c>
      <c r="F50" s="6">
        <v>6.4106099999999997E-3</v>
      </c>
      <c r="G50" s="6" t="s">
        <v>32</v>
      </c>
      <c r="H50" s="6" t="s">
        <v>14</v>
      </c>
      <c r="I50" s="6" t="s">
        <v>2969</v>
      </c>
    </row>
    <row r="51" spans="1:9" ht="30" x14ac:dyDescent="0.25">
      <c r="A51" s="5" t="s">
        <v>3058</v>
      </c>
      <c r="B51" s="17" t="s">
        <v>3046</v>
      </c>
      <c r="C51" s="6">
        <v>3</v>
      </c>
      <c r="D51" s="6" t="s">
        <v>2969</v>
      </c>
      <c r="E51" s="6" t="s">
        <v>2976</v>
      </c>
      <c r="F51" s="6">
        <v>6.4106099999999997E-3</v>
      </c>
      <c r="G51" s="6" t="s">
        <v>32</v>
      </c>
      <c r="H51" s="6" t="s">
        <v>14</v>
      </c>
      <c r="I51" s="6" t="s">
        <v>2969</v>
      </c>
    </row>
    <row r="52" spans="1:9" ht="30" x14ac:dyDescent="0.25">
      <c r="A52" s="5" t="s">
        <v>3059</v>
      </c>
      <c r="B52" s="17" t="s">
        <v>3046</v>
      </c>
      <c r="C52" s="6">
        <v>3</v>
      </c>
      <c r="D52" s="6" t="s">
        <v>2969</v>
      </c>
      <c r="E52" s="6" t="s">
        <v>2976</v>
      </c>
      <c r="F52" s="6">
        <v>6.4106099999999997E-3</v>
      </c>
      <c r="G52" s="6" t="s">
        <v>32</v>
      </c>
      <c r="H52" s="6" t="s">
        <v>14</v>
      </c>
      <c r="I52" s="6" t="s">
        <v>2969</v>
      </c>
    </row>
    <row r="53" spans="1:9" ht="30" x14ac:dyDescent="0.25">
      <c r="A53" s="17" t="s">
        <v>2974</v>
      </c>
      <c r="B53" s="5" t="s">
        <v>2975</v>
      </c>
      <c r="C53" s="6">
        <v>3</v>
      </c>
      <c r="D53" s="6" t="s">
        <v>2969</v>
      </c>
      <c r="E53" s="6" t="s">
        <v>2976</v>
      </c>
      <c r="F53" s="6">
        <v>6.4106099999999997E-3</v>
      </c>
      <c r="G53" s="6" t="s">
        <v>32</v>
      </c>
      <c r="H53" s="6" t="s">
        <v>14</v>
      </c>
      <c r="I53" s="6" t="s">
        <v>2969</v>
      </c>
    </row>
    <row r="54" spans="1:9" ht="30" x14ac:dyDescent="0.25">
      <c r="A54" s="17" t="s">
        <v>2974</v>
      </c>
      <c r="B54" s="5" t="s">
        <v>2975</v>
      </c>
      <c r="C54" s="6">
        <v>3</v>
      </c>
      <c r="D54" s="6" t="s">
        <v>2969</v>
      </c>
      <c r="E54" s="6" t="s">
        <v>2976</v>
      </c>
      <c r="F54" s="6">
        <v>6.4106099999999997E-3</v>
      </c>
      <c r="G54" s="6" t="s">
        <v>32</v>
      </c>
      <c r="H54" s="6" t="s">
        <v>14</v>
      </c>
      <c r="I54" s="6" t="s">
        <v>2969</v>
      </c>
    </row>
    <row r="55" spans="1:9" x14ac:dyDescent="0.25">
      <c r="A55" s="5" t="s">
        <v>3064</v>
      </c>
      <c r="B55" s="6" t="s">
        <v>3061</v>
      </c>
      <c r="C55" s="6">
        <v>3</v>
      </c>
      <c r="D55" s="6" t="s">
        <v>2969</v>
      </c>
      <c r="E55" s="6" t="s">
        <v>2976</v>
      </c>
      <c r="F55" s="6">
        <v>6.4106099999999997E-3</v>
      </c>
      <c r="G55" s="6" t="s">
        <v>32</v>
      </c>
      <c r="H55" s="6" t="s">
        <v>14</v>
      </c>
      <c r="I55" s="6" t="s">
        <v>2969</v>
      </c>
    </row>
    <row r="56" spans="1:9" ht="30" x14ac:dyDescent="0.25">
      <c r="A56" s="17" t="s">
        <v>2974</v>
      </c>
      <c r="B56" s="5" t="s">
        <v>2975</v>
      </c>
      <c r="C56" s="6">
        <v>3</v>
      </c>
      <c r="D56" s="6" t="s">
        <v>2969</v>
      </c>
      <c r="E56" s="6" t="s">
        <v>2976</v>
      </c>
      <c r="F56" s="6">
        <v>6.4106099999999997E-3</v>
      </c>
      <c r="G56" s="6" t="s">
        <v>32</v>
      </c>
      <c r="H56" s="6" t="s">
        <v>14</v>
      </c>
      <c r="I56" s="6" t="s">
        <v>2969</v>
      </c>
    </row>
    <row r="57" spans="1:9" x14ac:dyDescent="0.25">
      <c r="A57" s="6" t="s">
        <v>3070</v>
      </c>
      <c r="B57" s="6" t="s">
        <v>2980</v>
      </c>
      <c r="C57" s="6">
        <v>3</v>
      </c>
      <c r="D57" s="6" t="s">
        <v>2969</v>
      </c>
      <c r="E57" s="6" t="s">
        <v>2976</v>
      </c>
      <c r="F57" s="6">
        <v>6.4106099999999997E-3</v>
      </c>
      <c r="G57" s="6" t="s">
        <v>32</v>
      </c>
      <c r="H57" s="6" t="s">
        <v>14</v>
      </c>
      <c r="I57" s="6" t="s">
        <v>2969</v>
      </c>
    </row>
    <row r="58" spans="1:9" x14ac:dyDescent="0.25">
      <c r="A58" s="6" t="s">
        <v>3071</v>
      </c>
      <c r="B58" s="6" t="s">
        <v>2980</v>
      </c>
      <c r="C58" s="6">
        <v>3</v>
      </c>
      <c r="D58" s="6" t="s">
        <v>2969</v>
      </c>
      <c r="E58" s="6" t="s">
        <v>2976</v>
      </c>
      <c r="F58" s="6">
        <v>6.4106099999999997E-3</v>
      </c>
      <c r="G58" s="6" t="s">
        <v>32</v>
      </c>
      <c r="H58" s="6" t="s">
        <v>14</v>
      </c>
      <c r="I58" s="6" t="s">
        <v>2969</v>
      </c>
    </row>
    <row r="59" spans="1:9" x14ac:dyDescent="0.25">
      <c r="A59" s="6" t="s">
        <v>3071</v>
      </c>
      <c r="B59" s="6" t="s">
        <v>2980</v>
      </c>
      <c r="C59" s="6">
        <v>3</v>
      </c>
      <c r="D59" s="6" t="s">
        <v>2969</v>
      </c>
      <c r="E59" s="6" t="s">
        <v>2976</v>
      </c>
      <c r="F59" s="6">
        <v>6.4106099999999997E-3</v>
      </c>
      <c r="G59" s="6" t="s">
        <v>32</v>
      </c>
      <c r="H59" s="6" t="s">
        <v>14</v>
      </c>
      <c r="I59" s="6" t="s">
        <v>2969</v>
      </c>
    </row>
    <row r="60" spans="1:9" ht="30" x14ac:dyDescent="0.25">
      <c r="A60" s="17" t="s">
        <v>2974</v>
      </c>
      <c r="B60" s="5" t="s">
        <v>2975</v>
      </c>
      <c r="C60" s="6">
        <v>3</v>
      </c>
      <c r="D60" s="6" t="s">
        <v>2969</v>
      </c>
      <c r="E60" s="6" t="s">
        <v>2976</v>
      </c>
      <c r="F60" s="6">
        <v>6.4106099999999997E-3</v>
      </c>
      <c r="G60" s="6" t="s">
        <v>32</v>
      </c>
      <c r="H60" s="6" t="s">
        <v>14</v>
      </c>
      <c r="I60" s="6" t="s">
        <v>2969</v>
      </c>
    </row>
    <row r="61" spans="1:9" ht="30" x14ac:dyDescent="0.25">
      <c r="A61" s="25" t="s">
        <v>2974</v>
      </c>
      <c r="B61" s="23" t="s">
        <v>2975</v>
      </c>
      <c r="C61" s="6">
        <v>3</v>
      </c>
      <c r="D61" s="6" t="s">
        <v>2969</v>
      </c>
      <c r="E61" s="6" t="s">
        <v>2976</v>
      </c>
      <c r="F61" s="6">
        <v>6.4106099999999997E-3</v>
      </c>
      <c r="G61" s="6" t="s">
        <v>32</v>
      </c>
      <c r="H61" s="6" t="s">
        <v>14</v>
      </c>
      <c r="I61" s="6" t="s">
        <v>2969</v>
      </c>
    </row>
    <row r="62" spans="1:9" ht="30" x14ac:dyDescent="0.25">
      <c r="A62" s="17" t="s">
        <v>2974</v>
      </c>
      <c r="B62" s="5" t="s">
        <v>2975</v>
      </c>
      <c r="C62" s="6">
        <v>3</v>
      </c>
      <c r="D62" s="6" t="s">
        <v>2969</v>
      </c>
      <c r="E62" s="6" t="s">
        <v>2976</v>
      </c>
      <c r="F62" s="6">
        <v>6.4106099999999997E-3</v>
      </c>
      <c r="G62" s="6" t="s">
        <v>32</v>
      </c>
      <c r="H62" s="6" t="s">
        <v>14</v>
      </c>
      <c r="I62" s="6" t="s">
        <v>2969</v>
      </c>
    </row>
    <row r="63" spans="1:9" ht="30" x14ac:dyDescent="0.25">
      <c r="A63" s="17" t="s">
        <v>2974</v>
      </c>
      <c r="B63" s="5" t="s">
        <v>2975</v>
      </c>
      <c r="C63" s="6">
        <v>3</v>
      </c>
      <c r="D63" s="6" t="s">
        <v>2969</v>
      </c>
      <c r="E63" s="6" t="s">
        <v>2976</v>
      </c>
      <c r="F63" s="6">
        <v>6.4106099999999997E-3</v>
      </c>
      <c r="G63" s="6" t="s">
        <v>32</v>
      </c>
      <c r="H63" s="6" t="s">
        <v>14</v>
      </c>
      <c r="I63" s="6" t="s">
        <v>2969</v>
      </c>
    </row>
    <row r="64" spans="1:9" x14ac:dyDescent="0.25">
      <c r="A64" s="26" t="s">
        <v>3079</v>
      </c>
      <c r="B64" s="21" t="s">
        <v>3075</v>
      </c>
      <c r="C64" s="6">
        <v>3</v>
      </c>
      <c r="D64" s="6" t="s">
        <v>2969</v>
      </c>
      <c r="E64" s="6" t="s">
        <v>2976</v>
      </c>
      <c r="F64" s="6">
        <v>6.4106099999999997E-3</v>
      </c>
      <c r="G64" s="6" t="s">
        <v>32</v>
      </c>
      <c r="H64" s="6" t="s">
        <v>14</v>
      </c>
      <c r="I64" s="6" t="s">
        <v>2969</v>
      </c>
    </row>
    <row r="65" spans="1:9" x14ac:dyDescent="0.25">
      <c r="A65" s="21" t="s">
        <v>3080</v>
      </c>
      <c r="B65" s="21" t="s">
        <v>3075</v>
      </c>
      <c r="C65" s="6">
        <v>3</v>
      </c>
      <c r="D65" s="6" t="s">
        <v>2969</v>
      </c>
      <c r="E65" s="6" t="s">
        <v>2976</v>
      </c>
      <c r="F65" s="6">
        <v>6.4106099999999997E-3</v>
      </c>
      <c r="G65" s="6" t="s">
        <v>32</v>
      </c>
      <c r="H65" s="6" t="s">
        <v>14</v>
      </c>
      <c r="I65" s="6" t="s">
        <v>2969</v>
      </c>
    </row>
    <row r="66" spans="1:9" x14ac:dyDescent="0.25">
      <c r="A66" s="26" t="s">
        <v>3083</v>
      </c>
      <c r="B66" s="21" t="s">
        <v>3075</v>
      </c>
      <c r="C66" s="6">
        <v>3</v>
      </c>
      <c r="D66" s="6" t="s">
        <v>2969</v>
      </c>
      <c r="E66" s="6" t="s">
        <v>2976</v>
      </c>
      <c r="F66" s="6">
        <v>6.4106099999999997E-3</v>
      </c>
      <c r="G66" s="6" t="s">
        <v>32</v>
      </c>
      <c r="H66" s="6" t="s">
        <v>14</v>
      </c>
      <c r="I66" s="6" t="s">
        <v>2969</v>
      </c>
    </row>
    <row r="67" spans="1:9" x14ac:dyDescent="0.25">
      <c r="A67" s="6" t="s">
        <v>3084</v>
      </c>
      <c r="B67" s="6" t="s">
        <v>3011</v>
      </c>
      <c r="C67" s="6">
        <v>3</v>
      </c>
      <c r="D67" s="6" t="s">
        <v>2969</v>
      </c>
      <c r="E67" s="6" t="s">
        <v>2976</v>
      </c>
      <c r="F67" s="6">
        <v>6.4106099999999997E-3</v>
      </c>
      <c r="G67" s="6" t="s">
        <v>32</v>
      </c>
      <c r="H67" s="6" t="s">
        <v>14</v>
      </c>
      <c r="I67" s="6" t="s">
        <v>2969</v>
      </c>
    </row>
    <row r="68" spans="1:9" x14ac:dyDescent="0.25">
      <c r="A68" s="6" t="s">
        <v>3085</v>
      </c>
      <c r="B68" s="6" t="s">
        <v>3011</v>
      </c>
      <c r="C68" s="6">
        <v>3</v>
      </c>
      <c r="D68" s="6" t="s">
        <v>2969</v>
      </c>
      <c r="E68" s="6" t="s">
        <v>2976</v>
      </c>
      <c r="F68" s="6">
        <v>6.4106099999999997E-3</v>
      </c>
      <c r="G68" s="6" t="s">
        <v>32</v>
      </c>
      <c r="H68" s="6" t="s">
        <v>14</v>
      </c>
      <c r="I68" s="6" t="s">
        <v>2969</v>
      </c>
    </row>
    <row r="69" spans="1:9" x14ac:dyDescent="0.25">
      <c r="A69" s="6" t="s">
        <v>3086</v>
      </c>
      <c r="B69" s="6" t="s">
        <v>3011</v>
      </c>
      <c r="C69" s="6">
        <v>3</v>
      </c>
      <c r="D69" s="6" t="s">
        <v>2969</v>
      </c>
      <c r="E69" s="6" t="s">
        <v>2976</v>
      </c>
      <c r="F69" s="6">
        <v>6.4106099999999997E-3</v>
      </c>
      <c r="G69" s="6" t="s">
        <v>32</v>
      </c>
      <c r="H69" s="6" t="s">
        <v>14</v>
      </c>
      <c r="I69" s="6" t="s">
        <v>2969</v>
      </c>
    </row>
    <row r="70" spans="1:9" x14ac:dyDescent="0.25">
      <c r="A70" s="6" t="s">
        <v>3087</v>
      </c>
      <c r="B70" s="6" t="s">
        <v>3011</v>
      </c>
      <c r="C70" s="6">
        <v>3</v>
      </c>
      <c r="D70" s="6" t="s">
        <v>2969</v>
      </c>
      <c r="E70" s="6" t="s">
        <v>2976</v>
      </c>
      <c r="F70" s="6">
        <v>6.4106099999999997E-3</v>
      </c>
      <c r="G70" s="6" t="s">
        <v>32</v>
      </c>
      <c r="H70" s="6" t="s">
        <v>14</v>
      </c>
      <c r="I70" s="6" t="s">
        <v>2969</v>
      </c>
    </row>
    <row r="71" spans="1:9" x14ac:dyDescent="0.25">
      <c r="A71" s="6" t="s">
        <v>3088</v>
      </c>
      <c r="B71" s="6" t="s">
        <v>3011</v>
      </c>
      <c r="C71" s="6">
        <v>3</v>
      </c>
      <c r="D71" s="6" t="s">
        <v>2969</v>
      </c>
      <c r="E71" s="6" t="s">
        <v>2976</v>
      </c>
      <c r="F71" s="6">
        <v>6.4106099999999997E-3</v>
      </c>
      <c r="G71" s="6" t="s">
        <v>32</v>
      </c>
      <c r="H71" s="6" t="s">
        <v>14</v>
      </c>
      <c r="I71" s="6" t="s">
        <v>2969</v>
      </c>
    </row>
    <row r="72" spans="1:9" x14ac:dyDescent="0.25">
      <c r="A72" s="6" t="s">
        <v>3090</v>
      </c>
      <c r="B72" s="6" t="s">
        <v>3011</v>
      </c>
      <c r="C72" s="6">
        <v>3</v>
      </c>
      <c r="D72" s="6" t="s">
        <v>2969</v>
      </c>
      <c r="E72" s="6" t="s">
        <v>2976</v>
      </c>
      <c r="F72" s="6">
        <v>6.4106099999999997E-3</v>
      </c>
      <c r="G72" s="6" t="s">
        <v>32</v>
      </c>
      <c r="H72" s="6" t="s">
        <v>14</v>
      </c>
      <c r="I72" s="6" t="s">
        <v>2969</v>
      </c>
    </row>
    <row r="73" spans="1:9" x14ac:dyDescent="0.25">
      <c r="A73" s="6" t="s">
        <v>3088</v>
      </c>
      <c r="B73" s="6" t="s">
        <v>3011</v>
      </c>
      <c r="C73" s="6">
        <v>3</v>
      </c>
      <c r="D73" s="6" t="s">
        <v>2969</v>
      </c>
      <c r="E73" s="6" t="s">
        <v>2976</v>
      </c>
      <c r="F73" s="6">
        <v>6.4106099999999997E-3</v>
      </c>
      <c r="G73" s="6" t="s">
        <v>32</v>
      </c>
      <c r="H73" s="6" t="s">
        <v>14</v>
      </c>
      <c r="I73" s="6" t="s">
        <v>2969</v>
      </c>
    </row>
    <row r="74" spans="1:9" x14ac:dyDescent="0.25">
      <c r="A74" s="6" t="s">
        <v>3091</v>
      </c>
      <c r="B74" s="6" t="s">
        <v>3011</v>
      </c>
      <c r="C74" s="6">
        <v>3</v>
      </c>
      <c r="D74" s="6" t="s">
        <v>2969</v>
      </c>
      <c r="E74" s="6" t="s">
        <v>2976</v>
      </c>
      <c r="F74" s="6">
        <v>6.4106099999999997E-3</v>
      </c>
      <c r="G74" s="6" t="s">
        <v>32</v>
      </c>
      <c r="H74" s="6" t="s">
        <v>14</v>
      </c>
      <c r="I74" s="6" t="s">
        <v>2969</v>
      </c>
    </row>
    <row r="75" spans="1:9" x14ac:dyDescent="0.25">
      <c r="A75" s="6" t="s">
        <v>3092</v>
      </c>
      <c r="B75" s="6" t="s">
        <v>3011</v>
      </c>
      <c r="C75" s="6">
        <v>3</v>
      </c>
      <c r="D75" s="6" t="s">
        <v>2969</v>
      </c>
      <c r="E75" s="6" t="s">
        <v>2976</v>
      </c>
      <c r="F75" s="6">
        <v>6.4106099999999997E-3</v>
      </c>
      <c r="G75" s="6" t="s">
        <v>32</v>
      </c>
      <c r="H75" s="6" t="s">
        <v>14</v>
      </c>
      <c r="I75" s="6" t="s">
        <v>2969</v>
      </c>
    </row>
    <row r="76" spans="1:9" x14ac:dyDescent="0.25">
      <c r="A76" s="6" t="s">
        <v>3093</v>
      </c>
      <c r="B76" s="6" t="s">
        <v>3011</v>
      </c>
      <c r="C76" s="6">
        <v>3</v>
      </c>
      <c r="D76" s="6" t="s">
        <v>2969</v>
      </c>
      <c r="E76" s="6" t="s">
        <v>2976</v>
      </c>
      <c r="F76" s="6">
        <v>6.4106099999999997E-3</v>
      </c>
      <c r="G76" s="6" t="s">
        <v>32</v>
      </c>
      <c r="H76" s="6" t="s">
        <v>14</v>
      </c>
      <c r="I76" s="6" t="s">
        <v>2969</v>
      </c>
    </row>
    <row r="77" spans="1:9" ht="30" x14ac:dyDescent="0.25">
      <c r="A77" s="17" t="s">
        <v>3100</v>
      </c>
      <c r="B77" s="17" t="s">
        <v>3019</v>
      </c>
      <c r="C77" s="17">
        <v>3</v>
      </c>
      <c r="D77" s="17" t="s">
        <v>2969</v>
      </c>
      <c r="E77" s="17" t="s">
        <v>2976</v>
      </c>
      <c r="F77" s="17">
        <v>6.4106099999999997E-3</v>
      </c>
      <c r="G77" s="17" t="s">
        <v>32</v>
      </c>
      <c r="H77" s="17" t="s">
        <v>14</v>
      </c>
      <c r="I77" s="6" t="s">
        <v>2969</v>
      </c>
    </row>
    <row r="78" spans="1:9" ht="30" x14ac:dyDescent="0.25">
      <c r="A78" s="17" t="s">
        <v>3102</v>
      </c>
      <c r="B78" s="17" t="s">
        <v>3010</v>
      </c>
      <c r="C78" s="17">
        <v>3</v>
      </c>
      <c r="D78" s="17" t="s">
        <v>2969</v>
      </c>
      <c r="E78" s="17" t="s">
        <v>2976</v>
      </c>
      <c r="F78" s="17">
        <v>6.4106099999999997E-3</v>
      </c>
      <c r="G78" s="17" t="s">
        <v>32</v>
      </c>
      <c r="H78" s="17" t="s">
        <v>14</v>
      </c>
      <c r="I78" s="6" t="s">
        <v>2969</v>
      </c>
    </row>
    <row r="79" spans="1:9" x14ac:dyDescent="0.25">
      <c r="A79" s="17" t="s">
        <v>2971</v>
      </c>
      <c r="B79" s="20" t="s">
        <v>2972</v>
      </c>
      <c r="C79" s="6">
        <v>3</v>
      </c>
      <c r="D79" s="6" t="s">
        <v>2969</v>
      </c>
      <c r="E79" s="6" t="s">
        <v>2973</v>
      </c>
      <c r="F79" s="6">
        <v>6.4106099999999997E-3</v>
      </c>
      <c r="G79" s="6" t="s">
        <v>32</v>
      </c>
      <c r="H79" s="6" t="s">
        <v>14</v>
      </c>
      <c r="I79" s="6" t="s">
        <v>2969</v>
      </c>
    </row>
    <row r="80" spans="1:9" x14ac:dyDescent="0.25">
      <c r="A80" s="5" t="s">
        <v>2977</v>
      </c>
      <c r="B80" s="6" t="s">
        <v>2978</v>
      </c>
      <c r="C80" s="6">
        <v>3</v>
      </c>
      <c r="D80" s="6" t="s">
        <v>2969</v>
      </c>
      <c r="E80" s="6" t="s">
        <v>2973</v>
      </c>
      <c r="F80" s="6">
        <v>6.4106099999999997E-3</v>
      </c>
      <c r="G80" s="6" t="s">
        <v>32</v>
      </c>
      <c r="H80" s="6" t="s">
        <v>14</v>
      </c>
      <c r="I80" s="6" t="s">
        <v>2969</v>
      </c>
    </row>
    <row r="81" spans="1:9" x14ac:dyDescent="0.25">
      <c r="A81" s="17" t="s">
        <v>2971</v>
      </c>
      <c r="B81" s="20" t="s">
        <v>2972</v>
      </c>
      <c r="C81" s="6">
        <v>3</v>
      </c>
      <c r="D81" s="6" t="s">
        <v>2969</v>
      </c>
      <c r="E81" s="6" t="s">
        <v>2973</v>
      </c>
      <c r="F81" s="6">
        <v>6.4106099999999997E-3</v>
      </c>
      <c r="G81" s="6" t="s">
        <v>32</v>
      </c>
      <c r="H81" s="6" t="s">
        <v>14</v>
      </c>
      <c r="I81" s="6" t="s">
        <v>2969</v>
      </c>
    </row>
    <row r="82" spans="1:9" x14ac:dyDescent="0.25">
      <c r="A82" s="5" t="s">
        <v>2977</v>
      </c>
      <c r="B82" s="6" t="s">
        <v>2978</v>
      </c>
      <c r="C82" s="6">
        <v>3</v>
      </c>
      <c r="D82" s="6" t="s">
        <v>2969</v>
      </c>
      <c r="E82" s="6" t="s">
        <v>2973</v>
      </c>
      <c r="F82" s="6">
        <v>6.4106099999999997E-3</v>
      </c>
      <c r="G82" s="6" t="s">
        <v>32</v>
      </c>
      <c r="H82" s="6" t="s">
        <v>14</v>
      </c>
      <c r="I82" s="6" t="s">
        <v>2969</v>
      </c>
    </row>
    <row r="83" spans="1:9" x14ac:dyDescent="0.25">
      <c r="A83" s="21" t="s">
        <v>2997</v>
      </c>
      <c r="B83" s="6" t="s">
        <v>2968</v>
      </c>
      <c r="C83" s="6">
        <v>3</v>
      </c>
      <c r="D83" s="6" t="s">
        <v>2969</v>
      </c>
      <c r="E83" s="6" t="s">
        <v>2973</v>
      </c>
      <c r="F83" s="6">
        <v>6.4106099999999997E-3</v>
      </c>
      <c r="G83" s="6" t="s">
        <v>32</v>
      </c>
      <c r="H83" s="6" t="s">
        <v>14</v>
      </c>
      <c r="I83" s="6" t="s">
        <v>2969</v>
      </c>
    </row>
    <row r="84" spans="1:9" x14ac:dyDescent="0.25">
      <c r="A84" s="21" t="s">
        <v>2998</v>
      </c>
      <c r="B84" s="6" t="s">
        <v>2999</v>
      </c>
      <c r="C84" s="6">
        <v>3</v>
      </c>
      <c r="D84" s="6" t="s">
        <v>2969</v>
      </c>
      <c r="E84" s="6" t="s">
        <v>2973</v>
      </c>
      <c r="F84" s="6">
        <v>6.4106099999999997E-3</v>
      </c>
      <c r="G84" s="6" t="s">
        <v>32</v>
      </c>
      <c r="H84" s="6" t="s">
        <v>14</v>
      </c>
      <c r="I84" s="6" t="s">
        <v>2969</v>
      </c>
    </row>
    <row r="85" spans="1:9" x14ac:dyDescent="0.25">
      <c r="A85" s="21" t="s">
        <v>3000</v>
      </c>
      <c r="B85" s="6" t="s">
        <v>2999</v>
      </c>
      <c r="C85" s="6">
        <v>3</v>
      </c>
      <c r="D85" s="6" t="s">
        <v>2969</v>
      </c>
      <c r="E85" s="6" t="s">
        <v>2973</v>
      </c>
      <c r="F85" s="6">
        <v>6.4106099999999997E-3</v>
      </c>
      <c r="G85" s="6" t="s">
        <v>32</v>
      </c>
      <c r="H85" s="6" t="s">
        <v>14</v>
      </c>
      <c r="I85" s="6" t="s">
        <v>2969</v>
      </c>
    </row>
    <row r="86" spans="1:9" x14ac:dyDescent="0.25">
      <c r="A86" s="21" t="s">
        <v>3001</v>
      </c>
      <c r="B86" s="6" t="s">
        <v>2999</v>
      </c>
      <c r="C86" s="6">
        <v>3</v>
      </c>
      <c r="D86" s="6" t="s">
        <v>2969</v>
      </c>
      <c r="E86" s="6" t="s">
        <v>2973</v>
      </c>
      <c r="F86" s="6">
        <v>6.4106099999999997E-3</v>
      </c>
      <c r="G86" s="6" t="s">
        <v>32</v>
      </c>
      <c r="H86" s="6" t="s">
        <v>14</v>
      </c>
      <c r="I86" s="6" t="s">
        <v>2969</v>
      </c>
    </row>
    <row r="87" spans="1:9" x14ac:dyDescent="0.25">
      <c r="A87" s="5" t="s">
        <v>2971</v>
      </c>
      <c r="B87" s="6" t="s">
        <v>2972</v>
      </c>
      <c r="C87" s="6">
        <v>3</v>
      </c>
      <c r="D87" s="6" t="s">
        <v>2969</v>
      </c>
      <c r="E87" s="6" t="s">
        <v>2973</v>
      </c>
      <c r="F87" s="6">
        <v>6.4106099999999997E-3</v>
      </c>
      <c r="G87" s="6" t="s">
        <v>32</v>
      </c>
      <c r="H87" s="6" t="s">
        <v>14</v>
      </c>
      <c r="I87" s="6" t="s">
        <v>2969</v>
      </c>
    </row>
    <row r="88" spans="1:9" x14ac:dyDescent="0.25">
      <c r="A88" s="5" t="s">
        <v>2977</v>
      </c>
      <c r="B88" s="6" t="s">
        <v>2978</v>
      </c>
      <c r="C88" s="6">
        <v>3</v>
      </c>
      <c r="D88" s="6" t="s">
        <v>2969</v>
      </c>
      <c r="E88" s="6" t="s">
        <v>2973</v>
      </c>
      <c r="F88" s="6">
        <v>6.4106099999999997E-3</v>
      </c>
      <c r="G88" s="6" t="s">
        <v>32</v>
      </c>
      <c r="H88" s="6" t="s">
        <v>14</v>
      </c>
      <c r="I88" s="6" t="s">
        <v>2969</v>
      </c>
    </row>
    <row r="89" spans="1:9" x14ac:dyDescent="0.25">
      <c r="A89" s="21" t="s">
        <v>3002</v>
      </c>
      <c r="B89" s="6" t="s">
        <v>2999</v>
      </c>
      <c r="C89" s="6">
        <v>3</v>
      </c>
      <c r="D89" s="6" t="s">
        <v>2969</v>
      </c>
      <c r="E89" s="6" t="s">
        <v>2973</v>
      </c>
      <c r="F89" s="6">
        <v>6.4106099999999997E-3</v>
      </c>
      <c r="G89" s="6" t="s">
        <v>32</v>
      </c>
      <c r="H89" s="6" t="s">
        <v>14</v>
      </c>
      <c r="I89" s="6" t="s">
        <v>2969</v>
      </c>
    </row>
    <row r="90" spans="1:9" x14ac:dyDescent="0.25">
      <c r="A90" s="21" t="s">
        <v>3003</v>
      </c>
      <c r="B90" s="6" t="s">
        <v>2999</v>
      </c>
      <c r="C90" s="6">
        <v>3</v>
      </c>
      <c r="D90" s="6" t="s">
        <v>2969</v>
      </c>
      <c r="E90" s="6" t="s">
        <v>2973</v>
      </c>
      <c r="F90" s="6">
        <v>6.4106099999999997E-3</v>
      </c>
      <c r="G90" s="6" t="s">
        <v>32</v>
      </c>
      <c r="H90" s="6" t="s">
        <v>14</v>
      </c>
      <c r="I90" s="6" t="s">
        <v>2969</v>
      </c>
    </row>
    <row r="91" spans="1:9" x14ac:dyDescent="0.25">
      <c r="A91" s="5" t="s">
        <v>2971</v>
      </c>
      <c r="B91" s="6" t="s">
        <v>2972</v>
      </c>
      <c r="C91" s="6">
        <v>3</v>
      </c>
      <c r="D91" s="6" t="s">
        <v>2969</v>
      </c>
      <c r="E91" s="6" t="s">
        <v>2973</v>
      </c>
      <c r="F91" s="6">
        <v>6.4106099999999997E-3</v>
      </c>
      <c r="G91" s="6" t="s">
        <v>32</v>
      </c>
      <c r="H91" s="6" t="s">
        <v>14</v>
      </c>
      <c r="I91" s="6" t="s">
        <v>2969</v>
      </c>
    </row>
    <row r="92" spans="1:9" x14ac:dyDescent="0.25">
      <c r="A92" s="5" t="s">
        <v>2977</v>
      </c>
      <c r="B92" s="6" t="s">
        <v>2978</v>
      </c>
      <c r="C92" s="6">
        <v>3</v>
      </c>
      <c r="D92" s="6" t="s">
        <v>2969</v>
      </c>
      <c r="E92" s="6" t="s">
        <v>2973</v>
      </c>
      <c r="F92" s="6">
        <v>6.4106099999999997E-3</v>
      </c>
      <c r="G92" s="6" t="s">
        <v>32</v>
      </c>
      <c r="H92" s="6" t="s">
        <v>14</v>
      </c>
      <c r="I92" s="6" t="s">
        <v>2969</v>
      </c>
    </row>
    <row r="93" spans="1:9" x14ac:dyDescent="0.25">
      <c r="A93" s="5" t="s">
        <v>2971</v>
      </c>
      <c r="B93" s="6" t="s">
        <v>2972</v>
      </c>
      <c r="C93" s="6">
        <v>3</v>
      </c>
      <c r="D93" s="6" t="s">
        <v>2969</v>
      </c>
      <c r="E93" s="6" t="s">
        <v>2973</v>
      </c>
      <c r="F93" s="6">
        <v>6.4106099999999997E-3</v>
      </c>
      <c r="G93" s="6" t="s">
        <v>32</v>
      </c>
      <c r="H93" s="6" t="s">
        <v>14</v>
      </c>
      <c r="I93" s="6" t="s">
        <v>2969</v>
      </c>
    </row>
    <row r="94" spans="1:9" x14ac:dyDescent="0.25">
      <c r="A94" s="5" t="s">
        <v>2977</v>
      </c>
      <c r="B94" s="6" t="s">
        <v>2978</v>
      </c>
      <c r="C94" s="6">
        <v>3</v>
      </c>
      <c r="D94" s="6" t="s">
        <v>2969</v>
      </c>
      <c r="E94" s="6" t="s">
        <v>2973</v>
      </c>
      <c r="F94" s="6">
        <v>6.4106099999999997E-3</v>
      </c>
      <c r="G94" s="6" t="s">
        <v>32</v>
      </c>
      <c r="H94" s="6" t="s">
        <v>14</v>
      </c>
      <c r="I94" s="6" t="s">
        <v>2969</v>
      </c>
    </row>
    <row r="95" spans="1:9" x14ac:dyDescent="0.25">
      <c r="A95" s="5" t="s">
        <v>2971</v>
      </c>
      <c r="B95" s="6" t="s">
        <v>2972</v>
      </c>
      <c r="C95" s="6">
        <v>3</v>
      </c>
      <c r="D95" s="6" t="s">
        <v>2969</v>
      </c>
      <c r="E95" s="6" t="s">
        <v>2973</v>
      </c>
      <c r="F95" s="6">
        <v>6.4106099999999997E-3</v>
      </c>
      <c r="G95" s="6" t="s">
        <v>32</v>
      </c>
      <c r="H95" s="6" t="s">
        <v>14</v>
      </c>
      <c r="I95" s="6" t="s">
        <v>2969</v>
      </c>
    </row>
    <row r="96" spans="1:9" x14ac:dyDescent="0.25">
      <c r="A96" s="5" t="s">
        <v>2977</v>
      </c>
      <c r="B96" s="6" t="s">
        <v>2978</v>
      </c>
      <c r="C96" s="6">
        <v>3</v>
      </c>
      <c r="D96" s="6" t="s">
        <v>2969</v>
      </c>
      <c r="E96" s="6" t="s">
        <v>2973</v>
      </c>
      <c r="F96" s="6">
        <v>6.4106099999999997E-3</v>
      </c>
      <c r="G96" s="6" t="s">
        <v>32</v>
      </c>
      <c r="H96" s="6" t="s">
        <v>14</v>
      </c>
      <c r="I96" s="6" t="s">
        <v>2969</v>
      </c>
    </row>
    <row r="97" spans="1:9" x14ac:dyDescent="0.25">
      <c r="A97" s="5" t="s">
        <v>2971</v>
      </c>
      <c r="B97" s="6" t="s">
        <v>2972</v>
      </c>
      <c r="C97" s="6">
        <v>3</v>
      </c>
      <c r="D97" s="6" t="s">
        <v>2969</v>
      </c>
      <c r="E97" s="6" t="s">
        <v>2973</v>
      </c>
      <c r="F97" s="6">
        <v>6.4106099999999997E-3</v>
      </c>
      <c r="G97" s="6" t="s">
        <v>32</v>
      </c>
      <c r="H97" s="6" t="s">
        <v>14</v>
      </c>
      <c r="I97" s="6" t="s">
        <v>2969</v>
      </c>
    </row>
    <row r="98" spans="1:9" x14ac:dyDescent="0.25">
      <c r="A98" s="5" t="s">
        <v>2977</v>
      </c>
      <c r="B98" s="6" t="s">
        <v>2978</v>
      </c>
      <c r="C98" s="6">
        <v>3</v>
      </c>
      <c r="D98" s="6" t="s">
        <v>2969</v>
      </c>
      <c r="E98" s="6" t="s">
        <v>2973</v>
      </c>
      <c r="F98" s="6">
        <v>6.4106099999999997E-3</v>
      </c>
      <c r="G98" s="6" t="s">
        <v>32</v>
      </c>
      <c r="H98" s="6" t="s">
        <v>14</v>
      </c>
      <c r="I98" s="6" t="s">
        <v>2969</v>
      </c>
    </row>
    <row r="99" spans="1:9" x14ac:dyDescent="0.25">
      <c r="A99" s="5" t="s">
        <v>2971</v>
      </c>
      <c r="B99" s="6" t="s">
        <v>2972</v>
      </c>
      <c r="C99" s="6">
        <v>3</v>
      </c>
      <c r="D99" s="6" t="s">
        <v>2969</v>
      </c>
      <c r="E99" s="6" t="s">
        <v>2973</v>
      </c>
      <c r="F99" s="6">
        <v>6.4106099999999997E-3</v>
      </c>
      <c r="G99" s="6" t="s">
        <v>32</v>
      </c>
      <c r="H99" s="6" t="s">
        <v>14</v>
      </c>
      <c r="I99" s="6" t="s">
        <v>2969</v>
      </c>
    </row>
    <row r="100" spans="1:9" x14ac:dyDescent="0.25">
      <c r="A100" s="5" t="s">
        <v>2977</v>
      </c>
      <c r="B100" s="6" t="s">
        <v>2978</v>
      </c>
      <c r="C100" s="6">
        <v>3</v>
      </c>
      <c r="D100" s="6" t="s">
        <v>2969</v>
      </c>
      <c r="E100" s="6" t="s">
        <v>2973</v>
      </c>
      <c r="F100" s="6">
        <v>6.4106099999999997E-3</v>
      </c>
      <c r="G100" s="6" t="s">
        <v>32</v>
      </c>
      <c r="H100" s="6" t="s">
        <v>14</v>
      </c>
      <c r="I100" s="6" t="s">
        <v>2969</v>
      </c>
    </row>
    <row r="101" spans="1:9" x14ac:dyDescent="0.25">
      <c r="A101" s="5" t="s">
        <v>3060</v>
      </c>
      <c r="B101" s="6" t="s">
        <v>3061</v>
      </c>
      <c r="C101" s="6">
        <v>3</v>
      </c>
      <c r="D101" s="6" t="s">
        <v>2969</v>
      </c>
      <c r="E101" s="6" t="s">
        <v>2973</v>
      </c>
      <c r="F101" s="6">
        <v>6.4106099999999997E-3</v>
      </c>
      <c r="G101" s="6" t="s">
        <v>32</v>
      </c>
      <c r="H101" s="6" t="s">
        <v>14</v>
      </c>
      <c r="I101" s="6" t="s">
        <v>2969</v>
      </c>
    </row>
    <row r="102" spans="1:9" x14ac:dyDescent="0.25">
      <c r="A102" s="5" t="s">
        <v>3062</v>
      </c>
      <c r="B102" s="6" t="s">
        <v>3061</v>
      </c>
      <c r="C102" s="6">
        <v>3</v>
      </c>
      <c r="D102" s="6" t="s">
        <v>2969</v>
      </c>
      <c r="E102" s="6" t="s">
        <v>2973</v>
      </c>
      <c r="F102" s="6">
        <v>6.4106099999999997E-3</v>
      </c>
      <c r="G102" s="6" t="s">
        <v>32</v>
      </c>
      <c r="H102" s="6" t="s">
        <v>14</v>
      </c>
      <c r="I102" s="6" t="s">
        <v>2969</v>
      </c>
    </row>
    <row r="103" spans="1:9" x14ac:dyDescent="0.25">
      <c r="A103" s="5" t="s">
        <v>3063</v>
      </c>
      <c r="B103" s="6" t="s">
        <v>3061</v>
      </c>
      <c r="C103" s="6">
        <v>3</v>
      </c>
      <c r="D103" s="6" t="s">
        <v>2969</v>
      </c>
      <c r="E103" s="6" t="s">
        <v>2973</v>
      </c>
      <c r="F103" s="6">
        <v>6.4106099999999997E-3</v>
      </c>
      <c r="G103" s="6" t="s">
        <v>32</v>
      </c>
      <c r="H103" s="6" t="s">
        <v>14</v>
      </c>
      <c r="I103" s="6" t="s">
        <v>2969</v>
      </c>
    </row>
    <row r="104" spans="1:9" x14ac:dyDescent="0.25">
      <c r="A104" s="5" t="s">
        <v>3065</v>
      </c>
      <c r="B104" s="6" t="s">
        <v>3061</v>
      </c>
      <c r="C104" s="6">
        <v>3</v>
      </c>
      <c r="D104" s="6" t="s">
        <v>2969</v>
      </c>
      <c r="E104" s="6" t="s">
        <v>2973</v>
      </c>
      <c r="F104" s="6">
        <v>6.4106099999999997E-3</v>
      </c>
      <c r="G104" s="6" t="s">
        <v>32</v>
      </c>
      <c r="H104" s="6" t="s">
        <v>14</v>
      </c>
      <c r="I104" s="6" t="s">
        <v>2969</v>
      </c>
    </row>
    <row r="105" spans="1:9" x14ac:dyDescent="0.25">
      <c r="A105" s="5" t="s">
        <v>3067</v>
      </c>
      <c r="B105" s="6" t="s">
        <v>3061</v>
      </c>
      <c r="C105" s="6">
        <v>3</v>
      </c>
      <c r="D105" s="6" t="s">
        <v>2969</v>
      </c>
      <c r="E105" s="6" t="s">
        <v>2973</v>
      </c>
      <c r="F105" s="6">
        <v>6.4106099999999997E-3</v>
      </c>
      <c r="G105" s="6" t="s">
        <v>32</v>
      </c>
      <c r="H105" s="6" t="s">
        <v>14</v>
      </c>
      <c r="I105" s="6" t="s">
        <v>2969</v>
      </c>
    </row>
    <row r="106" spans="1:9" x14ac:dyDescent="0.25">
      <c r="A106" s="5" t="s">
        <v>3068</v>
      </c>
      <c r="B106" s="6" t="s">
        <v>3061</v>
      </c>
      <c r="C106" s="6">
        <v>3</v>
      </c>
      <c r="D106" s="6" t="s">
        <v>2969</v>
      </c>
      <c r="E106" s="6" t="s">
        <v>2973</v>
      </c>
      <c r="F106" s="6">
        <v>6.4106099999999997E-3</v>
      </c>
      <c r="G106" s="6" t="s">
        <v>32</v>
      </c>
      <c r="H106" s="6" t="s">
        <v>14</v>
      </c>
      <c r="I106" s="6" t="s">
        <v>2969</v>
      </c>
    </row>
    <row r="107" spans="1:9" x14ac:dyDescent="0.25">
      <c r="A107" s="5" t="s">
        <v>3069</v>
      </c>
      <c r="B107" s="6" t="s">
        <v>3061</v>
      </c>
      <c r="C107" s="6">
        <v>3</v>
      </c>
      <c r="D107" s="6" t="s">
        <v>2969</v>
      </c>
      <c r="E107" s="6" t="s">
        <v>2973</v>
      </c>
      <c r="F107" s="6">
        <v>6.4106099999999997E-3</v>
      </c>
      <c r="G107" s="6" t="s">
        <v>32</v>
      </c>
      <c r="H107" s="6" t="s">
        <v>14</v>
      </c>
      <c r="I107" s="6" t="s">
        <v>2969</v>
      </c>
    </row>
    <row r="108" spans="1:9" x14ac:dyDescent="0.25">
      <c r="A108" s="5" t="s">
        <v>2971</v>
      </c>
      <c r="B108" s="6" t="s">
        <v>2972</v>
      </c>
      <c r="C108" s="6">
        <v>3</v>
      </c>
      <c r="D108" s="6" t="s">
        <v>2969</v>
      </c>
      <c r="E108" s="6" t="s">
        <v>2973</v>
      </c>
      <c r="F108" s="6">
        <v>6.4106099999999997E-3</v>
      </c>
      <c r="G108" s="6" t="s">
        <v>32</v>
      </c>
      <c r="H108" s="6" t="s">
        <v>14</v>
      </c>
      <c r="I108" s="6" t="s">
        <v>2969</v>
      </c>
    </row>
    <row r="109" spans="1:9" x14ac:dyDescent="0.25">
      <c r="A109" s="5" t="s">
        <v>2977</v>
      </c>
      <c r="B109" s="6" t="s">
        <v>2978</v>
      </c>
      <c r="C109" s="6">
        <v>3</v>
      </c>
      <c r="D109" s="6" t="s">
        <v>2969</v>
      </c>
      <c r="E109" s="6" t="s">
        <v>2973</v>
      </c>
      <c r="F109" s="6">
        <v>6.4106099999999997E-3</v>
      </c>
      <c r="G109" s="6" t="s">
        <v>32</v>
      </c>
      <c r="H109" s="6" t="s">
        <v>14</v>
      </c>
      <c r="I109" s="6" t="s">
        <v>2969</v>
      </c>
    </row>
    <row r="110" spans="1:9" x14ac:dyDescent="0.25">
      <c r="A110" s="6" t="s">
        <v>3065</v>
      </c>
      <c r="B110" s="6" t="s">
        <v>2980</v>
      </c>
      <c r="C110" s="6">
        <v>3</v>
      </c>
      <c r="D110" s="6" t="s">
        <v>2969</v>
      </c>
      <c r="E110" s="6" t="s">
        <v>2973</v>
      </c>
      <c r="F110" s="6">
        <v>6.4106099999999997E-3</v>
      </c>
      <c r="G110" s="6" t="s">
        <v>32</v>
      </c>
      <c r="H110" s="6" t="s">
        <v>14</v>
      </c>
      <c r="I110" s="6" t="s">
        <v>2969</v>
      </c>
    </row>
    <row r="111" spans="1:9" x14ac:dyDescent="0.25">
      <c r="A111" s="6" t="s">
        <v>3045</v>
      </c>
      <c r="B111" s="6" t="s">
        <v>2980</v>
      </c>
      <c r="C111" s="6">
        <v>3</v>
      </c>
      <c r="D111" s="6" t="s">
        <v>2969</v>
      </c>
      <c r="E111" s="6" t="s">
        <v>2973</v>
      </c>
      <c r="F111" s="6">
        <v>6.4106099999999997E-3</v>
      </c>
      <c r="G111" s="6" t="s">
        <v>32</v>
      </c>
      <c r="H111" s="6" t="s">
        <v>14</v>
      </c>
      <c r="I111" s="6" t="s">
        <v>2969</v>
      </c>
    </row>
    <row r="112" spans="1:9" x14ac:dyDescent="0.25">
      <c r="A112" s="6" t="s">
        <v>3047</v>
      </c>
      <c r="B112" s="6" t="s">
        <v>2980</v>
      </c>
      <c r="C112" s="6">
        <v>3</v>
      </c>
      <c r="D112" s="6" t="s">
        <v>2969</v>
      </c>
      <c r="E112" s="6" t="s">
        <v>2973</v>
      </c>
      <c r="F112" s="6">
        <v>6.4106099999999997E-3</v>
      </c>
      <c r="G112" s="6" t="s">
        <v>32</v>
      </c>
      <c r="H112" s="6" t="s">
        <v>14</v>
      </c>
      <c r="I112" s="6" t="s">
        <v>2969</v>
      </c>
    </row>
    <row r="113" spans="1:9" x14ac:dyDescent="0.25">
      <c r="A113" s="6" t="s">
        <v>3045</v>
      </c>
      <c r="B113" s="6" t="s">
        <v>2980</v>
      </c>
      <c r="C113" s="6">
        <v>3</v>
      </c>
      <c r="D113" s="6" t="s">
        <v>2969</v>
      </c>
      <c r="E113" s="6" t="s">
        <v>2973</v>
      </c>
      <c r="F113" s="6">
        <v>6.4106099999999997E-3</v>
      </c>
      <c r="G113" s="6" t="s">
        <v>32</v>
      </c>
      <c r="H113" s="6" t="s">
        <v>14</v>
      </c>
      <c r="I113" s="6" t="s">
        <v>2969</v>
      </c>
    </row>
    <row r="114" spans="1:9" x14ac:dyDescent="0.25">
      <c r="A114" s="6" t="s">
        <v>3047</v>
      </c>
      <c r="B114" s="6" t="s">
        <v>2980</v>
      </c>
      <c r="C114" s="6">
        <v>3</v>
      </c>
      <c r="D114" s="6" t="s">
        <v>2969</v>
      </c>
      <c r="E114" s="6" t="s">
        <v>2973</v>
      </c>
      <c r="F114" s="6">
        <v>6.4106099999999997E-3</v>
      </c>
      <c r="G114" s="6" t="s">
        <v>32</v>
      </c>
      <c r="H114" s="6" t="s">
        <v>14</v>
      </c>
      <c r="I114" s="6" t="s">
        <v>2969</v>
      </c>
    </row>
    <row r="115" spans="1:9" x14ac:dyDescent="0.25">
      <c r="A115" s="5" t="s">
        <v>2971</v>
      </c>
      <c r="B115" s="6" t="s">
        <v>2972</v>
      </c>
      <c r="C115" s="6">
        <v>3</v>
      </c>
      <c r="D115" s="6" t="s">
        <v>2969</v>
      </c>
      <c r="E115" s="6" t="s">
        <v>2973</v>
      </c>
      <c r="F115" s="6">
        <v>6.4106099999999997E-3</v>
      </c>
      <c r="G115" s="6" t="s">
        <v>32</v>
      </c>
      <c r="H115" s="6" t="s">
        <v>14</v>
      </c>
      <c r="I115" s="6" t="s">
        <v>2969</v>
      </c>
    </row>
    <row r="116" spans="1:9" x14ac:dyDescent="0.25">
      <c r="A116" s="5" t="s">
        <v>2977</v>
      </c>
      <c r="B116" s="6" t="s">
        <v>2978</v>
      </c>
      <c r="C116" s="6">
        <v>3</v>
      </c>
      <c r="D116" s="6" t="s">
        <v>2969</v>
      </c>
      <c r="E116" s="6" t="s">
        <v>2973</v>
      </c>
      <c r="F116" s="6">
        <v>6.4106099999999997E-3</v>
      </c>
      <c r="G116" s="6" t="s">
        <v>32</v>
      </c>
      <c r="H116" s="6" t="s">
        <v>14</v>
      </c>
      <c r="I116" s="6" t="s">
        <v>2969</v>
      </c>
    </row>
    <row r="117" spans="1:9" x14ac:dyDescent="0.25">
      <c r="A117" s="23" t="s">
        <v>2971</v>
      </c>
      <c r="B117" s="24" t="s">
        <v>2972</v>
      </c>
      <c r="C117" s="6">
        <v>3</v>
      </c>
      <c r="D117" s="6" t="s">
        <v>2969</v>
      </c>
      <c r="E117" s="6" t="s">
        <v>2973</v>
      </c>
      <c r="F117" s="6">
        <v>6.4106099999999997E-3</v>
      </c>
      <c r="G117" s="6" t="s">
        <v>32</v>
      </c>
      <c r="H117" s="6" t="s">
        <v>14</v>
      </c>
      <c r="I117" s="6" t="s">
        <v>2969</v>
      </c>
    </row>
    <row r="118" spans="1:9" x14ac:dyDescent="0.25">
      <c r="A118" s="23" t="s">
        <v>2977</v>
      </c>
      <c r="B118" s="24" t="s">
        <v>2978</v>
      </c>
      <c r="C118" s="6">
        <v>3</v>
      </c>
      <c r="D118" s="6" t="s">
        <v>2969</v>
      </c>
      <c r="E118" s="6" t="s">
        <v>2973</v>
      </c>
      <c r="F118" s="6">
        <v>6.4106099999999997E-3</v>
      </c>
      <c r="G118" s="6" t="s">
        <v>32</v>
      </c>
      <c r="H118" s="6" t="s">
        <v>14</v>
      </c>
      <c r="I118" s="6" t="s">
        <v>2969</v>
      </c>
    </row>
    <row r="119" spans="1:9" x14ac:dyDescent="0.25">
      <c r="A119" s="23" t="s">
        <v>3035</v>
      </c>
      <c r="B119" s="24" t="s">
        <v>3061</v>
      </c>
      <c r="C119" s="6">
        <v>3</v>
      </c>
      <c r="D119" s="6" t="s">
        <v>2969</v>
      </c>
      <c r="E119" s="6" t="s">
        <v>2973</v>
      </c>
      <c r="F119" s="6">
        <v>6.4106099999999997E-3</v>
      </c>
      <c r="G119" s="6" t="s">
        <v>32</v>
      </c>
      <c r="H119" s="6" t="s">
        <v>14</v>
      </c>
      <c r="I119" s="6" t="s">
        <v>2969</v>
      </c>
    </row>
    <row r="120" spans="1:9" x14ac:dyDescent="0.25">
      <c r="A120" s="23" t="s">
        <v>3074</v>
      </c>
      <c r="B120" s="24" t="s">
        <v>3061</v>
      </c>
      <c r="C120" s="6">
        <v>3</v>
      </c>
      <c r="D120" s="6" t="s">
        <v>2969</v>
      </c>
      <c r="E120" s="6" t="s">
        <v>2973</v>
      </c>
      <c r="F120" s="6">
        <v>6.4106099999999997E-3</v>
      </c>
      <c r="G120" s="6" t="s">
        <v>32</v>
      </c>
      <c r="H120" s="6" t="s">
        <v>14</v>
      </c>
      <c r="I120" s="6" t="s">
        <v>2969</v>
      </c>
    </row>
    <row r="121" spans="1:9" x14ac:dyDescent="0.25">
      <c r="A121" s="5" t="s">
        <v>3027</v>
      </c>
      <c r="B121" s="24" t="s">
        <v>3061</v>
      </c>
      <c r="C121" s="6">
        <v>3</v>
      </c>
      <c r="D121" s="6" t="s">
        <v>2969</v>
      </c>
      <c r="E121" s="6" t="s">
        <v>2973</v>
      </c>
      <c r="F121" s="6">
        <v>6.4106099999999997E-3</v>
      </c>
      <c r="G121" s="6" t="s">
        <v>32</v>
      </c>
      <c r="H121" s="6" t="s">
        <v>14</v>
      </c>
      <c r="I121" s="6" t="s">
        <v>2969</v>
      </c>
    </row>
    <row r="122" spans="1:9" x14ac:dyDescent="0.25">
      <c r="A122" s="21" t="s">
        <v>2991</v>
      </c>
      <c r="B122" s="6" t="s">
        <v>3075</v>
      </c>
      <c r="C122" s="6">
        <v>3</v>
      </c>
      <c r="D122" s="6" t="s">
        <v>2969</v>
      </c>
      <c r="E122" s="6" t="s">
        <v>2973</v>
      </c>
      <c r="F122" s="6">
        <v>6.4106099999999997E-3</v>
      </c>
      <c r="G122" s="6" t="s">
        <v>32</v>
      </c>
      <c r="H122" s="6" t="s">
        <v>14</v>
      </c>
      <c r="I122" s="6" t="s">
        <v>2969</v>
      </c>
    </row>
    <row r="123" spans="1:9" x14ac:dyDescent="0.25">
      <c r="A123" s="21" t="s">
        <v>3076</v>
      </c>
      <c r="B123" s="6" t="s">
        <v>3075</v>
      </c>
      <c r="C123" s="6">
        <v>3</v>
      </c>
      <c r="D123" s="6" t="s">
        <v>2969</v>
      </c>
      <c r="E123" s="6" t="s">
        <v>2973</v>
      </c>
      <c r="F123" s="6">
        <v>6.4106099999999997E-3</v>
      </c>
      <c r="G123" s="6" t="s">
        <v>32</v>
      </c>
      <c r="H123" s="6" t="s">
        <v>14</v>
      </c>
      <c r="I123" s="6" t="s">
        <v>2969</v>
      </c>
    </row>
    <row r="124" spans="1:9" x14ac:dyDescent="0.25">
      <c r="A124" s="21" t="s">
        <v>3001</v>
      </c>
      <c r="B124" s="6" t="s">
        <v>3075</v>
      </c>
      <c r="C124" s="6">
        <v>3</v>
      </c>
      <c r="D124" s="6" t="s">
        <v>2969</v>
      </c>
      <c r="E124" s="6" t="s">
        <v>2973</v>
      </c>
      <c r="F124" s="6">
        <v>6.4106099999999997E-3</v>
      </c>
      <c r="G124" s="6" t="s">
        <v>32</v>
      </c>
      <c r="H124" s="6" t="s">
        <v>14</v>
      </c>
      <c r="I124" s="6" t="s">
        <v>2969</v>
      </c>
    </row>
    <row r="125" spans="1:9" x14ac:dyDescent="0.25">
      <c r="A125" s="5" t="s">
        <v>2971</v>
      </c>
      <c r="B125" s="6" t="s">
        <v>2972</v>
      </c>
      <c r="C125" s="6">
        <v>3</v>
      </c>
      <c r="D125" s="6" t="s">
        <v>2969</v>
      </c>
      <c r="E125" s="6" t="s">
        <v>2973</v>
      </c>
      <c r="F125" s="6">
        <v>6.4106099999999997E-3</v>
      </c>
      <c r="G125" s="6" t="s">
        <v>32</v>
      </c>
      <c r="H125" s="6" t="s">
        <v>14</v>
      </c>
      <c r="I125" s="6" t="s">
        <v>2969</v>
      </c>
    </row>
    <row r="126" spans="1:9" x14ac:dyDescent="0.25">
      <c r="A126" s="5" t="s">
        <v>2977</v>
      </c>
      <c r="B126" s="6" t="s">
        <v>2978</v>
      </c>
      <c r="C126" s="6">
        <v>3</v>
      </c>
      <c r="D126" s="6" t="s">
        <v>2969</v>
      </c>
      <c r="E126" s="6" t="s">
        <v>2973</v>
      </c>
      <c r="F126" s="6">
        <v>6.4106099999999997E-3</v>
      </c>
      <c r="G126" s="6" t="s">
        <v>32</v>
      </c>
      <c r="H126" s="6" t="s">
        <v>14</v>
      </c>
      <c r="I126" s="6" t="s">
        <v>2969</v>
      </c>
    </row>
    <row r="127" spans="1:9" x14ac:dyDescent="0.25">
      <c r="A127" s="5" t="s">
        <v>2971</v>
      </c>
      <c r="B127" s="6" t="s">
        <v>2972</v>
      </c>
      <c r="C127" s="6">
        <v>3</v>
      </c>
      <c r="D127" s="6" t="s">
        <v>2969</v>
      </c>
      <c r="E127" s="6" t="s">
        <v>2973</v>
      </c>
      <c r="F127" s="6">
        <v>6.4106099999999997E-3</v>
      </c>
      <c r="G127" s="6" t="s">
        <v>32</v>
      </c>
      <c r="H127" s="6" t="s">
        <v>14</v>
      </c>
      <c r="I127" s="6" t="s">
        <v>2969</v>
      </c>
    </row>
    <row r="128" spans="1:9" x14ac:dyDescent="0.25">
      <c r="A128" s="5" t="s">
        <v>2977</v>
      </c>
      <c r="B128" s="6" t="s">
        <v>2978</v>
      </c>
      <c r="C128" s="6">
        <v>3</v>
      </c>
      <c r="D128" s="6" t="s">
        <v>2969</v>
      </c>
      <c r="E128" s="6" t="s">
        <v>2973</v>
      </c>
      <c r="F128" s="6">
        <v>6.4106099999999997E-3</v>
      </c>
      <c r="G128" s="6" t="s">
        <v>32</v>
      </c>
      <c r="H128" s="6" t="s">
        <v>14</v>
      </c>
      <c r="I128" s="6" t="s">
        <v>2969</v>
      </c>
    </row>
    <row r="129" spans="1:9" x14ac:dyDescent="0.25">
      <c r="A129" s="6" t="s">
        <v>3089</v>
      </c>
      <c r="B129" s="6" t="s">
        <v>3011</v>
      </c>
      <c r="C129" s="6">
        <v>3</v>
      </c>
      <c r="D129" s="6" t="s">
        <v>2969</v>
      </c>
      <c r="E129" s="6" t="s">
        <v>2973</v>
      </c>
      <c r="F129" s="6">
        <v>6.4106099999999997E-3</v>
      </c>
      <c r="G129" s="6" t="s">
        <v>32</v>
      </c>
      <c r="H129" s="6" t="s">
        <v>14</v>
      </c>
      <c r="I129" s="6" t="s">
        <v>2969</v>
      </c>
    </row>
    <row r="130" spans="1:9" x14ac:dyDescent="0.25">
      <c r="A130" s="6" t="s">
        <v>3097</v>
      </c>
      <c r="B130" s="6" t="s">
        <v>3011</v>
      </c>
      <c r="C130" s="6">
        <v>3</v>
      </c>
      <c r="D130" s="6" t="s">
        <v>2969</v>
      </c>
      <c r="E130" s="6" t="s">
        <v>2973</v>
      </c>
      <c r="F130" s="6">
        <v>6.4106099999999997E-3</v>
      </c>
      <c r="G130" s="6" t="s">
        <v>32</v>
      </c>
      <c r="H130" s="6" t="s">
        <v>14</v>
      </c>
      <c r="I130" s="6" t="s">
        <v>2969</v>
      </c>
    </row>
    <row r="131" spans="1:9" x14ac:dyDescent="0.25">
      <c r="A131" s="5" t="s">
        <v>1042</v>
      </c>
      <c r="B131" s="6" t="s">
        <v>2980</v>
      </c>
      <c r="C131" s="6">
        <v>3</v>
      </c>
      <c r="D131" s="6" t="s">
        <v>2969</v>
      </c>
      <c r="E131" s="6" t="s">
        <v>2981</v>
      </c>
      <c r="F131" s="6">
        <v>9.8485E-4</v>
      </c>
      <c r="G131" s="6" t="s">
        <v>32</v>
      </c>
      <c r="H131" s="6" t="s">
        <v>14</v>
      </c>
      <c r="I131" s="6" t="s">
        <v>2969</v>
      </c>
    </row>
    <row r="132" spans="1:9" x14ac:dyDescent="0.25">
      <c r="A132" s="5" t="s">
        <v>2984</v>
      </c>
      <c r="B132" s="6" t="s">
        <v>2980</v>
      </c>
      <c r="C132" s="6">
        <v>3</v>
      </c>
      <c r="D132" s="6" t="s">
        <v>2969</v>
      </c>
      <c r="E132" s="6" t="s">
        <v>2981</v>
      </c>
      <c r="F132" s="6">
        <v>9.8485E-4</v>
      </c>
      <c r="G132" s="6" t="s">
        <v>32</v>
      </c>
      <c r="H132" s="6" t="s">
        <v>14</v>
      </c>
      <c r="I132" s="6" t="s">
        <v>2969</v>
      </c>
    </row>
    <row r="133" spans="1:9" x14ac:dyDescent="0.25">
      <c r="A133" s="5" t="s">
        <v>2985</v>
      </c>
      <c r="B133" s="6" t="s">
        <v>2980</v>
      </c>
      <c r="C133" s="6">
        <v>3</v>
      </c>
      <c r="D133" s="6" t="s">
        <v>2969</v>
      </c>
      <c r="E133" s="6" t="s">
        <v>2981</v>
      </c>
      <c r="F133" s="6">
        <v>9.8485E-4</v>
      </c>
      <c r="G133" s="6" t="s">
        <v>32</v>
      </c>
      <c r="H133" s="6" t="s">
        <v>14</v>
      </c>
      <c r="I133" s="6" t="s">
        <v>2969</v>
      </c>
    </row>
    <row r="134" spans="1:9" x14ac:dyDescent="0.25">
      <c r="A134" s="17" t="s">
        <v>929</v>
      </c>
      <c r="B134" s="20" t="s">
        <v>2980</v>
      </c>
      <c r="C134" s="6">
        <v>3</v>
      </c>
      <c r="D134" s="6" t="s">
        <v>2969</v>
      </c>
      <c r="E134" s="6" t="s">
        <v>2981</v>
      </c>
      <c r="F134" s="6">
        <v>9.8485E-4</v>
      </c>
      <c r="G134" s="6" t="s">
        <v>32</v>
      </c>
      <c r="H134" s="6" t="s">
        <v>14</v>
      </c>
      <c r="I134" s="6" t="s">
        <v>2969</v>
      </c>
    </row>
    <row r="135" spans="1:9" x14ac:dyDescent="0.25">
      <c r="A135" s="5" t="s">
        <v>2987</v>
      </c>
      <c r="B135" s="6" t="s">
        <v>2980</v>
      </c>
      <c r="C135" s="6">
        <v>3</v>
      </c>
      <c r="D135" s="6" t="s">
        <v>2969</v>
      </c>
      <c r="E135" s="6" t="s">
        <v>2981</v>
      </c>
      <c r="F135" s="6">
        <v>9.8485E-4</v>
      </c>
      <c r="G135" s="6" t="s">
        <v>32</v>
      </c>
      <c r="H135" s="6" t="s">
        <v>14</v>
      </c>
      <c r="I135" s="6" t="s">
        <v>2969</v>
      </c>
    </row>
    <row r="136" spans="1:9" x14ac:dyDescent="0.25">
      <c r="A136" s="5" t="s">
        <v>2988</v>
      </c>
      <c r="B136" s="6" t="s">
        <v>2980</v>
      </c>
      <c r="C136" s="6">
        <v>3</v>
      </c>
      <c r="D136" s="6" t="s">
        <v>2969</v>
      </c>
      <c r="E136" s="6" t="s">
        <v>2981</v>
      </c>
      <c r="F136" s="6">
        <v>9.8485E-4</v>
      </c>
      <c r="G136" s="6" t="s">
        <v>32</v>
      </c>
      <c r="H136" s="6" t="s">
        <v>14</v>
      </c>
      <c r="I136" s="6" t="s">
        <v>2969</v>
      </c>
    </row>
    <row r="137" spans="1:9" x14ac:dyDescent="0.25">
      <c r="A137" s="5" t="s">
        <v>2989</v>
      </c>
      <c r="B137" s="6" t="s">
        <v>2980</v>
      </c>
      <c r="C137" s="6">
        <v>3</v>
      </c>
      <c r="D137" s="6" t="s">
        <v>2969</v>
      </c>
      <c r="E137" s="6" t="s">
        <v>2981</v>
      </c>
      <c r="F137" s="6">
        <v>9.8485E-4</v>
      </c>
      <c r="G137" s="6" t="s">
        <v>32</v>
      </c>
      <c r="H137" s="6" t="s">
        <v>14</v>
      </c>
      <c r="I137" s="6" t="s">
        <v>2969</v>
      </c>
    </row>
    <row r="138" spans="1:9" x14ac:dyDescent="0.25">
      <c r="A138" s="5" t="s">
        <v>2990</v>
      </c>
      <c r="B138" s="6" t="s">
        <v>2980</v>
      </c>
      <c r="C138" s="6">
        <v>3</v>
      </c>
      <c r="D138" s="6" t="s">
        <v>2969</v>
      </c>
      <c r="E138" s="6" t="s">
        <v>2981</v>
      </c>
      <c r="F138" s="6">
        <v>9.8485E-4</v>
      </c>
      <c r="G138" s="6" t="s">
        <v>32</v>
      </c>
      <c r="H138" s="6" t="s">
        <v>14</v>
      </c>
      <c r="I138" s="6" t="s">
        <v>2969</v>
      </c>
    </row>
    <row r="139" spans="1:9" x14ac:dyDescent="0.25">
      <c r="A139" s="5" t="s">
        <v>2991</v>
      </c>
      <c r="B139" s="6" t="s">
        <v>2980</v>
      </c>
      <c r="C139" s="6">
        <v>3</v>
      </c>
      <c r="D139" s="6" t="s">
        <v>2969</v>
      </c>
      <c r="E139" s="6" t="s">
        <v>2981</v>
      </c>
      <c r="F139" s="6">
        <v>9.8485E-4</v>
      </c>
      <c r="G139" s="6" t="s">
        <v>32</v>
      </c>
      <c r="H139" s="6" t="s">
        <v>14</v>
      </c>
      <c r="I139" s="6" t="s">
        <v>2969</v>
      </c>
    </row>
    <row r="140" spans="1:9" x14ac:dyDescent="0.25">
      <c r="A140" s="5" t="s">
        <v>2993</v>
      </c>
      <c r="B140" s="6" t="s">
        <v>2980</v>
      </c>
      <c r="C140" s="6">
        <v>3</v>
      </c>
      <c r="D140" s="6" t="s">
        <v>2969</v>
      </c>
      <c r="E140" s="6" t="s">
        <v>2981</v>
      </c>
      <c r="F140" s="6">
        <v>9.8485E-4</v>
      </c>
      <c r="G140" s="6" t="s">
        <v>32</v>
      </c>
      <c r="H140" s="6" t="s">
        <v>14</v>
      </c>
      <c r="I140" s="6" t="s">
        <v>2969</v>
      </c>
    </row>
    <row r="141" spans="1:9" x14ac:dyDescent="0.25">
      <c r="A141" s="5" t="s">
        <v>2994</v>
      </c>
      <c r="B141" s="6" t="s">
        <v>2980</v>
      </c>
      <c r="C141" s="6">
        <v>3</v>
      </c>
      <c r="D141" s="6" t="s">
        <v>2969</v>
      </c>
      <c r="E141" s="6" t="s">
        <v>2981</v>
      </c>
      <c r="F141" s="6">
        <v>9.8485E-4</v>
      </c>
      <c r="G141" s="6" t="s">
        <v>32</v>
      </c>
      <c r="H141" s="6" t="s">
        <v>14</v>
      </c>
      <c r="I141" s="6" t="s">
        <v>2969</v>
      </c>
    </row>
    <row r="142" spans="1:9" x14ac:dyDescent="0.25">
      <c r="A142" s="5" t="s">
        <v>2995</v>
      </c>
      <c r="B142" s="6" t="s">
        <v>2980</v>
      </c>
      <c r="C142" s="6">
        <v>3</v>
      </c>
      <c r="D142" s="6" t="s">
        <v>2969</v>
      </c>
      <c r="E142" s="6" t="s">
        <v>2981</v>
      </c>
      <c r="F142" s="6">
        <v>9.8485E-4</v>
      </c>
      <c r="G142" s="6" t="s">
        <v>32</v>
      </c>
      <c r="H142" s="6" t="s">
        <v>14</v>
      </c>
      <c r="I142" s="6" t="s">
        <v>2969</v>
      </c>
    </row>
    <row r="143" spans="1:9" x14ac:dyDescent="0.25">
      <c r="A143" s="17" t="s">
        <v>2996</v>
      </c>
      <c r="B143" s="20" t="s">
        <v>2980</v>
      </c>
      <c r="C143" s="6">
        <v>3</v>
      </c>
      <c r="D143" s="6" t="s">
        <v>2969</v>
      </c>
      <c r="E143" s="6" t="s">
        <v>2981</v>
      </c>
      <c r="F143" s="6">
        <v>9.8485E-4</v>
      </c>
      <c r="G143" s="6" t="s">
        <v>32</v>
      </c>
      <c r="H143" s="6" t="s">
        <v>14</v>
      </c>
      <c r="I143" s="6" t="s">
        <v>2969</v>
      </c>
    </row>
    <row r="144" spans="1:9" x14ac:dyDescent="0.25">
      <c r="A144" s="21" t="s">
        <v>3005</v>
      </c>
      <c r="B144" s="6" t="s">
        <v>2980</v>
      </c>
      <c r="C144" s="6">
        <v>3</v>
      </c>
      <c r="D144" s="6" t="s">
        <v>2969</v>
      </c>
      <c r="E144" s="6" t="s">
        <v>2981</v>
      </c>
      <c r="F144" s="6">
        <v>9.8485E-4</v>
      </c>
      <c r="G144" s="6" t="s">
        <v>32</v>
      </c>
      <c r="H144" s="6" t="s">
        <v>14</v>
      </c>
      <c r="I144" s="6" t="s">
        <v>2969</v>
      </c>
    </row>
    <row r="145" spans="1:9" x14ac:dyDescent="0.25">
      <c r="A145" s="21" t="s">
        <v>3006</v>
      </c>
      <c r="B145" s="6" t="s">
        <v>2980</v>
      </c>
      <c r="C145" s="6">
        <v>3</v>
      </c>
      <c r="D145" s="6" t="s">
        <v>2969</v>
      </c>
      <c r="E145" s="6" t="s">
        <v>2981</v>
      </c>
      <c r="F145" s="6">
        <v>9.8485E-4</v>
      </c>
      <c r="G145" s="6" t="s">
        <v>32</v>
      </c>
      <c r="H145" s="6" t="s">
        <v>14</v>
      </c>
      <c r="I145" s="6" t="s">
        <v>2969</v>
      </c>
    </row>
    <row r="146" spans="1:9" x14ac:dyDescent="0.25">
      <c r="A146" s="21" t="s">
        <v>3007</v>
      </c>
      <c r="B146" s="6" t="s">
        <v>2980</v>
      </c>
      <c r="C146" s="6">
        <v>3</v>
      </c>
      <c r="D146" s="6" t="s">
        <v>2969</v>
      </c>
      <c r="E146" s="6" t="s">
        <v>2981</v>
      </c>
      <c r="F146" s="6">
        <v>9.8485E-4</v>
      </c>
      <c r="G146" s="6" t="s">
        <v>32</v>
      </c>
      <c r="H146" s="6" t="s">
        <v>14</v>
      </c>
      <c r="I146" s="6" t="s">
        <v>2969</v>
      </c>
    </row>
    <row r="147" spans="1:9" x14ac:dyDescent="0.25">
      <c r="A147" s="21" t="s">
        <v>3008</v>
      </c>
      <c r="B147" s="6" t="s">
        <v>2980</v>
      </c>
      <c r="C147" s="6">
        <v>3</v>
      </c>
      <c r="D147" s="6" t="s">
        <v>2969</v>
      </c>
      <c r="E147" s="6" t="s">
        <v>2981</v>
      </c>
      <c r="F147" s="6">
        <v>9.8485E-4</v>
      </c>
      <c r="G147" s="6" t="s">
        <v>32</v>
      </c>
      <c r="H147" s="6" t="s">
        <v>14</v>
      </c>
      <c r="I147" s="6" t="s">
        <v>2969</v>
      </c>
    </row>
    <row r="148" spans="1:9" x14ac:dyDescent="0.25">
      <c r="A148" s="21" t="s">
        <v>3009</v>
      </c>
      <c r="B148" s="6" t="s">
        <v>2980</v>
      </c>
      <c r="C148" s="6">
        <v>3</v>
      </c>
      <c r="D148" s="6" t="s">
        <v>2969</v>
      </c>
      <c r="E148" s="6" t="s">
        <v>2981</v>
      </c>
      <c r="F148" s="6">
        <v>9.8485E-4</v>
      </c>
      <c r="G148" s="6" t="s">
        <v>32</v>
      </c>
      <c r="H148" s="6" t="s">
        <v>14</v>
      </c>
      <c r="I148" s="6" t="s">
        <v>2969</v>
      </c>
    </row>
    <row r="149" spans="1:9" x14ac:dyDescent="0.25">
      <c r="A149" s="21" t="s">
        <v>3012</v>
      </c>
      <c r="B149" s="6" t="s">
        <v>2980</v>
      </c>
      <c r="C149" s="6">
        <v>3</v>
      </c>
      <c r="D149" s="6" t="s">
        <v>2969</v>
      </c>
      <c r="E149" s="6" t="s">
        <v>2981</v>
      </c>
      <c r="F149" s="6">
        <v>9.8485E-4</v>
      </c>
      <c r="G149" s="6" t="s">
        <v>32</v>
      </c>
      <c r="H149" s="6" t="s">
        <v>14</v>
      </c>
      <c r="I149" s="6" t="s">
        <v>2969</v>
      </c>
    </row>
    <row r="150" spans="1:9" x14ac:dyDescent="0.25">
      <c r="A150" s="21" t="s">
        <v>3013</v>
      </c>
      <c r="B150" s="6" t="s">
        <v>2980</v>
      </c>
      <c r="C150" s="6">
        <v>3</v>
      </c>
      <c r="D150" s="6" t="s">
        <v>2969</v>
      </c>
      <c r="E150" s="6" t="s">
        <v>2981</v>
      </c>
      <c r="F150" s="6">
        <v>9.8485E-4</v>
      </c>
      <c r="G150" s="6" t="s">
        <v>32</v>
      </c>
      <c r="H150" s="6" t="s">
        <v>14</v>
      </c>
      <c r="I150" s="6" t="s">
        <v>2969</v>
      </c>
    </row>
    <row r="151" spans="1:9" x14ac:dyDescent="0.25">
      <c r="A151" s="5" t="s">
        <v>3014</v>
      </c>
      <c r="B151" s="6" t="s">
        <v>3015</v>
      </c>
      <c r="C151" s="6">
        <v>3</v>
      </c>
      <c r="D151" s="6" t="s">
        <v>2969</v>
      </c>
      <c r="E151" s="6" t="s">
        <v>2981</v>
      </c>
      <c r="F151" s="6">
        <v>9.8485E-4</v>
      </c>
      <c r="G151" s="6" t="s">
        <v>32</v>
      </c>
      <c r="H151" s="6" t="s">
        <v>14</v>
      </c>
      <c r="I151" s="6" t="s">
        <v>2969</v>
      </c>
    </row>
    <row r="152" spans="1:9" x14ac:dyDescent="0.25">
      <c r="A152" s="5" t="s">
        <v>3016</v>
      </c>
      <c r="B152" s="6" t="s">
        <v>3017</v>
      </c>
      <c r="C152" s="6">
        <v>3</v>
      </c>
      <c r="D152" s="6" t="s">
        <v>2969</v>
      </c>
      <c r="E152" s="6" t="s">
        <v>2981</v>
      </c>
      <c r="F152" s="6">
        <v>9.8485E-4</v>
      </c>
      <c r="G152" s="6" t="s">
        <v>32</v>
      </c>
      <c r="H152" s="6" t="s">
        <v>14</v>
      </c>
      <c r="I152" s="6" t="s">
        <v>2969</v>
      </c>
    </row>
    <row r="153" spans="1:9" x14ac:dyDescent="0.25">
      <c r="A153" s="5" t="s">
        <v>3016</v>
      </c>
      <c r="B153" s="6" t="s">
        <v>3017</v>
      </c>
      <c r="C153" s="6">
        <v>3</v>
      </c>
      <c r="D153" s="6" t="s">
        <v>2969</v>
      </c>
      <c r="E153" s="6" t="s">
        <v>2981</v>
      </c>
      <c r="F153" s="6">
        <v>9.8485E-4</v>
      </c>
      <c r="G153" s="6" t="s">
        <v>32</v>
      </c>
      <c r="H153" s="6" t="s">
        <v>14</v>
      </c>
      <c r="I153" s="6" t="s">
        <v>2969</v>
      </c>
    </row>
    <row r="154" spans="1:9" x14ac:dyDescent="0.25">
      <c r="A154" s="5" t="s">
        <v>3014</v>
      </c>
      <c r="B154" s="6" t="s">
        <v>3015</v>
      </c>
      <c r="C154" s="6">
        <v>3</v>
      </c>
      <c r="D154" s="6" t="s">
        <v>2969</v>
      </c>
      <c r="E154" s="6" t="s">
        <v>2981</v>
      </c>
      <c r="F154" s="6">
        <v>9.8485E-4</v>
      </c>
      <c r="G154" s="6" t="s">
        <v>32</v>
      </c>
      <c r="H154" s="6" t="s">
        <v>14</v>
      </c>
      <c r="I154" s="6" t="s">
        <v>2969</v>
      </c>
    </row>
    <row r="155" spans="1:9" ht="15.75" x14ac:dyDescent="0.25">
      <c r="A155" s="22" t="s">
        <v>3021</v>
      </c>
      <c r="B155" s="6" t="s">
        <v>3011</v>
      </c>
      <c r="C155" s="6">
        <v>3</v>
      </c>
      <c r="D155" s="6" t="s">
        <v>2969</v>
      </c>
      <c r="E155" s="6" t="s">
        <v>2981</v>
      </c>
      <c r="F155" s="6">
        <v>9.8485E-4</v>
      </c>
      <c r="G155" s="6" t="s">
        <v>32</v>
      </c>
      <c r="H155" s="6" t="s">
        <v>14</v>
      </c>
      <c r="I155" s="6" t="s">
        <v>2969</v>
      </c>
    </row>
    <row r="156" spans="1:9" ht="15.75" x14ac:dyDescent="0.25">
      <c r="A156" s="22" t="s">
        <v>3022</v>
      </c>
      <c r="B156" s="6" t="s">
        <v>3011</v>
      </c>
      <c r="C156" s="6">
        <v>3</v>
      </c>
      <c r="D156" s="6" t="s">
        <v>2969</v>
      </c>
      <c r="E156" s="6" t="s">
        <v>2981</v>
      </c>
      <c r="F156" s="6">
        <v>9.8485E-4</v>
      </c>
      <c r="G156" s="6" t="s">
        <v>32</v>
      </c>
      <c r="H156" s="6" t="s">
        <v>14</v>
      </c>
      <c r="I156" s="6" t="s">
        <v>2969</v>
      </c>
    </row>
    <row r="157" spans="1:9" ht="15.75" x14ac:dyDescent="0.25">
      <c r="A157" s="22" t="s">
        <v>3024</v>
      </c>
      <c r="B157" s="6" t="s">
        <v>3011</v>
      </c>
      <c r="C157" s="6">
        <v>3</v>
      </c>
      <c r="D157" s="6" t="s">
        <v>2969</v>
      </c>
      <c r="E157" s="6" t="s">
        <v>2981</v>
      </c>
      <c r="F157" s="6">
        <v>9.8485E-4</v>
      </c>
      <c r="G157" s="6" t="s">
        <v>32</v>
      </c>
      <c r="H157" s="6" t="s">
        <v>14</v>
      </c>
      <c r="I157" s="6" t="s">
        <v>2969</v>
      </c>
    </row>
    <row r="158" spans="1:9" ht="15.75" x14ac:dyDescent="0.25">
      <c r="A158" s="22" t="s">
        <v>3025</v>
      </c>
      <c r="B158" s="6" t="s">
        <v>3011</v>
      </c>
      <c r="C158" s="6">
        <v>3</v>
      </c>
      <c r="D158" s="6" t="s">
        <v>2969</v>
      </c>
      <c r="E158" s="6" t="s">
        <v>2981</v>
      </c>
      <c r="F158" s="6">
        <v>9.8485E-4</v>
      </c>
      <c r="G158" s="6" t="s">
        <v>32</v>
      </c>
      <c r="H158" s="6" t="s">
        <v>14</v>
      </c>
      <c r="I158" s="6" t="s">
        <v>2969</v>
      </c>
    </row>
    <row r="159" spans="1:9" ht="15.75" x14ac:dyDescent="0.25">
      <c r="A159" s="22" t="s">
        <v>3026</v>
      </c>
      <c r="B159" s="6" t="s">
        <v>3011</v>
      </c>
      <c r="C159" s="6">
        <v>3</v>
      </c>
      <c r="D159" s="6" t="s">
        <v>2969</v>
      </c>
      <c r="E159" s="6" t="s">
        <v>2981</v>
      </c>
      <c r="F159" s="6">
        <v>9.8485E-4</v>
      </c>
      <c r="G159" s="6" t="s">
        <v>32</v>
      </c>
      <c r="H159" s="6" t="s">
        <v>14</v>
      </c>
      <c r="I159" s="6" t="s">
        <v>2969</v>
      </c>
    </row>
    <row r="160" spans="1:9" ht="15.75" x14ac:dyDescent="0.25">
      <c r="A160" s="22" t="s">
        <v>3027</v>
      </c>
      <c r="B160" s="6" t="s">
        <v>3011</v>
      </c>
      <c r="C160" s="6">
        <v>3</v>
      </c>
      <c r="D160" s="6" t="s">
        <v>2969</v>
      </c>
      <c r="E160" s="6" t="s">
        <v>2981</v>
      </c>
      <c r="F160" s="6">
        <v>9.8485E-4</v>
      </c>
      <c r="G160" s="6" t="s">
        <v>32</v>
      </c>
      <c r="H160" s="6" t="s">
        <v>14</v>
      </c>
      <c r="I160" s="6" t="s">
        <v>2969</v>
      </c>
    </row>
    <row r="161" spans="1:9" ht="15.75" x14ac:dyDescent="0.25">
      <c r="A161" s="22" t="s">
        <v>3028</v>
      </c>
      <c r="B161" s="6" t="s">
        <v>3011</v>
      </c>
      <c r="C161" s="6">
        <v>3</v>
      </c>
      <c r="D161" s="6" t="s">
        <v>2969</v>
      </c>
      <c r="E161" s="6" t="s">
        <v>2981</v>
      </c>
      <c r="F161" s="6">
        <v>9.8485E-4</v>
      </c>
      <c r="G161" s="6" t="s">
        <v>32</v>
      </c>
      <c r="H161" s="6" t="s">
        <v>14</v>
      </c>
      <c r="I161" s="6" t="s">
        <v>2969</v>
      </c>
    </row>
    <row r="162" spans="1:9" ht="15.75" x14ac:dyDescent="0.25">
      <c r="A162" s="22" t="s">
        <v>3029</v>
      </c>
      <c r="B162" s="6" t="s">
        <v>3011</v>
      </c>
      <c r="C162" s="6">
        <v>3</v>
      </c>
      <c r="D162" s="6" t="s">
        <v>2969</v>
      </c>
      <c r="E162" s="6" t="s">
        <v>2981</v>
      </c>
      <c r="F162" s="6">
        <v>9.8485E-4</v>
      </c>
      <c r="G162" s="6" t="s">
        <v>32</v>
      </c>
      <c r="H162" s="6" t="s">
        <v>14</v>
      </c>
      <c r="I162" s="6" t="s">
        <v>2969</v>
      </c>
    </row>
    <row r="163" spans="1:9" ht="15.75" x14ac:dyDescent="0.25">
      <c r="A163" s="22" t="s">
        <v>3030</v>
      </c>
      <c r="B163" s="6" t="s">
        <v>3011</v>
      </c>
      <c r="C163" s="6">
        <v>3</v>
      </c>
      <c r="D163" s="6" t="s">
        <v>2969</v>
      </c>
      <c r="E163" s="6" t="s">
        <v>2981</v>
      </c>
      <c r="F163" s="6">
        <v>9.8485E-4</v>
      </c>
      <c r="G163" s="6" t="s">
        <v>32</v>
      </c>
      <c r="H163" s="6" t="s">
        <v>14</v>
      </c>
      <c r="I163" s="6" t="s">
        <v>2969</v>
      </c>
    </row>
    <row r="164" spans="1:9" ht="15.75" x14ac:dyDescent="0.25">
      <c r="A164" s="22" t="s">
        <v>3031</v>
      </c>
      <c r="B164" s="6" t="s">
        <v>3011</v>
      </c>
      <c r="C164" s="6">
        <v>3</v>
      </c>
      <c r="D164" s="6" t="s">
        <v>2969</v>
      </c>
      <c r="E164" s="6" t="s">
        <v>2981</v>
      </c>
      <c r="F164" s="6">
        <v>9.8485E-4</v>
      </c>
      <c r="G164" s="6" t="s">
        <v>32</v>
      </c>
      <c r="H164" s="6" t="s">
        <v>14</v>
      </c>
      <c r="I164" s="6" t="s">
        <v>2969</v>
      </c>
    </row>
    <row r="165" spans="1:9" ht="15.75" x14ac:dyDescent="0.25">
      <c r="A165" s="22" t="s">
        <v>3034</v>
      </c>
      <c r="B165" s="6" t="s">
        <v>3011</v>
      </c>
      <c r="C165" s="6">
        <v>3</v>
      </c>
      <c r="D165" s="6" t="s">
        <v>2969</v>
      </c>
      <c r="E165" s="6" t="s">
        <v>2981</v>
      </c>
      <c r="F165" s="6">
        <v>9.8485E-4</v>
      </c>
      <c r="G165" s="6" t="s">
        <v>32</v>
      </c>
      <c r="H165" s="6" t="s">
        <v>14</v>
      </c>
      <c r="I165" s="6" t="s">
        <v>2969</v>
      </c>
    </row>
    <row r="166" spans="1:9" ht="15.75" x14ac:dyDescent="0.25">
      <c r="A166" s="22" t="s">
        <v>3025</v>
      </c>
      <c r="B166" s="6" t="s">
        <v>3011</v>
      </c>
      <c r="C166" s="6">
        <v>3</v>
      </c>
      <c r="D166" s="6" t="s">
        <v>2969</v>
      </c>
      <c r="E166" s="6" t="s">
        <v>2981</v>
      </c>
      <c r="F166" s="6">
        <v>9.8485E-4</v>
      </c>
      <c r="G166" s="6" t="s">
        <v>32</v>
      </c>
      <c r="H166" s="6" t="s">
        <v>14</v>
      </c>
      <c r="I166" s="6" t="s">
        <v>2969</v>
      </c>
    </row>
    <row r="167" spans="1:9" ht="15.75" x14ac:dyDescent="0.25">
      <c r="A167" s="22" t="s">
        <v>3035</v>
      </c>
      <c r="B167" s="6" t="s">
        <v>3011</v>
      </c>
      <c r="C167" s="6">
        <v>3</v>
      </c>
      <c r="D167" s="6" t="s">
        <v>2969</v>
      </c>
      <c r="E167" s="6" t="s">
        <v>2981</v>
      </c>
      <c r="F167" s="6">
        <v>9.8485E-4</v>
      </c>
      <c r="G167" s="6" t="s">
        <v>32</v>
      </c>
      <c r="H167" s="6" t="s">
        <v>14</v>
      </c>
      <c r="I167" s="6" t="s">
        <v>2969</v>
      </c>
    </row>
    <row r="168" spans="1:9" ht="15.75" x14ac:dyDescent="0.25">
      <c r="A168" s="22" t="s">
        <v>3024</v>
      </c>
      <c r="B168" s="6" t="s">
        <v>3011</v>
      </c>
      <c r="C168" s="6">
        <v>3</v>
      </c>
      <c r="D168" s="6" t="s">
        <v>2969</v>
      </c>
      <c r="E168" s="6" t="s">
        <v>2981</v>
      </c>
      <c r="F168" s="6">
        <v>9.8485E-4</v>
      </c>
      <c r="G168" s="6" t="s">
        <v>32</v>
      </c>
      <c r="H168" s="6" t="s">
        <v>14</v>
      </c>
      <c r="I168" s="6" t="s">
        <v>2969</v>
      </c>
    </row>
    <row r="169" spans="1:9" ht="15.75" x14ac:dyDescent="0.25">
      <c r="A169" s="22" t="s">
        <v>3037</v>
      </c>
      <c r="B169" s="6" t="s">
        <v>3011</v>
      </c>
      <c r="C169" s="6">
        <v>3</v>
      </c>
      <c r="D169" s="6" t="s">
        <v>2969</v>
      </c>
      <c r="E169" s="6" t="s">
        <v>2981</v>
      </c>
      <c r="F169" s="6">
        <v>9.8485E-4</v>
      </c>
      <c r="G169" s="6" t="s">
        <v>32</v>
      </c>
      <c r="H169" s="6" t="s">
        <v>14</v>
      </c>
      <c r="I169" s="6" t="s">
        <v>2969</v>
      </c>
    </row>
    <row r="170" spans="1:9" ht="15.75" x14ac:dyDescent="0.25">
      <c r="A170" s="22" t="s">
        <v>3038</v>
      </c>
      <c r="B170" s="6" t="s">
        <v>3011</v>
      </c>
      <c r="C170" s="6">
        <v>3</v>
      </c>
      <c r="D170" s="6" t="s">
        <v>2969</v>
      </c>
      <c r="E170" s="6" t="s">
        <v>2981</v>
      </c>
      <c r="F170" s="6">
        <v>9.8485E-4</v>
      </c>
      <c r="G170" s="6" t="s">
        <v>32</v>
      </c>
      <c r="H170" s="6" t="s">
        <v>14</v>
      </c>
      <c r="I170" s="6" t="s">
        <v>2969</v>
      </c>
    </row>
    <row r="171" spans="1:9" x14ac:dyDescent="0.25">
      <c r="A171" s="5" t="s">
        <v>3039</v>
      </c>
      <c r="B171" s="6" t="s">
        <v>2980</v>
      </c>
      <c r="C171" s="6">
        <v>3</v>
      </c>
      <c r="D171" s="6" t="s">
        <v>2969</v>
      </c>
      <c r="E171" s="6" t="s">
        <v>2981</v>
      </c>
      <c r="F171" s="6">
        <v>9.8485E-4</v>
      </c>
      <c r="G171" s="6" t="s">
        <v>32</v>
      </c>
      <c r="H171" s="6" t="s">
        <v>14</v>
      </c>
      <c r="I171" s="6" t="s">
        <v>2969</v>
      </c>
    </row>
    <row r="172" spans="1:9" x14ac:dyDescent="0.25">
      <c r="A172" s="5" t="s">
        <v>3043</v>
      </c>
      <c r="B172" s="6" t="s">
        <v>2980</v>
      </c>
      <c r="C172" s="6">
        <v>3</v>
      </c>
      <c r="D172" s="6" t="s">
        <v>2969</v>
      </c>
      <c r="E172" s="6" t="s">
        <v>2981</v>
      </c>
      <c r="F172" s="6">
        <v>9.8485E-4</v>
      </c>
      <c r="G172" s="6" t="s">
        <v>32</v>
      </c>
      <c r="H172" s="6" t="s">
        <v>14</v>
      </c>
      <c r="I172" s="6" t="s">
        <v>2969</v>
      </c>
    </row>
    <row r="173" spans="1:9" x14ac:dyDescent="0.25">
      <c r="A173" s="5" t="s">
        <v>3044</v>
      </c>
      <c r="B173" s="6" t="s">
        <v>2980</v>
      </c>
      <c r="C173" s="6">
        <v>3</v>
      </c>
      <c r="D173" s="6" t="s">
        <v>2969</v>
      </c>
      <c r="E173" s="6" t="s">
        <v>2981</v>
      </c>
      <c r="F173" s="6">
        <v>9.8485E-4</v>
      </c>
      <c r="G173" s="6" t="s">
        <v>32</v>
      </c>
      <c r="H173" s="6" t="s">
        <v>14</v>
      </c>
      <c r="I173" s="6" t="s">
        <v>2969</v>
      </c>
    </row>
    <row r="174" spans="1:9" ht="30" x14ac:dyDescent="0.25">
      <c r="A174" s="5" t="s">
        <v>3045</v>
      </c>
      <c r="B174" s="17" t="s">
        <v>3046</v>
      </c>
      <c r="C174" s="6">
        <v>3</v>
      </c>
      <c r="D174" s="6" t="s">
        <v>2969</v>
      </c>
      <c r="E174" s="6" t="s">
        <v>2981</v>
      </c>
      <c r="F174" s="6">
        <v>9.8485E-4</v>
      </c>
      <c r="G174" s="6" t="s">
        <v>32</v>
      </c>
      <c r="H174" s="6" t="s">
        <v>14</v>
      </c>
      <c r="I174" s="6" t="s">
        <v>2969</v>
      </c>
    </row>
    <row r="175" spans="1:9" ht="30" x14ac:dyDescent="0.25">
      <c r="A175" s="5" t="s">
        <v>3047</v>
      </c>
      <c r="B175" s="17" t="s">
        <v>3046</v>
      </c>
      <c r="C175" s="6">
        <v>3</v>
      </c>
      <c r="D175" s="6" t="s">
        <v>2969</v>
      </c>
      <c r="E175" s="6" t="s">
        <v>2981</v>
      </c>
      <c r="F175" s="6">
        <v>9.8485E-4</v>
      </c>
      <c r="G175" s="6" t="s">
        <v>32</v>
      </c>
      <c r="H175" s="6" t="s">
        <v>14</v>
      </c>
      <c r="I175" s="6" t="s">
        <v>2969</v>
      </c>
    </row>
    <row r="176" spans="1:9" ht="30" x14ac:dyDescent="0.25">
      <c r="A176" s="5" t="s">
        <v>3048</v>
      </c>
      <c r="B176" s="17" t="s">
        <v>3046</v>
      </c>
      <c r="C176" s="6">
        <v>3</v>
      </c>
      <c r="D176" s="6" t="s">
        <v>2969</v>
      </c>
      <c r="E176" s="6" t="s">
        <v>2981</v>
      </c>
      <c r="F176" s="6">
        <v>9.8485E-4</v>
      </c>
      <c r="G176" s="6" t="s">
        <v>32</v>
      </c>
      <c r="H176" s="6" t="s">
        <v>14</v>
      </c>
      <c r="I176" s="6" t="s">
        <v>2969</v>
      </c>
    </row>
    <row r="177" spans="1:9" ht="30" x14ac:dyDescent="0.25">
      <c r="A177" s="5" t="s">
        <v>3049</v>
      </c>
      <c r="B177" s="17" t="s">
        <v>3046</v>
      </c>
      <c r="C177" s="6">
        <v>3</v>
      </c>
      <c r="D177" s="6" t="s">
        <v>2969</v>
      </c>
      <c r="E177" s="6" t="s">
        <v>2981</v>
      </c>
      <c r="F177" s="6">
        <v>9.8485E-4</v>
      </c>
      <c r="G177" s="6" t="s">
        <v>32</v>
      </c>
      <c r="H177" s="6" t="s">
        <v>14</v>
      </c>
      <c r="I177" s="6" t="s">
        <v>2969</v>
      </c>
    </row>
    <row r="178" spans="1:9" ht="30" x14ac:dyDescent="0.25">
      <c r="A178" s="5" t="s">
        <v>3050</v>
      </c>
      <c r="B178" s="17" t="s">
        <v>3046</v>
      </c>
      <c r="C178" s="6">
        <v>3</v>
      </c>
      <c r="D178" s="6" t="s">
        <v>2969</v>
      </c>
      <c r="E178" s="6" t="s">
        <v>2981</v>
      </c>
      <c r="F178" s="6">
        <v>9.8485E-4</v>
      </c>
      <c r="G178" s="6" t="s">
        <v>32</v>
      </c>
      <c r="H178" s="6" t="s">
        <v>14</v>
      </c>
      <c r="I178" s="6" t="s">
        <v>2969</v>
      </c>
    </row>
    <row r="179" spans="1:9" ht="30" x14ac:dyDescent="0.25">
      <c r="A179" s="5" t="s">
        <v>3053</v>
      </c>
      <c r="B179" s="17" t="s">
        <v>3046</v>
      </c>
      <c r="C179" s="6">
        <v>3</v>
      </c>
      <c r="D179" s="6" t="s">
        <v>2969</v>
      </c>
      <c r="E179" s="6" t="s">
        <v>2981</v>
      </c>
      <c r="F179" s="6">
        <v>9.8485E-4</v>
      </c>
      <c r="G179" s="6" t="s">
        <v>32</v>
      </c>
      <c r="H179" s="6" t="s">
        <v>14</v>
      </c>
      <c r="I179" s="6" t="s">
        <v>2969</v>
      </c>
    </row>
    <row r="180" spans="1:9" ht="30" x14ac:dyDescent="0.25">
      <c r="A180" s="5" t="s">
        <v>3045</v>
      </c>
      <c r="B180" s="17" t="s">
        <v>3046</v>
      </c>
      <c r="C180" s="6">
        <v>3</v>
      </c>
      <c r="D180" s="6" t="s">
        <v>2969</v>
      </c>
      <c r="E180" s="6" t="s">
        <v>2981</v>
      </c>
      <c r="F180" s="6">
        <v>9.8485E-4</v>
      </c>
      <c r="G180" s="6" t="s">
        <v>32</v>
      </c>
      <c r="H180" s="6" t="s">
        <v>14</v>
      </c>
      <c r="I180" s="6" t="s">
        <v>2969</v>
      </c>
    </row>
    <row r="181" spans="1:9" ht="30" x14ac:dyDescent="0.25">
      <c r="A181" s="5" t="s">
        <v>3053</v>
      </c>
      <c r="B181" s="17" t="s">
        <v>3046</v>
      </c>
      <c r="C181" s="6">
        <v>3</v>
      </c>
      <c r="D181" s="6" t="s">
        <v>2969</v>
      </c>
      <c r="E181" s="6" t="s">
        <v>2981</v>
      </c>
      <c r="F181" s="6">
        <v>9.8485E-4</v>
      </c>
      <c r="G181" s="6" t="s">
        <v>32</v>
      </c>
      <c r="H181" s="6" t="s">
        <v>14</v>
      </c>
      <c r="I181" s="6" t="s">
        <v>2969</v>
      </c>
    </row>
    <row r="182" spans="1:9" ht="30" x14ac:dyDescent="0.25">
      <c r="A182" s="5" t="s">
        <v>3056</v>
      </c>
      <c r="B182" s="17" t="s">
        <v>3046</v>
      </c>
      <c r="C182" s="6">
        <v>3</v>
      </c>
      <c r="D182" s="6" t="s">
        <v>2969</v>
      </c>
      <c r="E182" s="6" t="s">
        <v>2981</v>
      </c>
      <c r="F182" s="6">
        <v>9.8485E-4</v>
      </c>
      <c r="G182" s="6" t="s">
        <v>32</v>
      </c>
      <c r="H182" s="6" t="s">
        <v>14</v>
      </c>
      <c r="I182" s="6" t="s">
        <v>2969</v>
      </c>
    </row>
    <row r="183" spans="1:9" ht="30" x14ac:dyDescent="0.25">
      <c r="A183" s="5" t="s">
        <v>3057</v>
      </c>
      <c r="B183" s="17" t="s">
        <v>3046</v>
      </c>
      <c r="C183" s="6">
        <v>3</v>
      </c>
      <c r="D183" s="6" t="s">
        <v>2969</v>
      </c>
      <c r="E183" s="6" t="s">
        <v>2981</v>
      </c>
      <c r="F183" s="6">
        <v>9.8485E-4</v>
      </c>
      <c r="G183" s="6" t="s">
        <v>32</v>
      </c>
      <c r="H183" s="6" t="s">
        <v>14</v>
      </c>
      <c r="I183" s="6" t="s">
        <v>2969</v>
      </c>
    </row>
    <row r="184" spans="1:9" x14ac:dyDescent="0.25">
      <c r="A184" s="10" t="s">
        <v>3027</v>
      </c>
      <c r="B184" s="24" t="s">
        <v>3061</v>
      </c>
      <c r="C184" s="6">
        <v>3</v>
      </c>
      <c r="D184" s="6" t="s">
        <v>2969</v>
      </c>
      <c r="E184" s="6" t="s">
        <v>2981</v>
      </c>
      <c r="F184" s="6">
        <v>9.8485E-4</v>
      </c>
      <c r="G184" s="6" t="s">
        <v>32</v>
      </c>
      <c r="H184" s="6" t="s">
        <v>14</v>
      </c>
      <c r="I184" s="6" t="s">
        <v>2969</v>
      </c>
    </row>
    <row r="185" spans="1:9" x14ac:dyDescent="0.25">
      <c r="A185" s="10" t="s">
        <v>3072</v>
      </c>
      <c r="B185" s="24" t="s">
        <v>3061</v>
      </c>
      <c r="C185" s="6">
        <v>3</v>
      </c>
      <c r="D185" s="6" t="s">
        <v>2969</v>
      </c>
      <c r="E185" s="6" t="s">
        <v>2981</v>
      </c>
      <c r="F185" s="6">
        <v>9.8485E-4</v>
      </c>
      <c r="G185" s="6" t="s">
        <v>32</v>
      </c>
      <c r="H185" s="6" t="s">
        <v>14</v>
      </c>
      <c r="I185" s="6" t="s">
        <v>2969</v>
      </c>
    </row>
    <row r="186" spans="1:9" x14ac:dyDescent="0.25">
      <c r="A186" s="10" t="s">
        <v>3028</v>
      </c>
      <c r="B186" s="24" t="s">
        <v>3061</v>
      </c>
      <c r="C186" s="6">
        <v>3</v>
      </c>
      <c r="D186" s="6" t="s">
        <v>2969</v>
      </c>
      <c r="E186" s="6" t="s">
        <v>2981</v>
      </c>
      <c r="F186" s="6">
        <v>9.8485E-4</v>
      </c>
      <c r="G186" s="6" t="s">
        <v>32</v>
      </c>
      <c r="H186" s="6" t="s">
        <v>14</v>
      </c>
      <c r="I186" s="6" t="s">
        <v>2969</v>
      </c>
    </row>
    <row r="187" spans="1:9" x14ac:dyDescent="0.25">
      <c r="A187" s="10" t="s">
        <v>3035</v>
      </c>
      <c r="B187" s="24" t="s">
        <v>3061</v>
      </c>
      <c r="C187" s="6">
        <v>3</v>
      </c>
      <c r="D187" s="6" t="s">
        <v>2969</v>
      </c>
      <c r="E187" s="6" t="s">
        <v>2981</v>
      </c>
      <c r="F187" s="6">
        <v>9.8485E-4</v>
      </c>
      <c r="G187" s="6" t="s">
        <v>32</v>
      </c>
      <c r="H187" s="6" t="s">
        <v>14</v>
      </c>
      <c r="I187" s="6" t="s">
        <v>2969</v>
      </c>
    </row>
    <row r="188" spans="1:9" x14ac:dyDescent="0.25">
      <c r="A188" s="23" t="s">
        <v>3025</v>
      </c>
      <c r="B188" s="24" t="s">
        <v>3061</v>
      </c>
      <c r="C188" s="6">
        <v>3</v>
      </c>
      <c r="D188" s="6" t="s">
        <v>2969</v>
      </c>
      <c r="E188" s="6" t="s">
        <v>2981</v>
      </c>
      <c r="F188" s="6">
        <v>9.8485E-4</v>
      </c>
      <c r="G188" s="6" t="s">
        <v>32</v>
      </c>
      <c r="H188" s="6" t="s">
        <v>14</v>
      </c>
      <c r="I188" s="6" t="s">
        <v>2969</v>
      </c>
    </row>
    <row r="189" spans="1:9" x14ac:dyDescent="0.25">
      <c r="A189" s="23" t="s">
        <v>3021</v>
      </c>
      <c r="B189" s="24" t="s">
        <v>3061</v>
      </c>
      <c r="C189" s="6">
        <v>3</v>
      </c>
      <c r="D189" s="6" t="s">
        <v>2969</v>
      </c>
      <c r="E189" s="6" t="s">
        <v>2981</v>
      </c>
      <c r="F189" s="6">
        <v>9.8485E-4</v>
      </c>
      <c r="G189" s="6" t="s">
        <v>32</v>
      </c>
      <c r="H189" s="6" t="s">
        <v>14</v>
      </c>
      <c r="I189" s="6" t="s">
        <v>2969</v>
      </c>
    </row>
    <row r="190" spans="1:9" x14ac:dyDescent="0.25">
      <c r="A190" s="23" t="s">
        <v>3073</v>
      </c>
      <c r="B190" s="24" t="s">
        <v>3061</v>
      </c>
      <c r="C190" s="6">
        <v>3</v>
      </c>
      <c r="D190" s="6" t="s">
        <v>2969</v>
      </c>
      <c r="E190" s="6" t="s">
        <v>2981</v>
      </c>
      <c r="F190" s="6">
        <v>9.8485E-4</v>
      </c>
      <c r="G190" s="6" t="s">
        <v>32</v>
      </c>
      <c r="H190" s="6" t="s">
        <v>14</v>
      </c>
      <c r="I190" s="6" t="s">
        <v>2969</v>
      </c>
    </row>
    <row r="191" spans="1:9" x14ac:dyDescent="0.25">
      <c r="A191" s="23" t="s">
        <v>3028</v>
      </c>
      <c r="B191" s="24" t="s">
        <v>3061</v>
      </c>
      <c r="C191" s="6">
        <v>3</v>
      </c>
      <c r="D191" s="6" t="s">
        <v>2969</v>
      </c>
      <c r="E191" s="6" t="s">
        <v>2981</v>
      </c>
      <c r="F191" s="6">
        <v>9.8485E-4</v>
      </c>
      <c r="G191" s="6" t="s">
        <v>32</v>
      </c>
      <c r="H191" s="6" t="s">
        <v>14</v>
      </c>
      <c r="I191" s="6" t="s">
        <v>2969</v>
      </c>
    </row>
    <row r="192" spans="1:9" x14ac:dyDescent="0.25">
      <c r="A192" s="23" t="s">
        <v>3037</v>
      </c>
      <c r="B192" s="24" t="s">
        <v>3061</v>
      </c>
      <c r="C192" s="6">
        <v>3</v>
      </c>
      <c r="D192" s="6" t="s">
        <v>2969</v>
      </c>
      <c r="E192" s="6" t="s">
        <v>2981</v>
      </c>
      <c r="F192" s="6">
        <v>9.8485E-4</v>
      </c>
      <c r="G192" s="6" t="s">
        <v>32</v>
      </c>
      <c r="H192" s="6" t="s">
        <v>14</v>
      </c>
      <c r="I192" s="6" t="s">
        <v>2969</v>
      </c>
    </row>
    <row r="193" spans="1:9" x14ac:dyDescent="0.25">
      <c r="A193" s="5" t="s">
        <v>3034</v>
      </c>
      <c r="B193" s="24" t="s">
        <v>3061</v>
      </c>
      <c r="C193" s="6">
        <v>3</v>
      </c>
      <c r="D193" s="6" t="s">
        <v>2969</v>
      </c>
      <c r="E193" s="6" t="s">
        <v>2981</v>
      </c>
      <c r="F193" s="6">
        <v>9.8485E-4</v>
      </c>
      <c r="G193" s="6" t="s">
        <v>32</v>
      </c>
      <c r="H193" s="6" t="s">
        <v>14</v>
      </c>
      <c r="I193" s="6" t="s">
        <v>2969</v>
      </c>
    </row>
    <row r="194" spans="1:9" x14ac:dyDescent="0.25">
      <c r="A194" s="21" t="s">
        <v>3077</v>
      </c>
      <c r="B194" s="21" t="s">
        <v>3075</v>
      </c>
      <c r="C194" s="6">
        <v>3</v>
      </c>
      <c r="D194" s="6" t="s">
        <v>2969</v>
      </c>
      <c r="E194" s="6" t="s">
        <v>2981</v>
      </c>
      <c r="F194" s="6">
        <v>9.8485E-4</v>
      </c>
      <c r="G194" s="6" t="s">
        <v>32</v>
      </c>
      <c r="H194" s="6" t="s">
        <v>14</v>
      </c>
      <c r="I194" s="6" t="s">
        <v>2969</v>
      </c>
    </row>
    <row r="195" spans="1:9" x14ac:dyDescent="0.25">
      <c r="A195" s="21" t="s">
        <v>3078</v>
      </c>
      <c r="B195" s="21" t="s">
        <v>3075</v>
      </c>
      <c r="C195" s="6">
        <v>3</v>
      </c>
      <c r="D195" s="6" t="s">
        <v>2969</v>
      </c>
      <c r="E195" s="6" t="s">
        <v>2981</v>
      </c>
      <c r="F195" s="6">
        <v>9.8485E-4</v>
      </c>
      <c r="G195" s="6" t="s">
        <v>32</v>
      </c>
      <c r="H195" s="6" t="s">
        <v>14</v>
      </c>
      <c r="I195" s="6" t="s">
        <v>2969</v>
      </c>
    </row>
    <row r="196" spans="1:9" x14ac:dyDescent="0.25">
      <c r="A196" s="26" t="s">
        <v>3013</v>
      </c>
      <c r="B196" s="21" t="s">
        <v>3075</v>
      </c>
      <c r="C196" s="6">
        <v>3</v>
      </c>
      <c r="D196" s="6" t="s">
        <v>2969</v>
      </c>
      <c r="E196" s="6" t="s">
        <v>2981</v>
      </c>
      <c r="F196" s="6">
        <v>9.8485E-4</v>
      </c>
      <c r="G196" s="6" t="s">
        <v>32</v>
      </c>
      <c r="H196" s="6" t="s">
        <v>14</v>
      </c>
      <c r="I196" s="6" t="s">
        <v>2969</v>
      </c>
    </row>
    <row r="197" spans="1:9" x14ac:dyDescent="0.25">
      <c r="A197" s="21" t="s">
        <v>3081</v>
      </c>
      <c r="B197" s="21" t="s">
        <v>3075</v>
      </c>
      <c r="C197" s="6">
        <v>3</v>
      </c>
      <c r="D197" s="6" t="s">
        <v>2969</v>
      </c>
      <c r="E197" s="6" t="s">
        <v>2981</v>
      </c>
      <c r="F197" s="6">
        <v>9.8485E-4</v>
      </c>
      <c r="G197" s="6" t="s">
        <v>32</v>
      </c>
      <c r="H197" s="6" t="s">
        <v>14</v>
      </c>
      <c r="I197" s="6" t="s">
        <v>2969</v>
      </c>
    </row>
    <row r="198" spans="1:9" x14ac:dyDescent="0.25">
      <c r="A198" s="26" t="s">
        <v>3082</v>
      </c>
      <c r="B198" s="21" t="s">
        <v>3075</v>
      </c>
      <c r="C198" s="6">
        <v>3</v>
      </c>
      <c r="D198" s="6" t="s">
        <v>2969</v>
      </c>
      <c r="E198" s="6" t="s">
        <v>2981</v>
      </c>
      <c r="F198" s="6">
        <v>9.8485E-4</v>
      </c>
      <c r="G198" s="6" t="s">
        <v>32</v>
      </c>
      <c r="H198" s="6" t="s">
        <v>14</v>
      </c>
      <c r="I198" s="6" t="s">
        <v>2969</v>
      </c>
    </row>
    <row r="199" spans="1:9" x14ac:dyDescent="0.25">
      <c r="A199" s="6" t="s">
        <v>3094</v>
      </c>
      <c r="B199" s="6" t="s">
        <v>3011</v>
      </c>
      <c r="C199" s="6">
        <v>3</v>
      </c>
      <c r="D199" s="6" t="s">
        <v>2969</v>
      </c>
      <c r="E199" s="6" t="s">
        <v>2981</v>
      </c>
      <c r="F199" s="6">
        <v>9.8485E-4</v>
      </c>
      <c r="G199" s="6" t="s">
        <v>32</v>
      </c>
      <c r="H199" s="6" t="s">
        <v>14</v>
      </c>
      <c r="I199" s="6" t="s">
        <v>2969</v>
      </c>
    </row>
    <row r="200" spans="1:9" x14ac:dyDescent="0.25">
      <c r="A200" s="6" t="s">
        <v>3095</v>
      </c>
      <c r="B200" s="6" t="s">
        <v>3011</v>
      </c>
      <c r="C200" s="6">
        <v>3</v>
      </c>
      <c r="D200" s="6" t="s">
        <v>2969</v>
      </c>
      <c r="E200" s="6" t="s">
        <v>2981</v>
      </c>
      <c r="F200" s="6">
        <v>9.8485E-4</v>
      </c>
      <c r="G200" s="6" t="s">
        <v>32</v>
      </c>
      <c r="H200" s="6" t="s">
        <v>14</v>
      </c>
      <c r="I200" s="6" t="s">
        <v>2969</v>
      </c>
    </row>
    <row r="201" spans="1:9" x14ac:dyDescent="0.25">
      <c r="A201" s="6" t="s">
        <v>3096</v>
      </c>
      <c r="B201" s="6" t="s">
        <v>3011</v>
      </c>
      <c r="C201" s="6">
        <v>3</v>
      </c>
      <c r="D201" s="6" t="s">
        <v>2969</v>
      </c>
      <c r="E201" s="6" t="s">
        <v>2981</v>
      </c>
      <c r="F201" s="6">
        <v>9.8485E-4</v>
      </c>
      <c r="G201" s="6" t="s">
        <v>32</v>
      </c>
      <c r="H201" s="6" t="s">
        <v>14</v>
      </c>
      <c r="I201" s="6" t="s">
        <v>2969</v>
      </c>
    </row>
    <row r="202" spans="1:9" ht="30" x14ac:dyDescent="0.25">
      <c r="A202" s="17" t="s">
        <v>3098</v>
      </c>
      <c r="B202" s="17" t="s">
        <v>3014</v>
      </c>
      <c r="C202" s="17">
        <v>3</v>
      </c>
      <c r="D202" s="17" t="s">
        <v>2969</v>
      </c>
      <c r="E202" s="17" t="s">
        <v>2981</v>
      </c>
      <c r="F202" s="17">
        <v>9.8485E-4</v>
      </c>
      <c r="G202" s="17" t="s">
        <v>32</v>
      </c>
      <c r="H202" s="17" t="s">
        <v>14</v>
      </c>
      <c r="I202" s="6" t="s">
        <v>2969</v>
      </c>
    </row>
    <row r="203" spans="1:9" ht="30" x14ac:dyDescent="0.25">
      <c r="A203" s="17" t="s">
        <v>3099</v>
      </c>
      <c r="B203" s="17" t="s">
        <v>3016</v>
      </c>
      <c r="C203" s="17">
        <v>3</v>
      </c>
      <c r="D203" s="17" t="s">
        <v>2969</v>
      </c>
      <c r="E203" s="17" t="s">
        <v>2981</v>
      </c>
      <c r="F203" s="17">
        <v>9.8485E-4</v>
      </c>
      <c r="G203" s="17" t="s">
        <v>32</v>
      </c>
      <c r="H203" s="17" t="s">
        <v>14</v>
      </c>
      <c r="I203" s="6" t="s">
        <v>2969</v>
      </c>
    </row>
    <row r="204" spans="1:9" ht="30" x14ac:dyDescent="0.25">
      <c r="A204" s="17" t="s">
        <v>3101</v>
      </c>
      <c r="B204" s="17" t="s">
        <v>2985</v>
      </c>
      <c r="C204" s="17">
        <v>3</v>
      </c>
      <c r="D204" s="17" t="s">
        <v>2969</v>
      </c>
      <c r="E204" s="17" t="s">
        <v>2981</v>
      </c>
      <c r="F204" s="17">
        <v>9.8485E-4</v>
      </c>
      <c r="G204" s="17" t="s">
        <v>32</v>
      </c>
      <c r="H204" s="17" t="s">
        <v>14</v>
      </c>
      <c r="I204" s="6" t="s">
        <v>2969</v>
      </c>
    </row>
    <row r="205" spans="1:9" ht="30" x14ac:dyDescent="0.25">
      <c r="A205" s="17" t="s">
        <v>3103</v>
      </c>
      <c r="B205" s="17" t="s">
        <v>3045</v>
      </c>
      <c r="C205" s="17">
        <v>3</v>
      </c>
      <c r="D205" s="17" t="s">
        <v>2969</v>
      </c>
      <c r="E205" s="17" t="s">
        <v>2981</v>
      </c>
      <c r="F205" s="17">
        <v>9.8485E-4</v>
      </c>
      <c r="G205" s="17" t="s">
        <v>32</v>
      </c>
      <c r="H205" s="17" t="s">
        <v>14</v>
      </c>
      <c r="I205" s="6" t="s">
        <v>2969</v>
      </c>
    </row>
    <row r="206" spans="1:9" ht="30" x14ac:dyDescent="0.25">
      <c r="A206" s="17" t="s">
        <v>3104</v>
      </c>
      <c r="B206" s="17" t="s">
        <v>929</v>
      </c>
      <c r="C206" s="17">
        <v>3</v>
      </c>
      <c r="D206" s="17" t="s">
        <v>2969</v>
      </c>
      <c r="E206" s="17" t="s">
        <v>2981</v>
      </c>
      <c r="F206" s="17">
        <v>9.8485E-4</v>
      </c>
      <c r="G206" s="17" t="s">
        <v>32</v>
      </c>
      <c r="H206" s="17" t="s">
        <v>14</v>
      </c>
      <c r="I206" s="6" t="s">
        <v>2969</v>
      </c>
    </row>
    <row r="207" spans="1:9" ht="30" x14ac:dyDescent="0.25">
      <c r="A207" s="17" t="s">
        <v>3105</v>
      </c>
      <c r="B207" s="17" t="s">
        <v>3096</v>
      </c>
      <c r="C207" s="17">
        <v>3</v>
      </c>
      <c r="D207" s="17" t="s">
        <v>2969</v>
      </c>
      <c r="E207" s="17" t="s">
        <v>2981</v>
      </c>
      <c r="F207" s="17">
        <v>9.8485E-4</v>
      </c>
      <c r="G207" s="17" t="s">
        <v>32</v>
      </c>
      <c r="H207" s="17" t="s">
        <v>14</v>
      </c>
      <c r="I207" s="6" t="s">
        <v>2969</v>
      </c>
    </row>
    <row r="208" spans="1:9" ht="30" x14ac:dyDescent="0.25">
      <c r="A208" s="17" t="s">
        <v>3106</v>
      </c>
      <c r="B208" s="17" t="s">
        <v>2995</v>
      </c>
      <c r="C208" s="17">
        <v>3</v>
      </c>
      <c r="D208" s="17" t="s">
        <v>2969</v>
      </c>
      <c r="E208" s="17" t="s">
        <v>2981</v>
      </c>
      <c r="F208" s="17">
        <v>9.8485E-4</v>
      </c>
      <c r="G208" s="17" t="s">
        <v>32</v>
      </c>
      <c r="H208" s="17" t="s">
        <v>14</v>
      </c>
      <c r="I208" s="6" t="s">
        <v>2969</v>
      </c>
    </row>
    <row r="209" spans="1:9" ht="30" x14ac:dyDescent="0.25">
      <c r="A209" s="6" t="s">
        <v>3575</v>
      </c>
      <c r="B209" s="37" t="s">
        <v>3628</v>
      </c>
      <c r="C209" s="6">
        <v>3</v>
      </c>
      <c r="D209" s="37" t="s">
        <v>3617</v>
      </c>
      <c r="E209" s="5" t="s">
        <v>5003</v>
      </c>
      <c r="F209" s="5">
        <v>0.48520000000000002</v>
      </c>
      <c r="G209" s="6" t="s">
        <v>3474</v>
      </c>
      <c r="H209" s="6" t="s">
        <v>3513</v>
      </c>
      <c r="I209" s="37" t="s">
        <v>3617</v>
      </c>
    </row>
    <row r="210" spans="1:9" ht="30" x14ac:dyDescent="0.25">
      <c r="A210" s="6" t="s">
        <v>3574</v>
      </c>
      <c r="B210" s="37" t="s">
        <v>3628</v>
      </c>
      <c r="C210" s="6">
        <v>3</v>
      </c>
      <c r="D210" s="37" t="s">
        <v>3617</v>
      </c>
      <c r="E210" s="5" t="s">
        <v>5004</v>
      </c>
      <c r="F210" s="5">
        <v>0.48520000000000002</v>
      </c>
      <c r="G210" s="6" t="s">
        <v>3474</v>
      </c>
      <c r="H210" s="6" t="s">
        <v>3513</v>
      </c>
      <c r="I210" s="37" t="s">
        <v>3617</v>
      </c>
    </row>
    <row r="211" spans="1:9" s="40" customFormat="1" ht="30" x14ac:dyDescent="0.25">
      <c r="A211" s="6" t="s">
        <v>4736</v>
      </c>
      <c r="B211" s="6" t="s">
        <v>4732</v>
      </c>
      <c r="C211" s="6"/>
      <c r="D211" s="17" t="s">
        <v>2969</v>
      </c>
      <c r="E211" s="6" t="s">
        <v>4737</v>
      </c>
      <c r="F211" s="6">
        <v>2.1280807236876299E-2</v>
      </c>
      <c r="G211" s="6" t="s">
        <v>4733</v>
      </c>
      <c r="H211" s="6" t="s">
        <v>4734</v>
      </c>
      <c r="I211" s="6" t="s">
        <v>4735</v>
      </c>
    </row>
    <row r="212" spans="1:9" x14ac:dyDescent="0.25">
      <c r="A212" s="6" t="s">
        <v>5044</v>
      </c>
      <c r="B212" s="6" t="s">
        <v>2975</v>
      </c>
      <c r="C212" s="6">
        <v>3</v>
      </c>
      <c r="D212" s="6" t="s">
        <v>2969</v>
      </c>
      <c r="E212" s="6" t="s">
        <v>2976</v>
      </c>
      <c r="F212" s="6">
        <v>6.4106099999999997E-3</v>
      </c>
      <c r="G212" s="6" t="s">
        <v>32</v>
      </c>
      <c r="H212" s="6" t="s">
        <v>14</v>
      </c>
      <c r="I212" s="6" t="s">
        <v>2969</v>
      </c>
    </row>
    <row r="213" spans="1:9" x14ac:dyDescent="0.25">
      <c r="A213" s="6" t="s">
        <v>5045</v>
      </c>
      <c r="B213" s="6" t="s">
        <v>2975</v>
      </c>
      <c r="C213" s="6">
        <v>3</v>
      </c>
      <c r="D213" s="6" t="s">
        <v>2969</v>
      </c>
      <c r="E213" s="6" t="s">
        <v>2976</v>
      </c>
      <c r="F213" s="6">
        <v>6.4106099999999997E-3</v>
      </c>
      <c r="G213" s="6" t="s">
        <v>32</v>
      </c>
      <c r="H213" s="6" t="s">
        <v>14</v>
      </c>
      <c r="I213" s="6" t="s">
        <v>2969</v>
      </c>
    </row>
    <row r="214" spans="1:9" x14ac:dyDescent="0.25">
      <c r="A214" s="6" t="s">
        <v>5046</v>
      </c>
      <c r="B214" s="6" t="s">
        <v>2975</v>
      </c>
      <c r="C214" s="6">
        <v>3</v>
      </c>
      <c r="D214" s="6" t="s">
        <v>2969</v>
      </c>
      <c r="E214" s="6" t="s">
        <v>2976</v>
      </c>
      <c r="F214" s="6">
        <v>6.4106099999999997E-3</v>
      </c>
      <c r="G214" s="6" t="s">
        <v>32</v>
      </c>
      <c r="H214" s="6" t="s">
        <v>14</v>
      </c>
      <c r="I214" s="6" t="s">
        <v>2969</v>
      </c>
    </row>
    <row r="215" spans="1:9" x14ac:dyDescent="0.25">
      <c r="A215" s="6" t="s">
        <v>5047</v>
      </c>
      <c r="B215" s="6" t="s">
        <v>2980</v>
      </c>
      <c r="C215" s="6">
        <v>3</v>
      </c>
      <c r="D215" s="6" t="s">
        <v>2969</v>
      </c>
      <c r="E215" s="6" t="s">
        <v>2976</v>
      </c>
      <c r="F215" s="6">
        <v>6.4106099999999997E-3</v>
      </c>
      <c r="G215" s="6" t="s">
        <v>32</v>
      </c>
      <c r="H215" s="6" t="s">
        <v>14</v>
      </c>
      <c r="I215" s="6" t="s">
        <v>2969</v>
      </c>
    </row>
    <row r="216" spans="1:9" x14ac:dyDescent="0.25">
      <c r="A216" s="6" t="s">
        <v>5048</v>
      </c>
      <c r="B216" s="6" t="s">
        <v>2980</v>
      </c>
      <c r="C216" s="6">
        <v>3</v>
      </c>
      <c r="D216" s="6" t="s">
        <v>2969</v>
      </c>
      <c r="E216" s="6" t="s">
        <v>2976</v>
      </c>
      <c r="F216" s="6">
        <v>6.4106099999999997E-3</v>
      </c>
      <c r="G216" s="6" t="s">
        <v>32</v>
      </c>
      <c r="H216" s="6" t="s">
        <v>14</v>
      </c>
      <c r="I216" s="6" t="s">
        <v>2969</v>
      </c>
    </row>
    <row r="217" spans="1:9" x14ac:dyDescent="0.25">
      <c r="A217" s="6" t="s">
        <v>5049</v>
      </c>
      <c r="B217" s="6" t="s">
        <v>3008</v>
      </c>
      <c r="C217" s="6">
        <v>3</v>
      </c>
      <c r="D217" s="6" t="s">
        <v>2969</v>
      </c>
      <c r="E217" s="6" t="s">
        <v>2976</v>
      </c>
      <c r="F217" s="6">
        <v>6.4106099999999997E-3</v>
      </c>
      <c r="G217" s="6" t="s">
        <v>32</v>
      </c>
      <c r="H217" s="6" t="s">
        <v>14</v>
      </c>
      <c r="I217" s="6" t="s">
        <v>2969</v>
      </c>
    </row>
    <row r="218" spans="1:9" x14ac:dyDescent="0.25">
      <c r="A218" s="6" t="s">
        <v>5050</v>
      </c>
      <c r="B218" s="6" t="s">
        <v>3018</v>
      </c>
      <c r="C218" s="6">
        <v>3</v>
      </c>
      <c r="D218" s="6" t="s">
        <v>2969</v>
      </c>
      <c r="E218" s="6" t="s">
        <v>2976</v>
      </c>
      <c r="F218" s="6">
        <v>6.4106099999999997E-3</v>
      </c>
      <c r="G218" s="6" t="s">
        <v>32</v>
      </c>
      <c r="H218" s="6" t="s">
        <v>14</v>
      </c>
      <c r="I218" s="6" t="s">
        <v>2969</v>
      </c>
    </row>
    <row r="219" spans="1:9" x14ac:dyDescent="0.25">
      <c r="A219" s="6" t="s">
        <v>5051</v>
      </c>
      <c r="B219" s="6" t="s">
        <v>2980</v>
      </c>
      <c r="C219" s="6">
        <v>3</v>
      </c>
      <c r="D219" s="6" t="s">
        <v>2969</v>
      </c>
      <c r="E219" s="6" t="s">
        <v>2976</v>
      </c>
      <c r="F219" s="6">
        <v>6.4106099999999997E-3</v>
      </c>
      <c r="G219" s="6" t="s">
        <v>32</v>
      </c>
      <c r="H219" s="6" t="s">
        <v>14</v>
      </c>
      <c r="I219" s="6" t="s">
        <v>2969</v>
      </c>
    </row>
    <row r="220" spans="1:9" x14ac:dyDescent="0.25">
      <c r="A220" s="6" t="s">
        <v>5052</v>
      </c>
      <c r="B220" s="6" t="s">
        <v>3008</v>
      </c>
      <c r="C220" s="6">
        <v>3</v>
      </c>
      <c r="D220" s="6" t="s">
        <v>2969</v>
      </c>
      <c r="E220" s="6" t="s">
        <v>2976</v>
      </c>
      <c r="F220" s="6">
        <v>6.4106099999999997E-3</v>
      </c>
      <c r="G220" s="6" t="s">
        <v>32</v>
      </c>
      <c r="H220" s="6" t="s">
        <v>14</v>
      </c>
      <c r="I220" s="6" t="s">
        <v>2969</v>
      </c>
    </row>
    <row r="221" spans="1:9" x14ac:dyDescent="0.25">
      <c r="A221" s="6" t="s">
        <v>5053</v>
      </c>
      <c r="B221" s="6" t="s">
        <v>3015</v>
      </c>
      <c r="C221" s="6">
        <v>3</v>
      </c>
      <c r="D221" s="6" t="s">
        <v>2969</v>
      </c>
      <c r="E221" s="6" t="s">
        <v>2981</v>
      </c>
      <c r="F221" s="6">
        <v>9.8485E-4</v>
      </c>
      <c r="G221" s="6" t="s">
        <v>32</v>
      </c>
      <c r="H221" s="6" t="s">
        <v>14</v>
      </c>
      <c r="I221" s="6" t="s">
        <v>2969</v>
      </c>
    </row>
    <row r="222" spans="1:9" x14ac:dyDescent="0.25">
      <c r="A222" s="6" t="s">
        <v>5054</v>
      </c>
      <c r="B222" s="6" t="s">
        <v>3014</v>
      </c>
      <c r="C222" s="6">
        <v>3</v>
      </c>
      <c r="D222" s="6" t="s">
        <v>2969</v>
      </c>
      <c r="E222" s="6" t="s">
        <v>2981</v>
      </c>
      <c r="F222" s="6">
        <v>9.8485E-4</v>
      </c>
      <c r="G222" s="6" t="s">
        <v>32</v>
      </c>
      <c r="H222" s="6" t="s">
        <v>14</v>
      </c>
      <c r="I222" s="6" t="s">
        <v>2969</v>
      </c>
    </row>
    <row r="223" spans="1:9" x14ac:dyDescent="0.25">
      <c r="A223" s="6" t="s">
        <v>5055</v>
      </c>
      <c r="B223" s="6" t="s">
        <v>3047</v>
      </c>
      <c r="C223" s="6">
        <v>3</v>
      </c>
      <c r="D223" s="6" t="s">
        <v>2969</v>
      </c>
      <c r="E223" s="6" t="s">
        <v>2981</v>
      </c>
      <c r="F223" s="6">
        <v>9.8485E-4</v>
      </c>
      <c r="G223" s="6" t="s">
        <v>32</v>
      </c>
      <c r="H223" s="6" t="s">
        <v>14</v>
      </c>
      <c r="I223" s="6" t="s">
        <v>2969</v>
      </c>
    </row>
    <row r="224" spans="1:9" x14ac:dyDescent="0.25">
      <c r="A224" s="6" t="s">
        <v>5056</v>
      </c>
      <c r="B224" s="6" t="s">
        <v>3016</v>
      </c>
      <c r="C224" s="6">
        <v>3</v>
      </c>
      <c r="D224" s="6" t="s">
        <v>2969</v>
      </c>
      <c r="E224" s="6" t="s">
        <v>2981</v>
      </c>
      <c r="F224" s="6">
        <v>9.8485E-4</v>
      </c>
      <c r="G224" s="6" t="s">
        <v>32</v>
      </c>
      <c r="H224" s="6" t="s">
        <v>14</v>
      </c>
      <c r="I224" s="6" t="s">
        <v>2969</v>
      </c>
    </row>
    <row r="225" spans="1:9" x14ac:dyDescent="0.25">
      <c r="A225" s="6" t="s">
        <v>5057</v>
      </c>
      <c r="B225" s="6" t="s">
        <v>3094</v>
      </c>
      <c r="C225" s="6">
        <v>3</v>
      </c>
      <c r="D225" s="6" t="s">
        <v>2969</v>
      </c>
      <c r="E225" s="6" t="s">
        <v>2981</v>
      </c>
      <c r="F225" s="6">
        <v>9.8485E-4</v>
      </c>
      <c r="G225" s="6" t="s">
        <v>32</v>
      </c>
      <c r="H225" s="6" t="s">
        <v>14</v>
      </c>
      <c r="I225" s="6" t="s">
        <v>2969</v>
      </c>
    </row>
    <row r="226" spans="1:9" x14ac:dyDescent="0.25">
      <c r="A226" s="6" t="s">
        <v>5058</v>
      </c>
      <c r="B226" s="6" t="s">
        <v>1042</v>
      </c>
      <c r="C226" s="6">
        <v>3</v>
      </c>
      <c r="D226" s="6" t="s">
        <v>2969</v>
      </c>
      <c r="E226" s="6" t="s">
        <v>2981</v>
      </c>
      <c r="F226" s="6">
        <v>9.8485E-4</v>
      </c>
      <c r="G226" s="6" t="s">
        <v>32</v>
      </c>
      <c r="H226" s="6" t="s">
        <v>14</v>
      </c>
      <c r="I226" s="6" t="s">
        <v>2969</v>
      </c>
    </row>
    <row r="227" spans="1:9" x14ac:dyDescent="0.25">
      <c r="A227" s="6" t="s">
        <v>5059</v>
      </c>
      <c r="B227" s="6" t="s">
        <v>5060</v>
      </c>
      <c r="C227" s="6">
        <v>3</v>
      </c>
      <c r="D227" s="6" t="s">
        <v>2969</v>
      </c>
      <c r="E227" s="6" t="s">
        <v>2981</v>
      </c>
      <c r="F227" s="6">
        <v>9.8485E-4</v>
      </c>
      <c r="G227" s="6" t="s">
        <v>32</v>
      </c>
      <c r="H227" s="6" t="s">
        <v>14</v>
      </c>
      <c r="I227" s="6" t="s">
        <v>2969</v>
      </c>
    </row>
    <row r="228" spans="1:9" x14ac:dyDescent="0.25">
      <c r="A228" s="6" t="s">
        <v>5061</v>
      </c>
      <c r="B228" s="6" t="s">
        <v>2985</v>
      </c>
      <c r="C228" s="6">
        <v>3</v>
      </c>
      <c r="D228" s="6" t="s">
        <v>2969</v>
      </c>
      <c r="E228" s="6" t="s">
        <v>2981</v>
      </c>
      <c r="F228" s="6">
        <v>9.8485E-4</v>
      </c>
      <c r="G228" s="6" t="s">
        <v>32</v>
      </c>
      <c r="H228" s="6" t="s">
        <v>14</v>
      </c>
      <c r="I228" s="6" t="s">
        <v>2969</v>
      </c>
    </row>
    <row r="229" spans="1:9" x14ac:dyDescent="0.25">
      <c r="A229" s="6" t="s">
        <v>5062</v>
      </c>
      <c r="B229" s="6" t="s">
        <v>3013</v>
      </c>
      <c r="C229" s="6">
        <v>3</v>
      </c>
      <c r="D229" s="6" t="s">
        <v>2969</v>
      </c>
      <c r="E229" s="6" t="s">
        <v>2981</v>
      </c>
      <c r="F229" s="6">
        <v>9.8485E-4</v>
      </c>
      <c r="G229" s="6" t="s">
        <v>32</v>
      </c>
      <c r="H229" s="6" t="s">
        <v>14</v>
      </c>
      <c r="I229" s="6" t="s">
        <v>2969</v>
      </c>
    </row>
    <row r="230" spans="1:9" x14ac:dyDescent="0.25">
      <c r="A230" s="6" t="s">
        <v>5063</v>
      </c>
      <c r="B230" s="6" t="s">
        <v>2995</v>
      </c>
      <c r="C230" s="6">
        <v>3</v>
      </c>
      <c r="D230" s="6" t="s">
        <v>2969</v>
      </c>
      <c r="E230" s="6" t="s">
        <v>2981</v>
      </c>
      <c r="F230" s="6">
        <v>9.8485E-4</v>
      </c>
      <c r="G230" s="6" t="s">
        <v>32</v>
      </c>
      <c r="H230" s="6" t="s">
        <v>14</v>
      </c>
      <c r="I230" s="6" t="s">
        <v>2969</v>
      </c>
    </row>
    <row r="231" spans="1:9" x14ac:dyDescent="0.25">
      <c r="A231" s="6" t="s">
        <v>5064</v>
      </c>
      <c r="B231" s="6" t="s">
        <v>3043</v>
      </c>
      <c r="C231" s="6">
        <v>3</v>
      </c>
      <c r="D231" s="6" t="s">
        <v>2969</v>
      </c>
      <c r="E231" s="6" t="s">
        <v>2981</v>
      </c>
      <c r="F231" s="6">
        <v>9.8485E-4</v>
      </c>
      <c r="G231" s="6" t="s">
        <v>32</v>
      </c>
      <c r="H231" s="6" t="s">
        <v>14</v>
      </c>
      <c r="I231" s="6" t="s">
        <v>2969</v>
      </c>
    </row>
    <row r="232" spans="1:9" x14ac:dyDescent="0.25">
      <c r="A232" s="6" t="s">
        <v>5065</v>
      </c>
      <c r="B232" s="6" t="s">
        <v>2978</v>
      </c>
      <c r="C232" s="6">
        <v>3</v>
      </c>
      <c r="D232" s="6" t="s">
        <v>2969</v>
      </c>
      <c r="E232" s="6" t="s">
        <v>2973</v>
      </c>
      <c r="F232" s="6">
        <v>6.4106099999999997E-3</v>
      </c>
      <c r="G232" s="6" t="s">
        <v>32</v>
      </c>
      <c r="H232" s="6" t="s">
        <v>14</v>
      </c>
      <c r="I232" s="6" t="s">
        <v>2969</v>
      </c>
    </row>
    <row r="233" spans="1:9" x14ac:dyDescent="0.25">
      <c r="A233" s="6" t="s">
        <v>5066</v>
      </c>
      <c r="B233" s="6" t="s">
        <v>2978</v>
      </c>
      <c r="C233" s="6">
        <v>3</v>
      </c>
      <c r="D233" s="6" t="s">
        <v>2969</v>
      </c>
      <c r="E233" s="6" t="s">
        <v>2973</v>
      </c>
      <c r="F233" s="6">
        <v>6.4106099999999997E-3</v>
      </c>
      <c r="G233" s="6" t="s">
        <v>32</v>
      </c>
      <c r="H233" s="6" t="s">
        <v>14</v>
      </c>
      <c r="I233" s="6" t="s">
        <v>2969</v>
      </c>
    </row>
    <row r="234" spans="1:9" x14ac:dyDescent="0.25">
      <c r="A234" s="6" t="s">
        <v>5067</v>
      </c>
      <c r="B234" s="6" t="s">
        <v>2978</v>
      </c>
      <c r="C234" s="6">
        <v>3</v>
      </c>
      <c r="D234" s="6" t="s">
        <v>2969</v>
      </c>
      <c r="E234" s="6" t="s">
        <v>2973</v>
      </c>
      <c r="F234" s="6">
        <v>6.4106099999999997E-3</v>
      </c>
      <c r="G234" s="6" t="s">
        <v>32</v>
      </c>
      <c r="H234" s="6" t="s">
        <v>14</v>
      </c>
      <c r="I234" s="6" t="s">
        <v>2969</v>
      </c>
    </row>
    <row r="235" spans="1:9" x14ac:dyDescent="0.25">
      <c r="A235" s="6" t="s">
        <v>5068</v>
      </c>
      <c r="B235" s="6" t="s">
        <v>2999</v>
      </c>
      <c r="C235" s="6">
        <v>3</v>
      </c>
      <c r="D235" s="6" t="s">
        <v>2969</v>
      </c>
      <c r="E235" s="6" t="s">
        <v>2973</v>
      </c>
      <c r="F235" s="6">
        <v>6.4106099999999997E-3</v>
      </c>
      <c r="G235" s="6" t="s">
        <v>32</v>
      </c>
      <c r="H235" s="6" t="s">
        <v>14</v>
      </c>
      <c r="I235" s="6" t="s">
        <v>2969</v>
      </c>
    </row>
    <row r="236" spans="1:9" x14ac:dyDescent="0.25">
      <c r="A236" s="6" t="s">
        <v>5069</v>
      </c>
      <c r="B236" s="6" t="s">
        <v>2999</v>
      </c>
      <c r="C236" s="6">
        <v>3</v>
      </c>
      <c r="D236" s="6" t="s">
        <v>2969</v>
      </c>
      <c r="E236" s="6" t="s">
        <v>2973</v>
      </c>
      <c r="F236" s="6">
        <v>6.4106099999999997E-3</v>
      </c>
      <c r="G236" s="6" t="s">
        <v>32</v>
      </c>
      <c r="H236" s="6" t="s">
        <v>14</v>
      </c>
      <c r="I236" s="6" t="s">
        <v>2969</v>
      </c>
    </row>
    <row r="237" spans="1:9" x14ac:dyDescent="0.25">
      <c r="A237" s="6" t="s">
        <v>5845</v>
      </c>
      <c r="B237" s="6" t="s">
        <v>1042</v>
      </c>
      <c r="C237" s="6">
        <v>3</v>
      </c>
      <c r="D237" s="6" t="s">
        <v>2969</v>
      </c>
      <c r="E237" s="6" t="s">
        <v>2981</v>
      </c>
      <c r="F237" s="6">
        <v>9.8485E-4</v>
      </c>
      <c r="G237" s="6" t="s">
        <v>32</v>
      </c>
      <c r="H237" s="6" t="s">
        <v>14</v>
      </c>
      <c r="I237" s="6" t="s">
        <v>2969</v>
      </c>
    </row>
    <row r="238" spans="1:9" x14ac:dyDescent="0.25">
      <c r="A238" s="6" t="s">
        <v>5846</v>
      </c>
      <c r="B238" s="6" t="s">
        <v>3017</v>
      </c>
      <c r="C238" s="6">
        <v>3</v>
      </c>
      <c r="D238" s="6" t="s">
        <v>2969</v>
      </c>
      <c r="E238" s="6" t="s">
        <v>2981</v>
      </c>
      <c r="F238" s="6">
        <v>9.8485E-4</v>
      </c>
      <c r="G238" s="6" t="s">
        <v>32</v>
      </c>
      <c r="H238" s="6" t="s">
        <v>14</v>
      </c>
      <c r="I238" s="6" t="s">
        <v>2969</v>
      </c>
    </row>
    <row r="239" spans="1:9" x14ac:dyDescent="0.25">
      <c r="A239" s="6" t="s">
        <v>5847</v>
      </c>
      <c r="B239" s="6" t="s">
        <v>3008</v>
      </c>
      <c r="C239" s="6">
        <v>3</v>
      </c>
      <c r="D239" s="6" t="s">
        <v>2969</v>
      </c>
      <c r="E239" s="6" t="s">
        <v>2976</v>
      </c>
      <c r="F239" s="6">
        <v>6.4106099999999997E-3</v>
      </c>
      <c r="G239" s="6" t="s">
        <v>32</v>
      </c>
      <c r="H239" s="6" t="s">
        <v>14</v>
      </c>
      <c r="I239" s="6" t="s">
        <v>2969</v>
      </c>
    </row>
    <row r="240" spans="1:9" x14ac:dyDescent="0.25">
      <c r="A240" s="6" t="s">
        <v>5848</v>
      </c>
      <c r="B240" s="6" t="s">
        <v>2968</v>
      </c>
      <c r="C240" s="6">
        <v>3</v>
      </c>
      <c r="D240" s="6" t="s">
        <v>2969</v>
      </c>
      <c r="E240" s="6" t="s">
        <v>2970</v>
      </c>
      <c r="F240" s="6">
        <v>8.8838600000000004E-3</v>
      </c>
      <c r="G240" s="6" t="s">
        <v>32</v>
      </c>
      <c r="H240" s="6" t="s">
        <v>14</v>
      </c>
      <c r="I240" s="6" t="s">
        <v>2969</v>
      </c>
    </row>
    <row r="241" spans="1:9" x14ac:dyDescent="0.25">
      <c r="A241" s="6" t="s">
        <v>5849</v>
      </c>
      <c r="B241" s="6" t="s">
        <v>2980</v>
      </c>
      <c r="C241" s="6">
        <v>3</v>
      </c>
      <c r="D241" s="6" t="s">
        <v>2969</v>
      </c>
      <c r="E241" s="6" t="s">
        <v>2981</v>
      </c>
      <c r="F241" s="6">
        <v>9.8485E-4</v>
      </c>
      <c r="G241" s="6" t="s">
        <v>32</v>
      </c>
      <c r="H241" s="6" t="s">
        <v>14</v>
      </c>
      <c r="I241" s="6" t="s">
        <v>2969</v>
      </c>
    </row>
    <row r="242" spans="1:9" x14ac:dyDescent="0.25">
      <c r="A242" s="6" t="s">
        <v>5850</v>
      </c>
      <c r="B242" s="6" t="s">
        <v>2980</v>
      </c>
      <c r="C242" s="6">
        <v>3</v>
      </c>
      <c r="D242" s="6" t="s">
        <v>2969</v>
      </c>
      <c r="E242" s="6" t="s">
        <v>2981</v>
      </c>
      <c r="F242" s="6">
        <v>9.8485E-4</v>
      </c>
      <c r="G242" s="6" t="s">
        <v>32</v>
      </c>
      <c r="H242" s="6" t="s">
        <v>14</v>
      </c>
      <c r="I242" s="6" t="s">
        <v>2969</v>
      </c>
    </row>
    <row r="243" spans="1:9" x14ac:dyDescent="0.25">
      <c r="A243" s="6" t="s">
        <v>5851</v>
      </c>
      <c r="B243" s="6" t="s">
        <v>5060</v>
      </c>
      <c r="C243" s="6">
        <v>3</v>
      </c>
      <c r="D243" s="6" t="s">
        <v>2969</v>
      </c>
      <c r="E243" s="6" t="s">
        <v>2981</v>
      </c>
      <c r="F243" s="6">
        <v>9.8485E-4</v>
      </c>
      <c r="G243" s="6" t="s">
        <v>32</v>
      </c>
      <c r="H243" s="6" t="s">
        <v>14</v>
      </c>
      <c r="I243" s="6" t="s">
        <v>2969</v>
      </c>
    </row>
    <row r="244" spans="1:9" x14ac:dyDescent="0.25">
      <c r="A244" s="6" t="s">
        <v>5852</v>
      </c>
      <c r="B244" s="6" t="s">
        <v>3017</v>
      </c>
      <c r="C244" s="6">
        <v>3</v>
      </c>
      <c r="D244" s="6" t="s">
        <v>2969</v>
      </c>
      <c r="E244" s="6" t="s">
        <v>2981</v>
      </c>
      <c r="F244" s="6">
        <v>9.8485E-4</v>
      </c>
      <c r="G244" s="6" t="s">
        <v>32</v>
      </c>
      <c r="H244" s="6" t="s">
        <v>14</v>
      </c>
      <c r="I244" s="6" t="s">
        <v>2969</v>
      </c>
    </row>
    <row r="245" spans="1:9" x14ac:dyDescent="0.25">
      <c r="A245" s="6" t="s">
        <v>5853</v>
      </c>
      <c r="B245" s="6" t="s">
        <v>2980</v>
      </c>
      <c r="C245" s="6">
        <v>3</v>
      </c>
      <c r="D245" s="6" t="s">
        <v>2969</v>
      </c>
      <c r="E245" s="6" t="s">
        <v>2976</v>
      </c>
      <c r="F245" s="6">
        <v>6.4106099999999997E-3</v>
      </c>
      <c r="G245" s="6" t="s">
        <v>32</v>
      </c>
      <c r="H245" s="6" t="s">
        <v>14</v>
      </c>
      <c r="I245" s="6" t="s">
        <v>2969</v>
      </c>
    </row>
    <row r="246" spans="1:9" x14ac:dyDescent="0.25">
      <c r="A246" s="6" t="s">
        <v>5854</v>
      </c>
      <c r="B246" s="6" t="s">
        <v>3013</v>
      </c>
      <c r="C246" s="6">
        <v>3</v>
      </c>
      <c r="D246" s="6" t="s">
        <v>2969</v>
      </c>
      <c r="E246" s="6" t="s">
        <v>2981</v>
      </c>
      <c r="F246" s="6">
        <v>9.8485E-4</v>
      </c>
      <c r="G246" s="6" t="s">
        <v>32</v>
      </c>
      <c r="H246" s="6" t="s">
        <v>14</v>
      </c>
      <c r="I246" s="6" t="s">
        <v>2969</v>
      </c>
    </row>
    <row r="247" spans="1:9" ht="30" x14ac:dyDescent="0.25">
      <c r="A247" s="6" t="s">
        <v>5855</v>
      </c>
      <c r="B247" s="17" t="s">
        <v>5859</v>
      </c>
      <c r="C247" s="17">
        <v>3</v>
      </c>
      <c r="D247" s="17" t="s">
        <v>2969</v>
      </c>
      <c r="E247" s="17" t="s">
        <v>2981</v>
      </c>
      <c r="F247" s="17">
        <v>9.8485E-4</v>
      </c>
      <c r="G247" s="17" t="s">
        <v>32</v>
      </c>
      <c r="H247" s="17" t="s">
        <v>14</v>
      </c>
      <c r="I247" s="6" t="s">
        <v>2969</v>
      </c>
    </row>
    <row r="248" spans="1:9" x14ac:dyDescent="0.25">
      <c r="A248" s="6" t="s">
        <v>5856</v>
      </c>
      <c r="B248" s="6" t="s">
        <v>3014</v>
      </c>
      <c r="C248" s="6">
        <v>3</v>
      </c>
      <c r="D248" s="6" t="s">
        <v>2969</v>
      </c>
      <c r="E248" s="6" t="s">
        <v>2981</v>
      </c>
      <c r="F248" s="6">
        <v>9.8485E-4</v>
      </c>
      <c r="G248" s="6" t="s">
        <v>32</v>
      </c>
      <c r="H248" s="6" t="s">
        <v>14</v>
      </c>
      <c r="I248" s="6" t="s">
        <v>2969</v>
      </c>
    </row>
    <row r="249" spans="1:9" x14ac:dyDescent="0.25">
      <c r="A249" s="6" t="s">
        <v>5857</v>
      </c>
      <c r="B249" s="6" t="s">
        <v>3008</v>
      </c>
      <c r="C249" s="6">
        <v>3</v>
      </c>
      <c r="D249" s="6" t="s">
        <v>2969</v>
      </c>
      <c r="E249" s="6" t="s">
        <v>2976</v>
      </c>
      <c r="F249" s="6">
        <v>6.4106099999999997E-3</v>
      </c>
      <c r="G249" s="6" t="s">
        <v>32</v>
      </c>
      <c r="H249" s="6" t="s">
        <v>14</v>
      </c>
      <c r="I249" s="6" t="s">
        <v>2969</v>
      </c>
    </row>
    <row r="250" spans="1:9" x14ac:dyDescent="0.25">
      <c r="A250" s="6" t="s">
        <v>5858</v>
      </c>
      <c r="B250" s="6" t="s">
        <v>3013</v>
      </c>
      <c r="C250" s="6">
        <v>3</v>
      </c>
      <c r="D250" s="6" t="s">
        <v>2969</v>
      </c>
      <c r="E250" s="6" t="s">
        <v>2981</v>
      </c>
      <c r="F250" s="6">
        <v>9.8485E-4</v>
      </c>
      <c r="G250" s="6" t="s">
        <v>32</v>
      </c>
      <c r="H250" s="6" t="s">
        <v>14</v>
      </c>
      <c r="I250" s="6" t="s">
        <v>2969</v>
      </c>
    </row>
    <row r="251" spans="1:9" x14ac:dyDescent="0.25">
      <c r="A251" t="s">
        <v>3043</v>
      </c>
      <c r="B251" t="s">
        <v>6031</v>
      </c>
      <c r="C251">
        <v>3</v>
      </c>
      <c r="D251" t="s">
        <v>2969</v>
      </c>
      <c r="E251" t="s">
        <v>2981</v>
      </c>
      <c r="F251">
        <v>9.8485E-4</v>
      </c>
      <c r="G251" t="s">
        <v>32</v>
      </c>
      <c r="H251" t="s">
        <v>14</v>
      </c>
      <c r="I251" t="s">
        <v>2969</v>
      </c>
    </row>
    <row r="252" spans="1:9" x14ac:dyDescent="0.25">
      <c r="A252" t="s">
        <v>3008</v>
      </c>
      <c r="B252" t="s">
        <v>6032</v>
      </c>
      <c r="C252">
        <v>3</v>
      </c>
      <c r="D252" t="s">
        <v>2969</v>
      </c>
      <c r="E252" t="s">
        <v>2976</v>
      </c>
      <c r="F252">
        <v>6.4106099999999997E-3</v>
      </c>
      <c r="G252" t="s">
        <v>32</v>
      </c>
      <c r="H252" t="s">
        <v>14</v>
      </c>
      <c r="I252" t="s">
        <v>2969</v>
      </c>
    </row>
    <row r="253" spans="1:9" x14ac:dyDescent="0.25">
      <c r="A253" t="s">
        <v>3016</v>
      </c>
      <c r="B253" t="s">
        <v>6033</v>
      </c>
      <c r="C253">
        <v>3</v>
      </c>
      <c r="D253" t="s">
        <v>2969</v>
      </c>
      <c r="E253" t="s">
        <v>2981</v>
      </c>
      <c r="F253">
        <v>9.8485E-4</v>
      </c>
      <c r="G253" t="s">
        <v>32</v>
      </c>
      <c r="H253" t="s">
        <v>14</v>
      </c>
      <c r="I253" t="s">
        <v>2969</v>
      </c>
    </row>
    <row r="254" spans="1:9" x14ac:dyDescent="0.25">
      <c r="A254" t="s">
        <v>3048</v>
      </c>
      <c r="B254" t="s">
        <v>6034</v>
      </c>
      <c r="C254">
        <v>3</v>
      </c>
      <c r="D254" t="s">
        <v>2969</v>
      </c>
      <c r="E254" t="s">
        <v>2981</v>
      </c>
      <c r="F254">
        <v>9.8485E-4</v>
      </c>
      <c r="G254" t="s">
        <v>32</v>
      </c>
      <c r="H254" t="s">
        <v>14</v>
      </c>
      <c r="I254" t="s">
        <v>2969</v>
      </c>
    </row>
  </sheetData>
  <sortState xmlns:xlrd2="http://schemas.microsoft.com/office/spreadsheetml/2017/richdata2" ref="A2:I211">
    <sortCondition ref="E1:E211"/>
  </sortState>
  <phoneticPr fontId="2" type="noConversion"/>
  <conditionalFormatting sqref="A209:A210">
    <cfRule type="expression" dxfId="29" priority="1">
      <formula>MOD(ROW(),2)=0</formula>
    </cfRule>
  </conditionalFormatting>
  <conditionalFormatting sqref="C209:C210">
    <cfRule type="expression" dxfId="28" priority="2">
      <formula>MOD(ROW(),2)=0</formula>
    </cfRule>
  </conditionalFormatting>
  <conditionalFormatting sqref="E209:H210">
    <cfRule type="expression" dxfId="27" priority="3">
      <formula>MOD(ROW(),2)=0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7C6B-128C-4AF5-B28C-F7DC66C24978}">
  <dimension ref="A1:I2"/>
  <sheetViews>
    <sheetView workbookViewId="0">
      <selection activeCell="AC24" sqref="AC24"/>
    </sheetView>
  </sheetViews>
  <sheetFormatPr defaultRowHeight="15" x14ac:dyDescent="0.25"/>
  <cols>
    <col min="1" max="1" width="8.28515625" bestFit="1" customWidth="1"/>
    <col min="2" max="2" width="13.42578125" bestFit="1" customWidth="1"/>
    <col min="3" max="3" width="6.140625" bestFit="1" customWidth="1"/>
    <col min="4" max="4" width="10.85546875" bestFit="1" customWidth="1"/>
    <col min="5" max="5" width="7.7109375" bestFit="1" customWidth="1"/>
    <col min="6" max="6" width="10.140625" bestFit="1" customWidth="1"/>
    <col min="7" max="7" width="15.5703125" bestFit="1" customWidth="1"/>
    <col min="8" max="8" width="14.7109375" bestFit="1" customWidth="1"/>
    <col min="9" max="9" width="34.14062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6.5" x14ac:dyDescent="0.25">
      <c r="A2" s="6" t="s">
        <v>3188</v>
      </c>
      <c r="B2" s="6" t="s">
        <v>3188</v>
      </c>
      <c r="C2" s="6">
        <v>3</v>
      </c>
      <c r="D2" s="6"/>
      <c r="E2" s="6" t="s">
        <v>3456</v>
      </c>
      <c r="F2" s="27">
        <v>1.1718E-3</v>
      </c>
      <c r="G2" s="6" t="s">
        <v>233</v>
      </c>
      <c r="H2" s="6" t="s">
        <v>3190</v>
      </c>
      <c r="I2" s="6" t="s">
        <v>3457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300C-F78F-4B6C-A981-3D851066C4DF}">
  <dimension ref="A1:I3"/>
  <sheetViews>
    <sheetView workbookViewId="0">
      <selection activeCell="C13" sqref="C13"/>
    </sheetView>
  </sheetViews>
  <sheetFormatPr defaultRowHeight="15" x14ac:dyDescent="0.25"/>
  <cols>
    <col min="1" max="1" width="13.140625" customWidth="1"/>
    <col min="2" max="2" width="22.5703125" customWidth="1"/>
    <col min="3" max="3" width="6.140625" bestFit="1" customWidth="1"/>
    <col min="4" max="4" width="29.85546875" customWidth="1"/>
    <col min="5" max="5" width="7.85546875" bestFit="1" customWidth="1"/>
    <col min="6" max="6" width="18.42578125" customWidth="1"/>
    <col min="7" max="7" width="15.5703125" bestFit="1" customWidth="1"/>
    <col min="8" max="8" width="17.140625" bestFit="1" customWidth="1"/>
    <col min="9" max="9" width="30.8554687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3188</v>
      </c>
      <c r="B2" s="6" t="s">
        <v>3201</v>
      </c>
      <c r="C2" s="6">
        <v>3</v>
      </c>
      <c r="D2" s="6" t="s">
        <v>3202</v>
      </c>
      <c r="E2" s="6" t="s">
        <v>3203</v>
      </c>
      <c r="F2" s="6">
        <v>1.0714862634302799E-3</v>
      </c>
      <c r="G2" s="6" t="s">
        <v>233</v>
      </c>
      <c r="H2" s="6" t="s">
        <v>234</v>
      </c>
      <c r="I2" s="6" t="s">
        <v>3202</v>
      </c>
    </row>
    <row r="3" spans="1:9" x14ac:dyDescent="0.25">
      <c r="A3" s="6" t="s">
        <v>3199</v>
      </c>
      <c r="B3" s="6" t="s">
        <v>3200</v>
      </c>
      <c r="C3" s="6">
        <v>3</v>
      </c>
      <c r="D3" s="6" t="s">
        <v>3202</v>
      </c>
      <c r="E3" s="6" t="s">
        <v>3204</v>
      </c>
      <c r="F3" s="6">
        <v>4.5572905015114603E-4</v>
      </c>
      <c r="G3" s="6" t="s">
        <v>233</v>
      </c>
      <c r="H3" s="6" t="s">
        <v>234</v>
      </c>
      <c r="I3" s="6" t="s">
        <v>3202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45C6-DBD9-4905-9E2C-64AF6CBE49CC}">
  <dimension ref="A1:J18"/>
  <sheetViews>
    <sheetView topLeftCell="B1" zoomScale="94" zoomScaleNormal="145" workbookViewId="0">
      <selection activeCell="D26" sqref="D25:D26"/>
    </sheetView>
  </sheetViews>
  <sheetFormatPr defaultRowHeight="15" x14ac:dyDescent="0.25"/>
  <cols>
    <col min="1" max="1" width="44.140625" customWidth="1"/>
    <col min="2" max="2" width="38.85546875" customWidth="1"/>
    <col min="3" max="3" width="8.140625" customWidth="1"/>
    <col min="4" max="4" width="44.42578125" customWidth="1"/>
    <col min="5" max="5" width="15.28515625" customWidth="1"/>
    <col min="6" max="6" width="43.5703125" customWidth="1"/>
    <col min="7" max="7" width="17.85546875" customWidth="1"/>
    <col min="8" max="8" width="48" customWidth="1"/>
    <col min="9" max="9" width="47.140625" customWidth="1"/>
    <col min="10" max="10" width="44.7109375" customWidth="1"/>
  </cols>
  <sheetData>
    <row r="1" spans="1:10" x14ac:dyDescent="0.25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2" t="s">
        <v>173</v>
      </c>
    </row>
    <row r="2" spans="1:10" x14ac:dyDescent="0.25">
      <c r="A2" s="1" t="s">
        <v>2928</v>
      </c>
      <c r="B2" s="6" t="s">
        <v>59</v>
      </c>
      <c r="C2" s="6">
        <v>3</v>
      </c>
      <c r="D2" s="6" t="s">
        <v>2929</v>
      </c>
      <c r="E2" s="6" t="s">
        <v>2930</v>
      </c>
      <c r="F2" s="8">
        <v>1.81239E-4</v>
      </c>
      <c r="G2" s="6" t="s">
        <v>63</v>
      </c>
      <c r="H2" s="6" t="s">
        <v>2931</v>
      </c>
      <c r="I2" s="6" t="s">
        <v>2929</v>
      </c>
      <c r="J2" s="6"/>
    </row>
    <row r="3" spans="1:10" x14ac:dyDescent="0.25">
      <c r="A3" s="1" t="s">
        <v>2932</v>
      </c>
      <c r="B3" s="6" t="s">
        <v>2933</v>
      </c>
      <c r="C3" s="6">
        <v>3</v>
      </c>
      <c r="D3" s="6" t="s">
        <v>2929</v>
      </c>
      <c r="E3" s="6" t="s">
        <v>2934</v>
      </c>
      <c r="F3" s="28">
        <v>3.8566399999999997E-5</v>
      </c>
      <c r="G3" s="6" t="s">
        <v>63</v>
      </c>
      <c r="H3" s="6" t="s">
        <v>14</v>
      </c>
      <c r="I3" s="6" t="s">
        <v>2929</v>
      </c>
      <c r="J3" s="6"/>
    </row>
    <row r="4" spans="1:10" x14ac:dyDescent="0.25">
      <c r="A4" s="1" t="s">
        <v>2935</v>
      </c>
      <c r="B4" s="6" t="s">
        <v>19</v>
      </c>
      <c r="C4" s="6">
        <v>3</v>
      </c>
      <c r="D4" s="6" t="s">
        <v>2929</v>
      </c>
      <c r="E4" s="6" t="s">
        <v>2936</v>
      </c>
      <c r="F4" s="8">
        <v>1.136E-4</v>
      </c>
      <c r="G4" s="6" t="s">
        <v>63</v>
      </c>
      <c r="H4" s="6" t="s">
        <v>2937</v>
      </c>
      <c r="I4" s="6" t="s">
        <v>2929</v>
      </c>
      <c r="J4" s="6"/>
    </row>
    <row r="5" spans="1:10" x14ac:dyDescent="0.25">
      <c r="A5" s="1" t="s">
        <v>2938</v>
      </c>
      <c r="B5" s="6" t="s">
        <v>2939</v>
      </c>
      <c r="C5" s="6">
        <v>3</v>
      </c>
      <c r="D5" s="6" t="s">
        <v>2929</v>
      </c>
      <c r="E5" s="6" t="s">
        <v>2940</v>
      </c>
      <c r="F5" s="8">
        <v>1.449E-4</v>
      </c>
      <c r="G5" s="6" t="s">
        <v>63</v>
      </c>
      <c r="H5" s="6" t="s">
        <v>2937</v>
      </c>
      <c r="I5" s="6" t="s">
        <v>2929</v>
      </c>
      <c r="J5" s="6"/>
    </row>
    <row r="6" spans="1:10" x14ac:dyDescent="0.25">
      <c r="A6" s="1" t="s">
        <v>158</v>
      </c>
      <c r="B6" s="6" t="s">
        <v>2941</v>
      </c>
      <c r="C6" s="6">
        <v>3</v>
      </c>
      <c r="D6" s="6" t="s">
        <v>2929</v>
      </c>
      <c r="E6" s="6" t="s">
        <v>2942</v>
      </c>
      <c r="F6" s="28">
        <v>9.4964599999999995E-5</v>
      </c>
      <c r="G6" s="6" t="s">
        <v>63</v>
      </c>
      <c r="H6" s="6" t="s">
        <v>14</v>
      </c>
      <c r="I6" s="6" t="s">
        <v>2929</v>
      </c>
      <c r="J6" s="6"/>
    </row>
    <row r="7" spans="1:10" x14ac:dyDescent="0.25">
      <c r="A7" s="1" t="s">
        <v>67</v>
      </c>
      <c r="B7" s="6" t="s">
        <v>2943</v>
      </c>
      <c r="C7" s="6">
        <v>3</v>
      </c>
      <c r="D7" s="6" t="s">
        <v>2929</v>
      </c>
      <c r="E7" s="6" t="s">
        <v>2944</v>
      </c>
      <c r="F7" s="8">
        <v>0</v>
      </c>
      <c r="G7" s="6" t="s">
        <v>63</v>
      </c>
      <c r="H7" s="6" t="s">
        <v>3459</v>
      </c>
      <c r="I7" s="6" t="s">
        <v>2929</v>
      </c>
      <c r="J7" s="6"/>
    </row>
    <row r="8" spans="1:10" x14ac:dyDescent="0.25">
      <c r="A8" s="1" t="s">
        <v>70</v>
      </c>
      <c r="B8" s="6" t="s">
        <v>2945</v>
      </c>
      <c r="C8" s="6">
        <v>3</v>
      </c>
      <c r="D8" s="6" t="s">
        <v>2929</v>
      </c>
      <c r="E8" s="6" t="s">
        <v>2946</v>
      </c>
      <c r="F8" s="8">
        <v>8.6609999999999999E-5</v>
      </c>
      <c r="G8" s="6" t="s">
        <v>63</v>
      </c>
      <c r="H8" s="6" t="s">
        <v>2937</v>
      </c>
      <c r="I8" s="6" t="s">
        <v>2929</v>
      </c>
      <c r="J8" s="6"/>
    </row>
    <row r="9" spans="1:10" x14ac:dyDescent="0.25">
      <c r="A9" s="1" t="s">
        <v>80</v>
      </c>
      <c r="B9" s="6" t="s">
        <v>2947</v>
      </c>
      <c r="C9" s="6">
        <v>3</v>
      </c>
      <c r="D9" s="6" t="s">
        <v>2929</v>
      </c>
      <c r="E9" s="6" t="s">
        <v>2948</v>
      </c>
      <c r="F9" s="28">
        <v>1.8703999999999999E-6</v>
      </c>
      <c r="G9" s="6" t="s">
        <v>63</v>
      </c>
      <c r="H9" s="6" t="s">
        <v>2949</v>
      </c>
      <c r="I9" s="6" t="s">
        <v>2929</v>
      </c>
      <c r="J9" s="6"/>
    </row>
    <row r="10" spans="1:10" x14ac:dyDescent="0.25">
      <c r="A10" s="1" t="s">
        <v>107</v>
      </c>
      <c r="B10" s="6" t="s">
        <v>2950</v>
      </c>
      <c r="C10" s="6">
        <v>3</v>
      </c>
      <c r="D10" s="6" t="s">
        <v>2929</v>
      </c>
      <c r="E10" s="6" t="s">
        <v>2951</v>
      </c>
      <c r="F10" s="28">
        <v>3.2063999999999999E-6</v>
      </c>
      <c r="G10" s="6" t="s">
        <v>63</v>
      </c>
      <c r="H10" s="6" t="s">
        <v>2952</v>
      </c>
      <c r="I10" s="6" t="s">
        <v>2929</v>
      </c>
      <c r="J10" s="6"/>
    </row>
    <row r="11" spans="1:10" x14ac:dyDescent="0.25">
      <c r="A11" s="1" t="s">
        <v>143</v>
      </c>
      <c r="B11" s="6" t="s">
        <v>2953</v>
      </c>
      <c r="C11" s="6">
        <v>3</v>
      </c>
      <c r="D11" s="6" t="s">
        <v>2929</v>
      </c>
      <c r="E11" s="6" t="s">
        <v>2954</v>
      </c>
      <c r="F11" s="8">
        <v>1.1367E-4</v>
      </c>
      <c r="G11" s="6" t="s">
        <v>63</v>
      </c>
      <c r="H11" s="6" t="s">
        <v>14</v>
      </c>
      <c r="I11" s="6" t="s">
        <v>2929</v>
      </c>
      <c r="J11" s="6"/>
    </row>
    <row r="12" spans="1:10" x14ac:dyDescent="0.25">
      <c r="A12" s="1" t="s">
        <v>140</v>
      </c>
      <c r="B12" s="6" t="s">
        <v>2955</v>
      </c>
      <c r="C12" s="6">
        <v>3</v>
      </c>
      <c r="D12" s="6" t="s">
        <v>2929</v>
      </c>
      <c r="E12" s="6" t="s">
        <v>2956</v>
      </c>
      <c r="F12" s="8">
        <v>7.3300000000000001E-6</v>
      </c>
      <c r="G12" s="6" t="s">
        <v>63</v>
      </c>
      <c r="H12" s="6" t="s">
        <v>2937</v>
      </c>
      <c r="I12" s="6" t="s">
        <v>2929</v>
      </c>
      <c r="J12" s="6"/>
    </row>
    <row r="13" spans="1:10" x14ac:dyDescent="0.25">
      <c r="A13" s="1" t="s">
        <v>161</v>
      </c>
      <c r="B13" s="6" t="s">
        <v>2957</v>
      </c>
      <c r="C13" s="6">
        <v>3</v>
      </c>
      <c r="D13" s="6" t="s">
        <v>2929</v>
      </c>
      <c r="E13" s="6" t="s">
        <v>2958</v>
      </c>
      <c r="F13" s="8">
        <v>4.5140000000000003E-6</v>
      </c>
      <c r="G13" s="6" t="s">
        <v>63</v>
      </c>
      <c r="H13" s="6" t="s">
        <v>2937</v>
      </c>
      <c r="I13" s="6" t="s">
        <v>2929</v>
      </c>
      <c r="J13" s="6"/>
    </row>
    <row r="14" spans="1:10" x14ac:dyDescent="0.25">
      <c r="A14" s="1" t="s">
        <v>164</v>
      </c>
      <c r="B14" s="6" t="s">
        <v>2959</v>
      </c>
      <c r="C14" s="6">
        <v>3</v>
      </c>
      <c r="D14" s="6" t="s">
        <v>2929</v>
      </c>
      <c r="E14" s="6" t="s">
        <v>2960</v>
      </c>
      <c r="F14" s="8">
        <v>6.0179999999999998E-6</v>
      </c>
      <c r="G14" s="6" t="s">
        <v>63</v>
      </c>
      <c r="H14" s="6" t="s">
        <v>2937</v>
      </c>
      <c r="I14" s="6" t="s">
        <v>2929</v>
      </c>
      <c r="J14" s="6"/>
    </row>
    <row r="15" spans="1:10" x14ac:dyDescent="0.25">
      <c r="A15" s="1" t="s">
        <v>167</v>
      </c>
      <c r="B15" s="6" t="s">
        <v>167</v>
      </c>
      <c r="C15" s="6">
        <v>3</v>
      </c>
      <c r="D15" s="6" t="s">
        <v>2929</v>
      </c>
      <c r="E15" s="6" t="s">
        <v>2961</v>
      </c>
      <c r="F15" s="8">
        <v>6.545E-6</v>
      </c>
      <c r="G15" s="6" t="s">
        <v>63</v>
      </c>
      <c r="H15" s="6" t="s">
        <v>2937</v>
      </c>
      <c r="I15" s="6" t="s">
        <v>2929</v>
      </c>
      <c r="J15" s="6"/>
    </row>
    <row r="16" spans="1:10" x14ac:dyDescent="0.25">
      <c r="A16" s="1" t="s">
        <v>170</v>
      </c>
      <c r="B16" s="6" t="s">
        <v>170</v>
      </c>
      <c r="C16" s="6">
        <v>3</v>
      </c>
      <c r="D16" s="6" t="s">
        <v>2929</v>
      </c>
      <c r="E16" s="6" t="s">
        <v>2962</v>
      </c>
      <c r="F16" s="8">
        <v>0</v>
      </c>
      <c r="G16" s="6" t="s">
        <v>63</v>
      </c>
      <c r="H16" s="6" t="s">
        <v>3459</v>
      </c>
      <c r="I16" s="6" t="s">
        <v>2929</v>
      </c>
      <c r="J16" s="6"/>
    </row>
    <row r="17" spans="1:10" x14ac:dyDescent="0.25">
      <c r="A17" s="1" t="s">
        <v>2963</v>
      </c>
      <c r="B17" s="6" t="s">
        <v>2963</v>
      </c>
      <c r="C17" s="6">
        <v>3</v>
      </c>
      <c r="D17" s="6" t="s">
        <v>2929</v>
      </c>
      <c r="E17" s="6" t="s">
        <v>2964</v>
      </c>
      <c r="F17" s="8">
        <v>0</v>
      </c>
      <c r="G17" s="6" t="s">
        <v>63</v>
      </c>
      <c r="H17" s="6" t="s">
        <v>3459</v>
      </c>
      <c r="I17" s="6" t="s">
        <v>2929</v>
      </c>
      <c r="J17" s="6"/>
    </row>
    <row r="18" spans="1:10" x14ac:dyDescent="0.25">
      <c r="A18" s="2" t="s">
        <v>2965</v>
      </c>
      <c r="B18" s="6" t="s">
        <v>2965</v>
      </c>
      <c r="C18" s="6">
        <v>3</v>
      </c>
      <c r="D18" s="6" t="s">
        <v>2929</v>
      </c>
      <c r="E18" s="6" t="s">
        <v>2966</v>
      </c>
      <c r="F18" s="8">
        <v>1.81239E-4</v>
      </c>
      <c r="G18" s="6" t="s">
        <v>63</v>
      </c>
      <c r="H18" s="6" t="s">
        <v>3460</v>
      </c>
      <c r="I18" s="6" t="s">
        <v>2929</v>
      </c>
      <c r="J18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A96F-9C70-47B5-8B4E-CEEA23F6BF3C}">
  <dimension ref="A1:M21"/>
  <sheetViews>
    <sheetView workbookViewId="0">
      <selection activeCell="G38" sqref="G38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6.140625" bestFit="1" customWidth="1"/>
    <col min="4" max="4" width="40.140625" bestFit="1" customWidth="1"/>
    <col min="6" max="6" width="69" customWidth="1"/>
    <col min="7" max="7" width="18.28515625" customWidth="1"/>
    <col min="8" max="8" width="36" customWidth="1"/>
    <col min="9" max="9" width="40.140625" bestFit="1" customWidth="1"/>
    <col min="10" max="10" width="14.42578125" bestFit="1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2" t="s">
        <v>173</v>
      </c>
    </row>
    <row r="2" spans="1:13" x14ac:dyDescent="0.25">
      <c r="A2" s="6" t="s">
        <v>174</v>
      </c>
      <c r="B2" s="6" t="s">
        <v>174</v>
      </c>
      <c r="C2" s="6">
        <v>3</v>
      </c>
      <c r="D2" s="6" t="s">
        <v>3205</v>
      </c>
      <c r="E2" s="19" t="s">
        <v>3206</v>
      </c>
      <c r="F2" s="44">
        <v>1.7529000000000001E-4</v>
      </c>
      <c r="G2" s="6" t="s">
        <v>177</v>
      </c>
      <c r="H2" s="6" t="s">
        <v>4995</v>
      </c>
      <c r="I2" s="6" t="s">
        <v>3205</v>
      </c>
      <c r="J2" s="6" t="s">
        <v>174</v>
      </c>
    </row>
    <row r="3" spans="1:13" x14ac:dyDescent="0.25">
      <c r="A3" s="6" t="s">
        <v>180</v>
      </c>
      <c r="B3" s="6" t="s">
        <v>180</v>
      </c>
      <c r="C3" s="6">
        <v>3</v>
      </c>
      <c r="D3" s="6" t="s">
        <v>3205</v>
      </c>
      <c r="E3" s="19" t="s">
        <v>3207</v>
      </c>
      <c r="F3" s="44">
        <v>1.7529000000000001E-4</v>
      </c>
      <c r="G3" s="6" t="s">
        <v>182</v>
      </c>
      <c r="H3" s="6" t="s">
        <v>4995</v>
      </c>
      <c r="I3" s="6" t="s">
        <v>3205</v>
      </c>
      <c r="J3" s="6" t="s">
        <v>180</v>
      </c>
    </row>
    <row r="4" spans="1:13" x14ac:dyDescent="0.25">
      <c r="A4" s="6" t="s">
        <v>185</v>
      </c>
      <c r="B4" s="6" t="s">
        <v>185</v>
      </c>
      <c r="C4" s="6">
        <v>3</v>
      </c>
      <c r="D4" s="6" t="s">
        <v>3205</v>
      </c>
      <c r="E4" s="19" t="s">
        <v>3208</v>
      </c>
      <c r="F4" s="44">
        <v>1.7529000000000001E-4</v>
      </c>
      <c r="G4" s="6" t="s">
        <v>182</v>
      </c>
      <c r="H4" s="6" t="s">
        <v>4995</v>
      </c>
      <c r="I4" s="6" t="s">
        <v>3205</v>
      </c>
      <c r="J4" s="6" t="s">
        <v>187</v>
      </c>
    </row>
    <row r="5" spans="1:13" x14ac:dyDescent="0.25">
      <c r="A5" s="6" t="s">
        <v>188</v>
      </c>
      <c r="B5" s="6" t="s">
        <v>188</v>
      </c>
      <c r="C5" s="6">
        <v>3</v>
      </c>
      <c r="D5" s="6" t="s">
        <v>3205</v>
      </c>
      <c r="E5" s="19" t="s">
        <v>3209</v>
      </c>
      <c r="F5" s="44">
        <v>1.7529000000000001E-4</v>
      </c>
      <c r="G5" s="6" t="s">
        <v>177</v>
      </c>
      <c r="H5" s="6" t="s">
        <v>4995</v>
      </c>
      <c r="I5" s="6" t="s">
        <v>3205</v>
      </c>
      <c r="J5" s="6" t="s">
        <v>188</v>
      </c>
    </row>
    <row r="6" spans="1:13" x14ac:dyDescent="0.25">
      <c r="A6" s="6" t="s">
        <v>190</v>
      </c>
      <c r="B6" s="6" t="s">
        <v>190</v>
      </c>
      <c r="C6" s="6">
        <v>3</v>
      </c>
      <c r="D6" s="6" t="s">
        <v>3205</v>
      </c>
      <c r="E6" s="19" t="s">
        <v>3210</v>
      </c>
      <c r="F6" s="44">
        <v>1.7529000000000001E-4</v>
      </c>
      <c r="G6" s="6" t="s">
        <v>177</v>
      </c>
      <c r="H6" s="6" t="s">
        <v>4995</v>
      </c>
      <c r="I6" s="6" t="s">
        <v>3205</v>
      </c>
      <c r="J6" s="6" t="s">
        <v>190</v>
      </c>
      <c r="M6" t="s">
        <v>4802</v>
      </c>
    </row>
    <row r="7" spans="1:13" x14ac:dyDescent="0.25">
      <c r="A7" s="6" t="s">
        <v>192</v>
      </c>
      <c r="B7" s="6" t="s">
        <v>192</v>
      </c>
      <c r="C7" s="6">
        <v>3</v>
      </c>
      <c r="D7" s="6" t="s">
        <v>3205</v>
      </c>
      <c r="E7" s="19" t="s">
        <v>3211</v>
      </c>
      <c r="F7" s="44">
        <v>1.7529000000000001E-4</v>
      </c>
      <c r="G7" s="6" t="s">
        <v>177</v>
      </c>
      <c r="H7" s="6" t="s">
        <v>4995</v>
      </c>
      <c r="I7" s="6" t="s">
        <v>3205</v>
      </c>
      <c r="J7" s="6" t="s">
        <v>192</v>
      </c>
    </row>
    <row r="8" spans="1:13" x14ac:dyDescent="0.25">
      <c r="A8" s="6" t="s">
        <v>195</v>
      </c>
      <c r="B8" s="6" t="s">
        <v>195</v>
      </c>
      <c r="C8" s="6">
        <v>3</v>
      </c>
      <c r="D8" s="6" t="s">
        <v>3205</v>
      </c>
      <c r="E8" s="19" t="s">
        <v>3212</v>
      </c>
      <c r="F8" s="44">
        <v>1.7529000000000001E-4</v>
      </c>
      <c r="G8" s="6" t="s">
        <v>182</v>
      </c>
      <c r="H8" s="6" t="s">
        <v>4995</v>
      </c>
      <c r="I8" s="6" t="s">
        <v>3205</v>
      </c>
      <c r="J8" s="6" t="s">
        <v>195</v>
      </c>
    </row>
    <row r="9" spans="1:13" x14ac:dyDescent="0.25">
      <c r="A9" s="6" t="s">
        <v>2915</v>
      </c>
      <c r="B9" s="6" t="s">
        <v>2915</v>
      </c>
      <c r="C9" s="6">
        <v>3</v>
      </c>
      <c r="D9" s="6" t="s">
        <v>3205</v>
      </c>
      <c r="E9" s="19" t="s">
        <v>3213</v>
      </c>
      <c r="F9" s="44">
        <v>1.7529000000000001E-4</v>
      </c>
      <c r="G9" s="6" t="s">
        <v>177</v>
      </c>
      <c r="H9" s="6" t="s">
        <v>4995</v>
      </c>
      <c r="I9" s="6" t="s">
        <v>3205</v>
      </c>
      <c r="J9" s="6" t="s">
        <v>2915</v>
      </c>
    </row>
    <row r="10" spans="1:13" x14ac:dyDescent="0.25">
      <c r="A10" s="6" t="s">
        <v>197</v>
      </c>
      <c r="B10" s="6" t="s">
        <v>197</v>
      </c>
      <c r="C10" s="6">
        <v>3</v>
      </c>
      <c r="D10" s="6" t="s">
        <v>3205</v>
      </c>
      <c r="E10" s="19" t="s">
        <v>3214</v>
      </c>
      <c r="F10" s="44">
        <v>1.7529000000000001E-4</v>
      </c>
      <c r="G10" s="6" t="s">
        <v>177</v>
      </c>
      <c r="H10" s="6" t="s">
        <v>4995</v>
      </c>
      <c r="I10" s="6" t="s">
        <v>3205</v>
      </c>
      <c r="J10" s="6" t="s">
        <v>197</v>
      </c>
    </row>
    <row r="11" spans="1:13" x14ac:dyDescent="0.25">
      <c r="A11" s="6" t="s">
        <v>199</v>
      </c>
      <c r="B11" s="6" t="s">
        <v>199</v>
      </c>
      <c r="C11" s="6">
        <v>3</v>
      </c>
      <c r="D11" s="6" t="s">
        <v>3205</v>
      </c>
      <c r="E11" s="19" t="s">
        <v>3215</v>
      </c>
      <c r="F11" s="44">
        <v>1.7529000000000001E-4</v>
      </c>
      <c r="G11" s="6" t="s">
        <v>182</v>
      </c>
      <c r="H11" s="6" t="s">
        <v>4995</v>
      </c>
      <c r="I11" s="6" t="s">
        <v>3205</v>
      </c>
      <c r="J11" s="6" t="s">
        <v>199</v>
      </c>
    </row>
    <row r="12" spans="1:13" x14ac:dyDescent="0.25">
      <c r="A12" s="6" t="s">
        <v>201</v>
      </c>
      <c r="B12" s="6" t="s">
        <v>201</v>
      </c>
      <c r="C12" s="6">
        <v>3</v>
      </c>
      <c r="D12" s="6" t="s">
        <v>3205</v>
      </c>
      <c r="E12" s="19" t="s">
        <v>3216</v>
      </c>
      <c r="F12" s="44">
        <v>1.7529000000000001E-4</v>
      </c>
      <c r="G12" s="6" t="s">
        <v>177</v>
      </c>
      <c r="H12" s="6" t="s">
        <v>4995</v>
      </c>
      <c r="I12" s="6" t="s">
        <v>3205</v>
      </c>
      <c r="J12" s="6" t="s">
        <v>201</v>
      </c>
    </row>
    <row r="13" spans="1:13" x14ac:dyDescent="0.25">
      <c r="A13" s="6" t="s">
        <v>203</v>
      </c>
      <c r="B13" s="6" t="s">
        <v>203</v>
      </c>
      <c r="C13" s="6">
        <v>3</v>
      </c>
      <c r="D13" s="6" t="s">
        <v>3205</v>
      </c>
      <c r="E13" s="19" t="s">
        <v>3217</v>
      </c>
      <c r="F13" s="44">
        <v>1.7529000000000001E-4</v>
      </c>
      <c r="G13" s="6" t="s">
        <v>177</v>
      </c>
      <c r="H13" s="6" t="s">
        <v>4995</v>
      </c>
      <c r="I13" s="6" t="s">
        <v>3205</v>
      </c>
      <c r="J13" s="6" t="s">
        <v>203</v>
      </c>
    </row>
    <row r="14" spans="1:13" x14ac:dyDescent="0.25">
      <c r="A14" s="6" t="s">
        <v>209</v>
      </c>
      <c r="B14" s="6" t="s">
        <v>206</v>
      </c>
      <c r="C14" s="6">
        <v>3</v>
      </c>
      <c r="D14" s="6" t="s">
        <v>3205</v>
      </c>
      <c r="E14" s="19" t="s">
        <v>3218</v>
      </c>
      <c r="F14" s="44">
        <v>1.7529000000000001E-4</v>
      </c>
      <c r="G14" s="6" t="s">
        <v>177</v>
      </c>
      <c r="H14" s="6" t="s">
        <v>4995</v>
      </c>
      <c r="I14" s="6" t="s">
        <v>3205</v>
      </c>
      <c r="J14" s="6" t="s">
        <v>209</v>
      </c>
    </row>
    <row r="15" spans="1:13" x14ac:dyDescent="0.25">
      <c r="A15" s="6" t="s">
        <v>210</v>
      </c>
      <c r="B15" s="6" t="s">
        <v>210</v>
      </c>
      <c r="C15" s="6">
        <v>3</v>
      </c>
      <c r="D15" s="6" t="s">
        <v>3205</v>
      </c>
      <c r="E15" s="19" t="s">
        <v>3219</v>
      </c>
      <c r="F15" s="44">
        <v>1.7529000000000001E-4</v>
      </c>
      <c r="G15" s="6" t="s">
        <v>177</v>
      </c>
      <c r="H15" s="6" t="s">
        <v>4995</v>
      </c>
      <c r="I15" s="6" t="s">
        <v>3205</v>
      </c>
      <c r="J15" s="6" t="s">
        <v>210</v>
      </c>
    </row>
    <row r="16" spans="1:13" x14ac:dyDescent="0.25">
      <c r="A16" s="6" t="s">
        <v>212</v>
      </c>
      <c r="B16" s="6" t="s">
        <v>212</v>
      </c>
      <c r="C16" s="6">
        <v>3</v>
      </c>
      <c r="D16" s="6" t="s">
        <v>3205</v>
      </c>
      <c r="E16" s="19" t="s">
        <v>3220</v>
      </c>
      <c r="F16" s="44">
        <v>1.7529000000000001E-4</v>
      </c>
      <c r="G16" s="6" t="s">
        <v>177</v>
      </c>
      <c r="H16" s="6" t="s">
        <v>4995</v>
      </c>
      <c r="I16" s="6" t="s">
        <v>3205</v>
      </c>
      <c r="J16" s="6" t="s">
        <v>212</v>
      </c>
    </row>
    <row r="17" spans="1:10" x14ac:dyDescent="0.25">
      <c r="A17" s="6" t="s">
        <v>216</v>
      </c>
      <c r="B17" s="6" t="s">
        <v>216</v>
      </c>
      <c r="C17" s="6">
        <v>3</v>
      </c>
      <c r="D17" s="6" t="s">
        <v>3205</v>
      </c>
      <c r="E17" s="19" t="s">
        <v>3221</v>
      </c>
      <c r="F17" s="44">
        <v>1.7529000000000001E-4</v>
      </c>
      <c r="G17" s="6" t="s">
        <v>177</v>
      </c>
      <c r="H17" s="6" t="s">
        <v>4995</v>
      </c>
      <c r="I17" s="6" t="s">
        <v>3205</v>
      </c>
      <c r="J17" s="6" t="s">
        <v>216</v>
      </c>
    </row>
    <row r="18" spans="1:10" x14ac:dyDescent="0.25">
      <c r="A18" s="6" t="s">
        <v>218</v>
      </c>
      <c r="B18" s="6" t="s">
        <v>218</v>
      </c>
      <c r="C18" s="6">
        <v>3</v>
      </c>
      <c r="D18" s="6" t="s">
        <v>3205</v>
      </c>
      <c r="E18" s="19" t="s">
        <v>3222</v>
      </c>
      <c r="F18" s="44">
        <v>1.7529000000000001E-4</v>
      </c>
      <c r="G18" s="6" t="s">
        <v>177</v>
      </c>
      <c r="H18" s="6" t="s">
        <v>4995</v>
      </c>
      <c r="I18" s="6" t="s">
        <v>3205</v>
      </c>
      <c r="J18" s="6" t="s">
        <v>218</v>
      </c>
    </row>
    <row r="19" spans="1:10" x14ac:dyDescent="0.25">
      <c r="A19" s="6" t="s">
        <v>220</v>
      </c>
      <c r="B19" s="6" t="s">
        <v>220</v>
      </c>
      <c r="C19" s="6">
        <v>3</v>
      </c>
      <c r="D19" s="6" t="s">
        <v>3205</v>
      </c>
      <c r="E19" s="19" t="s">
        <v>3223</v>
      </c>
      <c r="F19" s="44">
        <v>1.7529000000000001E-4</v>
      </c>
      <c r="G19" s="6" t="s">
        <v>177</v>
      </c>
      <c r="H19" s="6" t="s">
        <v>4995</v>
      </c>
      <c r="I19" s="6" t="s">
        <v>3205</v>
      </c>
      <c r="J19" s="6" t="s">
        <v>220</v>
      </c>
    </row>
    <row r="20" spans="1:10" x14ac:dyDescent="0.25">
      <c r="A20" s="6" t="s">
        <v>227</v>
      </c>
      <c r="B20" s="6" t="s">
        <v>227</v>
      </c>
      <c r="C20" s="6">
        <v>3</v>
      </c>
      <c r="D20" s="6" t="s">
        <v>3205</v>
      </c>
      <c r="E20" s="19" t="s">
        <v>3224</v>
      </c>
      <c r="F20" s="44">
        <v>1.7529000000000001E-4</v>
      </c>
      <c r="G20" s="6" t="s">
        <v>177</v>
      </c>
      <c r="H20" s="6" t="s">
        <v>4995</v>
      </c>
      <c r="I20" s="6" t="s">
        <v>3205</v>
      </c>
      <c r="J20" s="6" t="s">
        <v>227</v>
      </c>
    </row>
    <row r="21" spans="1:10" x14ac:dyDescent="0.25">
      <c r="A21" s="6" t="s">
        <v>3245</v>
      </c>
      <c r="B21" s="6" t="s">
        <v>3245</v>
      </c>
      <c r="C21" s="6">
        <v>4</v>
      </c>
      <c r="D21" s="6" t="s">
        <v>3225</v>
      </c>
      <c r="E21" s="19" t="s">
        <v>3218</v>
      </c>
      <c r="F21" s="44">
        <f>0.2526/1000</f>
        <v>2.5260000000000001E-4</v>
      </c>
      <c r="G21" s="6" t="s">
        <v>177</v>
      </c>
      <c r="H21" s="6" t="s">
        <v>4998</v>
      </c>
      <c r="I21" s="6" t="s">
        <v>3225</v>
      </c>
      <c r="J21" s="6" t="s">
        <v>3245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6699-119B-4656-9EE9-27261A039B65}">
  <dimension ref="A1:J21"/>
  <sheetViews>
    <sheetView topLeftCell="E1" workbookViewId="0">
      <selection activeCell="G2" sqref="G2:H21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6.140625" bestFit="1" customWidth="1"/>
    <col min="4" max="4" width="76.7109375" customWidth="1"/>
    <col min="5" max="5" width="30.7109375" customWidth="1"/>
    <col min="6" max="6" width="68.28515625" customWidth="1"/>
    <col min="7" max="7" width="10.5703125" bestFit="1" customWidth="1"/>
    <col min="8" max="8" width="31.85546875" bestFit="1" customWidth="1"/>
    <col min="9" max="9" width="38.42578125" bestFit="1" customWidth="1"/>
    <col min="10" max="10" width="14.4257812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2" t="s">
        <v>173</v>
      </c>
    </row>
    <row r="2" spans="1:10" x14ac:dyDescent="0.25">
      <c r="A2" s="6" t="s">
        <v>174</v>
      </c>
      <c r="B2" s="6" t="s">
        <v>174</v>
      </c>
      <c r="C2" s="6">
        <v>3</v>
      </c>
      <c r="D2" s="6" t="s">
        <v>3225</v>
      </c>
      <c r="E2" s="19" t="s">
        <v>3226</v>
      </c>
      <c r="F2" s="44">
        <v>1.7529000000000001E-4</v>
      </c>
      <c r="G2" s="6" t="s">
        <v>177</v>
      </c>
      <c r="H2" s="6" t="s">
        <v>4995</v>
      </c>
      <c r="I2" s="6" t="s">
        <v>3225</v>
      </c>
      <c r="J2" s="6" t="s">
        <v>174</v>
      </c>
    </row>
    <row r="3" spans="1:10" x14ac:dyDescent="0.25">
      <c r="A3" s="6" t="s">
        <v>180</v>
      </c>
      <c r="B3" s="6" t="s">
        <v>180</v>
      </c>
      <c r="C3" s="6">
        <v>3</v>
      </c>
      <c r="D3" s="6" t="s">
        <v>3225</v>
      </c>
      <c r="E3" s="19" t="s">
        <v>3227</v>
      </c>
      <c r="F3" s="44">
        <v>1.7529000000000001E-4</v>
      </c>
      <c r="G3" s="6" t="s">
        <v>182</v>
      </c>
      <c r="H3" s="6" t="s">
        <v>4995</v>
      </c>
      <c r="I3" s="6" t="s">
        <v>3225</v>
      </c>
      <c r="J3" s="6" t="s">
        <v>180</v>
      </c>
    </row>
    <row r="4" spans="1:10" x14ac:dyDescent="0.25">
      <c r="A4" s="6" t="s">
        <v>185</v>
      </c>
      <c r="B4" s="6" t="s">
        <v>185</v>
      </c>
      <c r="C4" s="6">
        <v>3</v>
      </c>
      <c r="D4" s="6" t="s">
        <v>3225</v>
      </c>
      <c r="E4" s="19" t="s">
        <v>3228</v>
      </c>
      <c r="F4" s="44">
        <v>1.7529000000000001E-4</v>
      </c>
      <c r="G4" s="6" t="s">
        <v>182</v>
      </c>
      <c r="H4" s="6" t="s">
        <v>4995</v>
      </c>
      <c r="I4" s="6" t="s">
        <v>3225</v>
      </c>
      <c r="J4" s="6" t="s">
        <v>187</v>
      </c>
    </row>
    <row r="5" spans="1:10" x14ac:dyDescent="0.25">
      <c r="A5" s="6" t="s">
        <v>188</v>
      </c>
      <c r="B5" s="6" t="s">
        <v>188</v>
      </c>
      <c r="C5" s="6">
        <v>3</v>
      </c>
      <c r="D5" s="6" t="s">
        <v>3225</v>
      </c>
      <c r="E5" s="19" t="s">
        <v>3229</v>
      </c>
      <c r="F5" s="44">
        <v>1.7529000000000001E-4</v>
      </c>
      <c r="G5" s="6" t="s">
        <v>177</v>
      </c>
      <c r="H5" s="6" t="s">
        <v>4995</v>
      </c>
      <c r="I5" s="6" t="s">
        <v>3225</v>
      </c>
      <c r="J5" s="6" t="s">
        <v>188</v>
      </c>
    </row>
    <row r="6" spans="1:10" x14ac:dyDescent="0.25">
      <c r="A6" s="6" t="s">
        <v>190</v>
      </c>
      <c r="B6" s="6" t="s">
        <v>190</v>
      </c>
      <c r="C6" s="6">
        <v>3</v>
      </c>
      <c r="D6" s="6" t="s">
        <v>3225</v>
      </c>
      <c r="E6" s="19" t="s">
        <v>3230</v>
      </c>
      <c r="F6" s="44">
        <v>1.7529000000000001E-4</v>
      </c>
      <c r="G6" s="6" t="s">
        <v>177</v>
      </c>
      <c r="H6" s="6" t="s">
        <v>4995</v>
      </c>
      <c r="I6" s="6" t="s">
        <v>3225</v>
      </c>
      <c r="J6" s="6" t="s">
        <v>190</v>
      </c>
    </row>
    <row r="7" spans="1:10" x14ac:dyDescent="0.25">
      <c r="A7" s="6" t="s">
        <v>192</v>
      </c>
      <c r="B7" s="6" t="s">
        <v>192</v>
      </c>
      <c r="C7" s="6">
        <v>3</v>
      </c>
      <c r="D7" s="6" t="s">
        <v>3225</v>
      </c>
      <c r="E7" s="19" t="s">
        <v>3231</v>
      </c>
      <c r="F7" s="44">
        <v>1.7529000000000001E-4</v>
      </c>
      <c r="G7" s="6" t="s">
        <v>177</v>
      </c>
      <c r="H7" s="6" t="s">
        <v>4995</v>
      </c>
      <c r="I7" s="6" t="s">
        <v>3225</v>
      </c>
      <c r="J7" s="6" t="s">
        <v>192</v>
      </c>
    </row>
    <row r="8" spans="1:10" x14ac:dyDescent="0.25">
      <c r="A8" s="6" t="s">
        <v>195</v>
      </c>
      <c r="B8" s="6" t="s">
        <v>195</v>
      </c>
      <c r="C8" s="6">
        <v>3</v>
      </c>
      <c r="D8" s="6" t="s">
        <v>3225</v>
      </c>
      <c r="E8" s="19" t="s">
        <v>3232</v>
      </c>
      <c r="F8" s="44">
        <v>1.7529000000000001E-4</v>
      </c>
      <c r="G8" s="6" t="s">
        <v>182</v>
      </c>
      <c r="H8" s="6" t="s">
        <v>4995</v>
      </c>
      <c r="I8" s="6" t="s">
        <v>3225</v>
      </c>
      <c r="J8" s="6" t="s">
        <v>195</v>
      </c>
    </row>
    <row r="9" spans="1:10" x14ac:dyDescent="0.25">
      <c r="A9" s="6" t="s">
        <v>2915</v>
      </c>
      <c r="B9" s="6" t="s">
        <v>2915</v>
      </c>
      <c r="C9" s="6">
        <v>3</v>
      </c>
      <c r="D9" s="6" t="s">
        <v>3225</v>
      </c>
      <c r="E9" s="19" t="s">
        <v>3233</v>
      </c>
      <c r="F9" s="44">
        <v>1.7529000000000001E-4</v>
      </c>
      <c r="G9" s="6" t="s">
        <v>177</v>
      </c>
      <c r="H9" s="6" t="s">
        <v>4995</v>
      </c>
      <c r="I9" s="6" t="s">
        <v>3225</v>
      </c>
      <c r="J9" s="6" t="s">
        <v>2915</v>
      </c>
    </row>
    <row r="10" spans="1:10" x14ac:dyDescent="0.25">
      <c r="A10" s="6" t="s">
        <v>197</v>
      </c>
      <c r="B10" s="6" t="s">
        <v>197</v>
      </c>
      <c r="C10" s="6">
        <v>3</v>
      </c>
      <c r="D10" s="6" t="s">
        <v>3225</v>
      </c>
      <c r="E10" s="19" t="s">
        <v>3234</v>
      </c>
      <c r="F10" s="44">
        <v>1.7529000000000001E-4</v>
      </c>
      <c r="G10" s="6" t="s">
        <v>177</v>
      </c>
      <c r="H10" s="6" t="s">
        <v>4995</v>
      </c>
      <c r="I10" s="6" t="s">
        <v>3225</v>
      </c>
      <c r="J10" s="6" t="s">
        <v>197</v>
      </c>
    </row>
    <row r="11" spans="1:10" x14ac:dyDescent="0.25">
      <c r="A11" s="6" t="s">
        <v>199</v>
      </c>
      <c r="B11" s="6" t="s">
        <v>199</v>
      </c>
      <c r="C11" s="6">
        <v>3</v>
      </c>
      <c r="D11" s="6" t="s">
        <v>3225</v>
      </c>
      <c r="E11" s="19" t="s">
        <v>3235</v>
      </c>
      <c r="F11" s="44">
        <v>1.7529000000000001E-4</v>
      </c>
      <c r="G11" s="6" t="s">
        <v>182</v>
      </c>
      <c r="H11" s="6" t="s">
        <v>4995</v>
      </c>
      <c r="I11" s="6" t="s">
        <v>3225</v>
      </c>
      <c r="J11" s="6" t="s">
        <v>199</v>
      </c>
    </row>
    <row r="12" spans="1:10" x14ac:dyDescent="0.25">
      <c r="A12" s="6" t="s">
        <v>201</v>
      </c>
      <c r="B12" s="6" t="s">
        <v>201</v>
      </c>
      <c r="C12" s="6">
        <v>3</v>
      </c>
      <c r="D12" s="6" t="s">
        <v>3225</v>
      </c>
      <c r="E12" s="19" t="s">
        <v>3236</v>
      </c>
      <c r="F12" s="44">
        <v>1.7529000000000001E-4</v>
      </c>
      <c r="G12" s="6" t="s">
        <v>177</v>
      </c>
      <c r="H12" s="6" t="s">
        <v>4995</v>
      </c>
      <c r="I12" s="6" t="s">
        <v>3225</v>
      </c>
      <c r="J12" s="6" t="s">
        <v>201</v>
      </c>
    </row>
    <row r="13" spans="1:10" x14ac:dyDescent="0.25">
      <c r="A13" s="6" t="s">
        <v>203</v>
      </c>
      <c r="B13" s="6" t="s">
        <v>203</v>
      </c>
      <c r="C13" s="6">
        <v>3</v>
      </c>
      <c r="D13" s="6" t="s">
        <v>3225</v>
      </c>
      <c r="E13" s="19" t="s">
        <v>3237</v>
      </c>
      <c r="F13" s="44">
        <v>1.7529000000000001E-4</v>
      </c>
      <c r="G13" s="6" t="s">
        <v>177</v>
      </c>
      <c r="H13" s="6" t="s">
        <v>4995</v>
      </c>
      <c r="I13" s="6" t="s">
        <v>3225</v>
      </c>
      <c r="J13" s="6" t="s">
        <v>203</v>
      </c>
    </row>
    <row r="14" spans="1:10" x14ac:dyDescent="0.25">
      <c r="A14" s="6" t="s">
        <v>209</v>
      </c>
      <c r="B14" s="6" t="s">
        <v>206</v>
      </c>
      <c r="C14" s="6">
        <v>3</v>
      </c>
      <c r="D14" s="6" t="s">
        <v>3225</v>
      </c>
      <c r="E14" s="19" t="s">
        <v>3238</v>
      </c>
      <c r="F14" s="44">
        <v>1.7529000000000001E-4</v>
      </c>
      <c r="G14" s="6" t="s">
        <v>177</v>
      </c>
      <c r="H14" s="6" t="s">
        <v>4995</v>
      </c>
      <c r="I14" s="6" t="s">
        <v>3225</v>
      </c>
      <c r="J14" s="6" t="s">
        <v>209</v>
      </c>
    </row>
    <row r="15" spans="1:10" x14ac:dyDescent="0.25">
      <c r="A15" s="6" t="s">
        <v>210</v>
      </c>
      <c r="B15" s="6" t="s">
        <v>210</v>
      </c>
      <c r="C15" s="6">
        <v>3</v>
      </c>
      <c r="D15" s="6" t="s">
        <v>3225</v>
      </c>
      <c r="E15" s="19" t="s">
        <v>3239</v>
      </c>
      <c r="F15" s="44">
        <v>1.7529000000000001E-4</v>
      </c>
      <c r="G15" s="6" t="s">
        <v>177</v>
      </c>
      <c r="H15" s="6" t="s">
        <v>4995</v>
      </c>
      <c r="I15" s="6" t="s">
        <v>3225</v>
      </c>
      <c r="J15" s="6" t="s">
        <v>210</v>
      </c>
    </row>
    <row r="16" spans="1:10" x14ac:dyDescent="0.25">
      <c r="A16" s="6" t="s">
        <v>212</v>
      </c>
      <c r="B16" s="6" t="s">
        <v>212</v>
      </c>
      <c r="C16" s="6">
        <v>3</v>
      </c>
      <c r="D16" s="6" t="s">
        <v>3225</v>
      </c>
      <c r="E16" s="19" t="s">
        <v>3240</v>
      </c>
      <c r="F16" s="44">
        <v>1.7529000000000001E-4</v>
      </c>
      <c r="G16" s="6" t="s">
        <v>177</v>
      </c>
      <c r="H16" s="6" t="s">
        <v>4995</v>
      </c>
      <c r="I16" s="6" t="s">
        <v>3225</v>
      </c>
      <c r="J16" s="6" t="s">
        <v>212</v>
      </c>
    </row>
    <row r="17" spans="1:10" x14ac:dyDescent="0.25">
      <c r="A17" s="6" t="s">
        <v>216</v>
      </c>
      <c r="B17" s="6" t="s">
        <v>216</v>
      </c>
      <c r="C17" s="6">
        <v>3</v>
      </c>
      <c r="D17" s="6" t="s">
        <v>3225</v>
      </c>
      <c r="E17" s="19" t="s">
        <v>3241</v>
      </c>
      <c r="F17" s="44">
        <v>1.7529000000000001E-4</v>
      </c>
      <c r="G17" s="6" t="s">
        <v>177</v>
      </c>
      <c r="H17" s="6" t="s">
        <v>4995</v>
      </c>
      <c r="I17" s="6" t="s">
        <v>3225</v>
      </c>
      <c r="J17" s="6" t="s">
        <v>216</v>
      </c>
    </row>
    <row r="18" spans="1:10" x14ac:dyDescent="0.25">
      <c r="A18" s="6" t="s">
        <v>218</v>
      </c>
      <c r="B18" s="6" t="s">
        <v>218</v>
      </c>
      <c r="C18" s="6">
        <v>3</v>
      </c>
      <c r="D18" s="6" t="s">
        <v>3225</v>
      </c>
      <c r="E18" s="19" t="s">
        <v>3242</v>
      </c>
      <c r="F18" s="44">
        <v>1.7529000000000001E-4</v>
      </c>
      <c r="G18" s="6" t="s">
        <v>177</v>
      </c>
      <c r="H18" s="6" t="s">
        <v>4995</v>
      </c>
      <c r="I18" s="6" t="s">
        <v>3225</v>
      </c>
      <c r="J18" s="6" t="s">
        <v>218</v>
      </c>
    </row>
    <row r="19" spans="1:10" x14ac:dyDescent="0.25">
      <c r="A19" s="6" t="s">
        <v>220</v>
      </c>
      <c r="B19" s="6" t="s">
        <v>220</v>
      </c>
      <c r="C19" s="6">
        <v>3</v>
      </c>
      <c r="D19" s="6" t="s">
        <v>3225</v>
      </c>
      <c r="E19" s="19" t="s">
        <v>3243</v>
      </c>
      <c r="F19" s="44">
        <v>1.7529000000000001E-4</v>
      </c>
      <c r="G19" s="6" t="s">
        <v>177</v>
      </c>
      <c r="H19" s="6" t="s">
        <v>4995</v>
      </c>
      <c r="I19" s="6" t="s">
        <v>3225</v>
      </c>
      <c r="J19" s="6" t="s">
        <v>220</v>
      </c>
    </row>
    <row r="20" spans="1:10" x14ac:dyDescent="0.25">
      <c r="A20" s="6" t="s">
        <v>227</v>
      </c>
      <c r="B20" s="6" t="s">
        <v>227</v>
      </c>
      <c r="C20" s="6">
        <v>3</v>
      </c>
      <c r="D20" s="6" t="s">
        <v>3225</v>
      </c>
      <c r="E20" s="19" t="s">
        <v>3244</v>
      </c>
      <c r="F20" s="44">
        <v>1.7529000000000001E-4</v>
      </c>
      <c r="G20" s="6" t="s">
        <v>177</v>
      </c>
      <c r="H20" s="6" t="s">
        <v>4995</v>
      </c>
      <c r="I20" s="6" t="s">
        <v>3225</v>
      </c>
      <c r="J20" s="6" t="s">
        <v>227</v>
      </c>
    </row>
    <row r="21" spans="1:10" x14ac:dyDescent="0.25">
      <c r="A21" s="6" t="s">
        <v>3245</v>
      </c>
      <c r="B21" s="6" t="s">
        <v>3245</v>
      </c>
      <c r="C21" s="6">
        <v>4</v>
      </c>
      <c r="D21" s="6" t="s">
        <v>3225</v>
      </c>
      <c r="E21" s="19" t="s">
        <v>3246</v>
      </c>
      <c r="F21" s="44">
        <f>0.2526/1000</f>
        <v>2.5260000000000001E-4</v>
      </c>
      <c r="G21" s="6" t="s">
        <v>177</v>
      </c>
      <c r="H21" s="6" t="s">
        <v>4998</v>
      </c>
      <c r="I21" s="6" t="s">
        <v>3225</v>
      </c>
      <c r="J21" s="6" t="s">
        <v>3245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D866-FAC8-4AAE-84D8-65DBDB3F29A3}">
  <dimension ref="A1:I2"/>
  <sheetViews>
    <sheetView workbookViewId="0">
      <selection activeCell="J24" sqref="J24"/>
    </sheetView>
  </sheetViews>
  <sheetFormatPr defaultRowHeight="15" x14ac:dyDescent="0.25"/>
  <cols>
    <col min="1" max="1" width="28.140625" bestFit="1" customWidth="1"/>
    <col min="2" max="2" width="27.85546875" bestFit="1" customWidth="1"/>
    <col min="3" max="3" width="6.140625" bestFit="1" customWidth="1"/>
    <col min="4" max="4" width="32.85546875" bestFit="1" customWidth="1"/>
    <col min="5" max="5" width="7.85546875" bestFit="1" customWidth="1"/>
    <col min="6" max="6" width="9.85546875" bestFit="1" customWidth="1"/>
    <col min="7" max="7" width="11" bestFit="1" customWidth="1"/>
    <col min="8" max="8" width="9.42578125" bestFit="1" customWidth="1"/>
    <col min="9" max="9" width="32.8554687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6" t="s">
        <v>1476</v>
      </c>
      <c r="B2" s="6" t="s">
        <v>1477</v>
      </c>
      <c r="C2" s="6">
        <v>3</v>
      </c>
      <c r="D2" s="6" t="s">
        <v>1478</v>
      </c>
      <c r="E2" s="6" t="s">
        <v>1479</v>
      </c>
      <c r="F2" s="6">
        <v>2.6332E-3</v>
      </c>
      <c r="G2" s="6" t="s">
        <v>1480</v>
      </c>
      <c r="H2" s="6"/>
      <c r="I2" s="6" t="s">
        <v>1478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F480-23C3-42D2-8373-EB8F80ACBE74}">
  <dimension ref="A1:I2"/>
  <sheetViews>
    <sheetView zoomScale="110" zoomScaleNormal="110" workbookViewId="0">
      <selection activeCell="Q32" sqref="Q32"/>
    </sheetView>
  </sheetViews>
  <sheetFormatPr defaultRowHeight="15" x14ac:dyDescent="0.25"/>
  <cols>
    <col min="1" max="1" width="28.28515625" bestFit="1" customWidth="1"/>
    <col min="2" max="2" width="12.85546875" bestFit="1" customWidth="1"/>
    <col min="3" max="3" width="5.85546875" bestFit="1" customWidth="1"/>
    <col min="4" max="4" width="20.7109375" bestFit="1" customWidth="1"/>
    <col min="5" max="5" width="7.85546875" bestFit="1" customWidth="1"/>
    <col min="6" max="6" width="8" bestFit="1" customWidth="1"/>
    <col min="7" max="7" width="15.7109375" bestFit="1" customWidth="1"/>
    <col min="8" max="8" width="17.140625" bestFit="1" customWidth="1"/>
    <col min="9" max="9" width="22.14062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3" t="s">
        <v>229</v>
      </c>
      <c r="B2" s="13" t="s">
        <v>230</v>
      </c>
      <c r="C2" s="10">
        <v>3</v>
      </c>
      <c r="D2" s="10" t="s">
        <v>231</v>
      </c>
      <c r="E2" s="10" t="s">
        <v>232</v>
      </c>
      <c r="F2" s="14">
        <v>8.81E-5</v>
      </c>
      <c r="G2" s="13" t="s">
        <v>233</v>
      </c>
      <c r="H2" s="13" t="s">
        <v>234</v>
      </c>
      <c r="I2" s="10" t="s">
        <v>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0409-BCDC-41F7-9778-EF83133F32C2}">
  <dimension ref="A1:I98"/>
  <sheetViews>
    <sheetView topLeftCell="A63" zoomScaleNormal="100" workbookViewId="0">
      <selection activeCell="C102" sqref="C102"/>
    </sheetView>
  </sheetViews>
  <sheetFormatPr defaultRowHeight="15" x14ac:dyDescent="0.25"/>
  <cols>
    <col min="1" max="1" width="74" style="29" customWidth="1"/>
    <col min="2" max="2" width="42.85546875" style="29" customWidth="1"/>
    <col min="3" max="3" width="10.42578125" style="29" customWidth="1"/>
    <col min="4" max="4" width="25.5703125" style="29" bestFit="1" customWidth="1"/>
    <col min="5" max="5" width="9.28515625" customWidth="1"/>
    <col min="6" max="6" width="8.85546875" bestFit="1" customWidth="1"/>
    <col min="7" max="7" width="15.140625" bestFit="1" customWidth="1"/>
    <col min="8" max="8" width="74.7109375" customWidth="1"/>
    <col min="9" max="9" width="42" style="29" customWidth="1"/>
    <col min="13" max="13" width="28.5703125" customWidth="1"/>
    <col min="14" max="14" width="23.5703125" bestFit="1" customWidth="1"/>
    <col min="15" max="15" width="21.42578125" bestFit="1" customWidth="1"/>
    <col min="16" max="16" width="19.140625" bestFit="1" customWidth="1"/>
    <col min="17" max="17" width="30.85546875" bestFit="1" customWidth="1"/>
    <col min="18" max="18" width="25.85546875" bestFit="1" customWidth="1"/>
  </cols>
  <sheetData>
    <row r="1" spans="1:9" x14ac:dyDescent="0.25">
      <c r="A1" s="32" t="s">
        <v>0</v>
      </c>
      <c r="B1" s="32" t="s">
        <v>1</v>
      </c>
      <c r="C1" s="32" t="s">
        <v>2</v>
      </c>
      <c r="D1" s="3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2" t="s">
        <v>8</v>
      </c>
    </row>
    <row r="2" spans="1:9" x14ac:dyDescent="0.25">
      <c r="A2" s="37" t="s">
        <v>3473</v>
      </c>
      <c r="B2" s="37" t="s">
        <v>3473</v>
      </c>
      <c r="C2" s="37">
        <v>1</v>
      </c>
      <c r="D2" s="37" t="s">
        <v>1345</v>
      </c>
      <c r="E2" s="6" t="s">
        <v>4739</v>
      </c>
      <c r="F2" s="36">
        <v>2.6619999999999999</v>
      </c>
      <c r="G2" s="36" t="s">
        <v>3472</v>
      </c>
      <c r="H2" s="36" t="s">
        <v>3491</v>
      </c>
      <c r="I2" s="37" t="s">
        <v>3492</v>
      </c>
    </row>
    <row r="3" spans="1:9" x14ac:dyDescent="0.25">
      <c r="A3" s="37" t="s">
        <v>3475</v>
      </c>
      <c r="B3" s="37" t="s">
        <v>3475</v>
      </c>
      <c r="C3" s="37">
        <v>1</v>
      </c>
      <c r="D3" s="37" t="s">
        <v>1345</v>
      </c>
      <c r="E3" s="6" t="s">
        <v>4991</v>
      </c>
      <c r="F3" s="36">
        <v>1.016</v>
      </c>
      <c r="G3" s="36" t="s">
        <v>3474</v>
      </c>
      <c r="H3" s="36" t="s">
        <v>3493</v>
      </c>
      <c r="I3" s="37" t="s">
        <v>3492</v>
      </c>
    </row>
    <row r="4" spans="1:9" x14ac:dyDescent="0.25">
      <c r="A4" s="37" t="s">
        <v>3476</v>
      </c>
      <c r="B4" s="37" t="s">
        <v>3476</v>
      </c>
      <c r="C4" s="37">
        <v>1</v>
      </c>
      <c r="D4" s="37" t="s">
        <v>1345</v>
      </c>
      <c r="E4" s="6" t="s">
        <v>4740</v>
      </c>
      <c r="F4" s="36">
        <v>0.45</v>
      </c>
      <c r="G4" s="36" t="s">
        <v>3472</v>
      </c>
      <c r="H4" s="36" t="s">
        <v>3494</v>
      </c>
      <c r="I4" s="37" t="s">
        <v>3492</v>
      </c>
    </row>
    <row r="5" spans="1:9" x14ac:dyDescent="0.25">
      <c r="A5" s="37" t="s">
        <v>3192</v>
      </c>
      <c r="B5" s="37" t="s">
        <v>3192</v>
      </c>
      <c r="C5" s="37">
        <v>3.4</v>
      </c>
      <c r="D5" s="37" t="s">
        <v>3498</v>
      </c>
      <c r="E5" s="6" t="s">
        <v>5599</v>
      </c>
      <c r="F5" s="36">
        <v>7.4999999999999997E-2</v>
      </c>
      <c r="G5" s="36" t="s">
        <v>3193</v>
      </c>
      <c r="H5" s="36" t="s">
        <v>3495</v>
      </c>
      <c r="I5" s="37" t="s">
        <v>3626</v>
      </c>
    </row>
    <row r="6" spans="1:9" x14ac:dyDescent="0.25">
      <c r="A6" s="37" t="s">
        <v>3480</v>
      </c>
      <c r="B6" s="37" t="s">
        <v>3480</v>
      </c>
      <c r="C6" s="37">
        <v>1</v>
      </c>
      <c r="D6" s="37" t="s">
        <v>1345</v>
      </c>
      <c r="E6" s="6" t="s">
        <v>4741</v>
      </c>
      <c r="F6" s="36">
        <v>2.8</v>
      </c>
      <c r="G6" s="36" t="s">
        <v>3479</v>
      </c>
      <c r="H6" s="36" t="s">
        <v>3496</v>
      </c>
      <c r="I6" s="37" t="s">
        <v>3492</v>
      </c>
    </row>
    <row r="7" spans="1:9" x14ac:dyDescent="0.25">
      <c r="A7" s="37" t="s">
        <v>3189</v>
      </c>
      <c r="B7" s="37" t="s">
        <v>3189</v>
      </c>
      <c r="C7" s="37">
        <v>3.4</v>
      </c>
      <c r="D7" s="37" t="s">
        <v>3499</v>
      </c>
      <c r="E7" s="6" t="s">
        <v>4786</v>
      </c>
      <c r="F7" s="36">
        <v>0.91700000000000004</v>
      </c>
      <c r="G7" s="36" t="s">
        <v>3481</v>
      </c>
      <c r="H7" s="6" t="s">
        <v>3493</v>
      </c>
      <c r="I7" s="37" t="s">
        <v>3626</v>
      </c>
    </row>
    <row r="8" spans="1:9" x14ac:dyDescent="0.25">
      <c r="A8" s="37" t="s">
        <v>3484</v>
      </c>
      <c r="B8" s="37" t="s">
        <v>3484</v>
      </c>
      <c r="C8" s="37">
        <v>1</v>
      </c>
      <c r="D8" s="37" t="s">
        <v>1345</v>
      </c>
      <c r="E8" s="6" t="s">
        <v>4743</v>
      </c>
      <c r="F8" s="36">
        <v>0.111</v>
      </c>
      <c r="G8" s="36" t="s">
        <v>3479</v>
      </c>
      <c r="H8" s="36" t="s">
        <v>3497</v>
      </c>
      <c r="I8" s="37" t="s">
        <v>3492</v>
      </c>
    </row>
    <row r="9" spans="1:9" x14ac:dyDescent="0.25">
      <c r="A9" s="37" t="s">
        <v>3487</v>
      </c>
      <c r="B9" s="37" t="s">
        <v>3487</v>
      </c>
      <c r="C9" s="37">
        <v>1</v>
      </c>
      <c r="D9" s="37" t="s">
        <v>1345</v>
      </c>
      <c r="E9" s="6" t="s">
        <v>4992</v>
      </c>
      <c r="F9" s="36">
        <v>1.544</v>
      </c>
      <c r="G9" s="36" t="s">
        <v>3479</v>
      </c>
      <c r="H9" s="36" t="s">
        <v>3497</v>
      </c>
      <c r="I9" s="37" t="s">
        <v>3492</v>
      </c>
    </row>
    <row r="10" spans="1:9" x14ac:dyDescent="0.25">
      <c r="A10" s="37" t="s">
        <v>3486</v>
      </c>
      <c r="B10" s="37" t="s">
        <v>3486</v>
      </c>
      <c r="C10" s="37">
        <v>1</v>
      </c>
      <c r="D10" s="37" t="s">
        <v>3500</v>
      </c>
      <c r="E10" s="6" t="s">
        <v>4993</v>
      </c>
      <c r="F10" s="36">
        <v>2.0249999999999999</v>
      </c>
      <c r="G10" s="36" t="s">
        <v>3485</v>
      </c>
      <c r="H10" s="36" t="s">
        <v>3497</v>
      </c>
      <c r="I10" s="37" t="s">
        <v>3501</v>
      </c>
    </row>
    <row r="11" spans="1:9" x14ac:dyDescent="0.25">
      <c r="A11" s="37" t="s">
        <v>3490</v>
      </c>
      <c r="B11" s="37" t="s">
        <v>3490</v>
      </c>
      <c r="C11" s="37">
        <v>3.1</v>
      </c>
      <c r="D11" s="37" t="s">
        <v>3002</v>
      </c>
      <c r="E11" s="6" t="s">
        <v>4773</v>
      </c>
      <c r="F11" s="36">
        <v>0.41299999999999998</v>
      </c>
      <c r="G11" s="36" t="s">
        <v>3489</v>
      </c>
      <c r="H11" s="36" t="s">
        <v>3497</v>
      </c>
      <c r="I11" s="37" t="s">
        <v>3627</v>
      </c>
    </row>
    <row r="12" spans="1:9" x14ac:dyDescent="0.25">
      <c r="A12" s="5" t="s">
        <v>3503</v>
      </c>
      <c r="B12" s="5" t="s">
        <v>3503</v>
      </c>
      <c r="C12" s="37">
        <v>2</v>
      </c>
      <c r="D12" s="37" t="s">
        <v>3504</v>
      </c>
      <c r="E12" s="6" t="s">
        <v>4774</v>
      </c>
      <c r="F12" s="6">
        <v>2.7460000000000002E-3</v>
      </c>
      <c r="G12" s="6" t="s">
        <v>3502</v>
      </c>
      <c r="H12" s="6" t="s">
        <v>3512</v>
      </c>
      <c r="I12" s="5" t="s">
        <v>3610</v>
      </c>
    </row>
    <row r="13" spans="1:9" x14ac:dyDescent="0.25">
      <c r="A13" s="5" t="s">
        <v>3505</v>
      </c>
      <c r="B13" s="5" t="s">
        <v>3505</v>
      </c>
      <c r="C13" s="37">
        <v>2</v>
      </c>
      <c r="D13" s="37" t="s">
        <v>3504</v>
      </c>
      <c r="E13" s="6" t="s">
        <v>4746</v>
      </c>
      <c r="F13" s="6">
        <v>1.4650000000000001</v>
      </c>
      <c r="G13" s="6" t="s">
        <v>3474</v>
      </c>
      <c r="H13" s="6" t="s">
        <v>3513</v>
      </c>
      <c r="I13" s="5" t="s">
        <v>3610</v>
      </c>
    </row>
    <row r="14" spans="1:9" x14ac:dyDescent="0.25">
      <c r="A14" s="5" t="s">
        <v>3506</v>
      </c>
      <c r="B14" s="5" t="s">
        <v>3506</v>
      </c>
      <c r="C14" s="37">
        <v>2</v>
      </c>
      <c r="D14" s="37" t="s">
        <v>3516</v>
      </c>
      <c r="E14" s="6" t="s">
        <v>4747</v>
      </c>
      <c r="F14" s="6">
        <v>6.2100000000000002E-2</v>
      </c>
      <c r="G14" s="6" t="s">
        <v>3193</v>
      </c>
      <c r="H14" s="6" t="s">
        <v>3514</v>
      </c>
      <c r="I14" s="5" t="s">
        <v>3610</v>
      </c>
    </row>
    <row r="15" spans="1:9" x14ac:dyDescent="0.25">
      <c r="A15" s="5" t="s">
        <v>3508</v>
      </c>
      <c r="B15" s="5" t="s">
        <v>3508</v>
      </c>
      <c r="C15" s="37">
        <v>2</v>
      </c>
      <c r="D15" s="37" t="s">
        <v>3504</v>
      </c>
      <c r="E15" s="6" t="s">
        <v>4748</v>
      </c>
      <c r="F15" s="6">
        <v>2.7460000000000002E-3</v>
      </c>
      <c r="G15" s="6" t="s">
        <v>3507</v>
      </c>
      <c r="H15" s="6" t="s">
        <v>3515</v>
      </c>
      <c r="I15" s="5" t="s">
        <v>3610</v>
      </c>
    </row>
    <row r="16" spans="1:9" x14ac:dyDescent="0.25">
      <c r="A16" s="5" t="s">
        <v>3509</v>
      </c>
      <c r="B16" s="5" t="s">
        <v>3509</v>
      </c>
      <c r="C16" s="37">
        <v>2</v>
      </c>
      <c r="D16" s="37" t="s">
        <v>3517</v>
      </c>
      <c r="E16" s="6" t="s">
        <v>4749</v>
      </c>
      <c r="F16" s="6">
        <v>3.3410000000000002E-2</v>
      </c>
      <c r="G16" s="6" t="s">
        <v>3507</v>
      </c>
      <c r="H16" s="36" t="s">
        <v>3497</v>
      </c>
      <c r="I16" s="5" t="s">
        <v>3611</v>
      </c>
    </row>
    <row r="17" spans="1:9" x14ac:dyDescent="0.25">
      <c r="A17" s="5" t="s">
        <v>3510</v>
      </c>
      <c r="B17" s="5" t="s">
        <v>3510</v>
      </c>
      <c r="C17" s="37">
        <v>2</v>
      </c>
      <c r="D17" s="37" t="s">
        <v>3504</v>
      </c>
      <c r="E17" s="6" t="s">
        <v>4750</v>
      </c>
      <c r="F17" s="6">
        <v>4.5499999999999999E-2</v>
      </c>
      <c r="G17" s="6" t="s">
        <v>3481</v>
      </c>
      <c r="H17" s="36" t="s">
        <v>3497</v>
      </c>
      <c r="I17" s="5" t="s">
        <v>3610</v>
      </c>
    </row>
    <row r="18" spans="1:9" ht="30" x14ac:dyDescent="0.25">
      <c r="A18" s="5" t="s">
        <v>3511</v>
      </c>
      <c r="B18" s="5" t="s">
        <v>3511</v>
      </c>
      <c r="C18" s="37">
        <v>3.1</v>
      </c>
      <c r="D18" s="37" t="s">
        <v>3518</v>
      </c>
      <c r="E18" s="6" t="s">
        <v>4775</v>
      </c>
      <c r="F18" s="6">
        <v>5.28E-2</v>
      </c>
      <c r="G18" s="6" t="s">
        <v>3481</v>
      </c>
      <c r="H18" s="36" t="s">
        <v>3497</v>
      </c>
      <c r="I18" s="37" t="s">
        <v>3627</v>
      </c>
    </row>
    <row r="19" spans="1:9" ht="30" x14ac:dyDescent="0.25">
      <c r="A19" s="5" t="s">
        <v>3521</v>
      </c>
      <c r="B19" s="6" t="s">
        <v>3522</v>
      </c>
      <c r="C19" s="37">
        <v>3.1</v>
      </c>
      <c r="D19" s="5" t="s">
        <v>3522</v>
      </c>
      <c r="E19" s="6" t="s">
        <v>4776</v>
      </c>
      <c r="F19" s="6">
        <v>0.31609999999999999</v>
      </c>
      <c r="G19" s="6" t="s">
        <v>3519</v>
      </c>
      <c r="H19" s="6" t="s">
        <v>3512</v>
      </c>
      <c r="I19" s="37" t="s">
        <v>3616</v>
      </c>
    </row>
    <row r="20" spans="1:9" ht="30" x14ac:dyDescent="0.25">
      <c r="A20" s="5" t="s">
        <v>3524</v>
      </c>
      <c r="B20" s="6" t="s">
        <v>3526</v>
      </c>
      <c r="C20" s="37">
        <v>3.1</v>
      </c>
      <c r="D20" s="5" t="s">
        <v>3526</v>
      </c>
      <c r="E20" s="6" t="s">
        <v>4777</v>
      </c>
      <c r="F20" s="5">
        <v>0.26379999999999998</v>
      </c>
      <c r="G20" s="6" t="s">
        <v>3519</v>
      </c>
      <c r="H20" s="6" t="s">
        <v>3512</v>
      </c>
      <c r="I20" s="37" t="s">
        <v>3616</v>
      </c>
    </row>
    <row r="21" spans="1:9" ht="30" x14ac:dyDescent="0.25">
      <c r="A21" s="5" t="s">
        <v>3189</v>
      </c>
      <c r="B21" s="6" t="s">
        <v>3527</v>
      </c>
      <c r="C21" s="37">
        <v>3.4</v>
      </c>
      <c r="D21" s="5" t="s">
        <v>3527</v>
      </c>
      <c r="E21" s="6" t="s">
        <v>4786</v>
      </c>
      <c r="F21" s="5">
        <v>0.91700000000000004</v>
      </c>
      <c r="G21" s="6" t="s">
        <v>3474</v>
      </c>
      <c r="H21" s="6" t="s">
        <v>3513</v>
      </c>
      <c r="I21" s="37" t="s">
        <v>3615</v>
      </c>
    </row>
    <row r="22" spans="1:9" x14ac:dyDescent="0.25">
      <c r="A22" s="5" t="s">
        <v>3528</v>
      </c>
      <c r="B22" s="6" t="s">
        <v>3530</v>
      </c>
      <c r="C22" s="37">
        <v>3.1</v>
      </c>
      <c r="D22" s="5" t="s">
        <v>3530</v>
      </c>
      <c r="E22" s="6" t="s">
        <v>4778</v>
      </c>
      <c r="F22" s="5">
        <v>0.08</v>
      </c>
      <c r="G22" s="6" t="s">
        <v>3196</v>
      </c>
      <c r="H22" s="6" t="s">
        <v>3605</v>
      </c>
      <c r="I22" s="37" t="s">
        <v>3616</v>
      </c>
    </row>
    <row r="23" spans="1:9" x14ac:dyDescent="0.25">
      <c r="A23" s="5" t="s">
        <v>3531</v>
      </c>
      <c r="B23" s="6" t="s">
        <v>3533</v>
      </c>
      <c r="C23" s="37">
        <v>3.1</v>
      </c>
      <c r="D23" s="5" t="s">
        <v>3533</v>
      </c>
      <c r="E23" s="6" t="s">
        <v>4752</v>
      </c>
      <c r="F23" s="5">
        <v>0.22620000000000001</v>
      </c>
      <c r="G23" s="6" t="s">
        <v>3474</v>
      </c>
      <c r="H23" s="6" t="s">
        <v>3613</v>
      </c>
      <c r="I23" s="37" t="s">
        <v>3616</v>
      </c>
    </row>
    <row r="24" spans="1:9" x14ac:dyDescent="0.25">
      <c r="A24" s="5" t="s">
        <v>3192</v>
      </c>
      <c r="B24" s="6" t="s">
        <v>3478</v>
      </c>
      <c r="C24" s="37">
        <v>3.4</v>
      </c>
      <c r="D24" s="5" t="s">
        <v>3478</v>
      </c>
      <c r="E24" s="6" t="s">
        <v>5599</v>
      </c>
      <c r="F24" s="5">
        <v>7.4999999999999997E-2</v>
      </c>
      <c r="G24" s="6" t="s">
        <v>3193</v>
      </c>
      <c r="H24" s="6" t="s">
        <v>3495</v>
      </c>
      <c r="I24" s="37" t="s">
        <v>3615</v>
      </c>
    </row>
    <row r="25" spans="1:9" x14ac:dyDescent="0.25">
      <c r="A25" s="5" t="s">
        <v>3534</v>
      </c>
      <c r="B25" s="5" t="s">
        <v>3606</v>
      </c>
      <c r="C25" s="37">
        <v>3.1</v>
      </c>
      <c r="D25" s="5" t="s">
        <v>3606</v>
      </c>
      <c r="E25" s="6" t="s">
        <v>4753</v>
      </c>
      <c r="F25" s="5">
        <v>0.40379999999999999</v>
      </c>
      <c r="G25" s="6" t="s">
        <v>3519</v>
      </c>
      <c r="H25" s="6" t="s">
        <v>3512</v>
      </c>
      <c r="I25" s="37" t="s">
        <v>3616</v>
      </c>
    </row>
    <row r="26" spans="1:9" x14ac:dyDescent="0.25">
      <c r="A26" s="5" t="s">
        <v>3535</v>
      </c>
      <c r="B26" s="6" t="s">
        <v>3537</v>
      </c>
      <c r="C26" s="37">
        <v>3.1</v>
      </c>
      <c r="D26" s="5" t="s">
        <v>3537</v>
      </c>
      <c r="E26" s="6" t="s">
        <v>4780</v>
      </c>
      <c r="F26" s="5">
        <v>0.41299999999999998</v>
      </c>
      <c r="G26" s="6" t="s">
        <v>3196</v>
      </c>
      <c r="H26" s="6" t="s">
        <v>3607</v>
      </c>
      <c r="I26" s="37" t="s">
        <v>3616</v>
      </c>
    </row>
    <row r="27" spans="1:9" x14ac:dyDescent="0.25">
      <c r="A27" s="5" t="s">
        <v>3542</v>
      </c>
      <c r="B27" s="6" t="s">
        <v>3543</v>
      </c>
      <c r="C27" s="37">
        <v>3.1</v>
      </c>
      <c r="D27" s="5" t="s">
        <v>3543</v>
      </c>
      <c r="E27" s="6" t="s">
        <v>4782</v>
      </c>
      <c r="F27" s="5">
        <v>0.14000000000000001</v>
      </c>
      <c r="G27" s="6" t="s">
        <v>3196</v>
      </c>
      <c r="H27" s="6" t="s">
        <v>3609</v>
      </c>
      <c r="I27" s="37" t="s">
        <v>3616</v>
      </c>
    </row>
    <row r="28" spans="1:9" ht="30" x14ac:dyDescent="0.25">
      <c r="A28" s="5" t="s">
        <v>1275</v>
      </c>
      <c r="B28" s="6" t="s">
        <v>3544</v>
      </c>
      <c r="C28" s="37">
        <v>3.1</v>
      </c>
      <c r="D28" s="5" t="s">
        <v>3544</v>
      </c>
      <c r="E28" s="6" t="s">
        <v>4783</v>
      </c>
      <c r="F28" s="5">
        <v>0.17399999999999999</v>
      </c>
      <c r="G28" s="6" t="s">
        <v>3474</v>
      </c>
      <c r="H28" s="6" t="s">
        <v>3513</v>
      </c>
      <c r="I28" s="37" t="s">
        <v>3616</v>
      </c>
    </row>
    <row r="29" spans="1:9" ht="30" x14ac:dyDescent="0.25">
      <c r="A29" s="5" t="s">
        <v>3545</v>
      </c>
      <c r="B29" s="6" t="s">
        <v>3526</v>
      </c>
      <c r="C29" s="37">
        <v>3.1</v>
      </c>
      <c r="D29" s="5" t="s">
        <v>3526</v>
      </c>
      <c r="E29" s="6" t="s">
        <v>4784</v>
      </c>
      <c r="F29" s="5">
        <v>0.17319999999999999</v>
      </c>
      <c r="G29" s="6" t="s">
        <v>3519</v>
      </c>
      <c r="H29" s="6" t="s">
        <v>3512</v>
      </c>
      <c r="I29" s="37" t="s">
        <v>3616</v>
      </c>
    </row>
    <row r="30" spans="1:9" ht="30" x14ac:dyDescent="0.25">
      <c r="A30" s="5" t="s">
        <v>3198</v>
      </c>
      <c r="B30" s="6" t="s">
        <v>3526</v>
      </c>
      <c r="C30" s="37">
        <v>3.1</v>
      </c>
      <c r="D30" s="5" t="s">
        <v>3526</v>
      </c>
      <c r="E30" s="6" t="s">
        <v>4785</v>
      </c>
      <c r="F30" s="5">
        <v>0.10299999999999999</v>
      </c>
      <c r="G30" s="6" t="s">
        <v>3196</v>
      </c>
      <c r="H30" s="6" t="s">
        <v>3605</v>
      </c>
      <c r="I30" s="37" t="s">
        <v>3616</v>
      </c>
    </row>
    <row r="31" spans="1:9" ht="30" x14ac:dyDescent="0.25">
      <c r="A31" s="5" t="s">
        <v>3189</v>
      </c>
      <c r="B31" s="6" t="s">
        <v>3527</v>
      </c>
      <c r="C31" s="37">
        <v>3.1</v>
      </c>
      <c r="D31" s="5" t="s">
        <v>3527</v>
      </c>
      <c r="E31" s="6" t="s">
        <v>4786</v>
      </c>
      <c r="F31" s="5">
        <v>0.91700000000000004</v>
      </c>
      <c r="G31" s="6" t="s">
        <v>3474</v>
      </c>
      <c r="H31" s="6" t="s">
        <v>3513</v>
      </c>
      <c r="I31" s="37" t="s">
        <v>3616</v>
      </c>
    </row>
    <row r="32" spans="1:9" x14ac:dyDescent="0.25">
      <c r="A32" s="5" t="s">
        <v>272</v>
      </c>
      <c r="B32" s="6" t="s">
        <v>3547</v>
      </c>
      <c r="C32" s="37">
        <v>3.1</v>
      </c>
      <c r="D32" s="5" t="s">
        <v>3547</v>
      </c>
      <c r="E32" s="6" t="s">
        <v>4754</v>
      </c>
      <c r="F32" s="5">
        <v>0.43419999999999997</v>
      </c>
      <c r="G32" s="6" t="s">
        <v>3474</v>
      </c>
      <c r="H32" s="6" t="s">
        <v>3513</v>
      </c>
      <c r="I32" s="37" t="s">
        <v>3616</v>
      </c>
    </row>
    <row r="33" spans="1:9" ht="30" x14ac:dyDescent="0.25">
      <c r="A33" s="5" t="s">
        <v>3548</v>
      </c>
      <c r="B33" s="6" t="s">
        <v>3549</v>
      </c>
      <c r="C33" s="37">
        <v>3.1</v>
      </c>
      <c r="D33" s="5" t="s">
        <v>3549</v>
      </c>
      <c r="E33" s="6" t="s">
        <v>4755</v>
      </c>
      <c r="F33" s="5">
        <v>0.123</v>
      </c>
      <c r="G33" s="6" t="s">
        <v>3519</v>
      </c>
      <c r="H33" s="6" t="s">
        <v>3608</v>
      </c>
      <c r="I33" s="37" t="s">
        <v>3616</v>
      </c>
    </row>
    <row r="34" spans="1:9" x14ac:dyDescent="0.25">
      <c r="A34" s="5" t="s">
        <v>3550</v>
      </c>
      <c r="B34" s="6" t="s">
        <v>3551</v>
      </c>
      <c r="C34" s="37">
        <v>3.1</v>
      </c>
      <c r="D34" s="5" t="s">
        <v>3551</v>
      </c>
      <c r="E34" s="6" t="s">
        <v>4787</v>
      </c>
      <c r="F34" s="5">
        <v>3.61E-2</v>
      </c>
      <c r="G34" s="6" t="s">
        <v>3474</v>
      </c>
      <c r="H34" s="6" t="s">
        <v>3513</v>
      </c>
      <c r="I34" s="37" t="s">
        <v>3616</v>
      </c>
    </row>
    <row r="35" spans="1:9" x14ac:dyDescent="0.25">
      <c r="A35" s="5" t="s">
        <v>3540</v>
      </c>
      <c r="B35" s="6" t="s">
        <v>3541</v>
      </c>
      <c r="C35" s="37">
        <v>3.1</v>
      </c>
      <c r="D35" s="5" t="s">
        <v>3541</v>
      </c>
      <c r="E35" s="6" t="s">
        <v>4773</v>
      </c>
      <c r="F35" s="5">
        <v>0.39600000000000002</v>
      </c>
      <c r="G35" s="6" t="s">
        <v>3519</v>
      </c>
      <c r="H35" s="6" t="s">
        <v>3608</v>
      </c>
      <c r="I35" s="37" t="s">
        <v>3616</v>
      </c>
    </row>
    <row r="36" spans="1:9" x14ac:dyDescent="0.25">
      <c r="A36" s="5" t="s">
        <v>3552</v>
      </c>
      <c r="B36" s="6" t="s">
        <v>3553</v>
      </c>
      <c r="C36" s="37">
        <v>3.1</v>
      </c>
      <c r="D36" s="5" t="s">
        <v>3553</v>
      </c>
      <c r="E36" s="6" t="s">
        <v>4756</v>
      </c>
      <c r="F36" s="5">
        <v>0.2898</v>
      </c>
      <c r="G36" s="6" t="s">
        <v>3474</v>
      </c>
      <c r="H36" s="6" t="s">
        <v>3513</v>
      </c>
      <c r="I36" s="37" t="s">
        <v>3616</v>
      </c>
    </row>
    <row r="37" spans="1:9" x14ac:dyDescent="0.25">
      <c r="A37" s="5" t="s">
        <v>281</v>
      </c>
      <c r="B37" s="6" t="s">
        <v>3554</v>
      </c>
      <c r="C37" s="37">
        <v>3.1</v>
      </c>
      <c r="D37" s="5" t="s">
        <v>3554</v>
      </c>
      <c r="E37" s="6" t="s">
        <v>4757</v>
      </c>
      <c r="F37" s="5">
        <v>0.4299</v>
      </c>
      <c r="G37" s="6" t="s">
        <v>3474</v>
      </c>
      <c r="H37" s="6" t="s">
        <v>3513</v>
      </c>
      <c r="I37" s="37" t="s">
        <v>3616</v>
      </c>
    </row>
    <row r="38" spans="1:9" x14ac:dyDescent="0.25">
      <c r="A38" s="5" t="s">
        <v>730</v>
      </c>
      <c r="B38" s="6" t="s">
        <v>3555</v>
      </c>
      <c r="C38" s="37">
        <v>3.1</v>
      </c>
      <c r="D38" s="5" t="s">
        <v>3555</v>
      </c>
      <c r="E38" s="6" t="s">
        <v>4789</v>
      </c>
      <c r="F38" s="5">
        <v>5.7799999999999997E-2</v>
      </c>
      <c r="G38" s="6" t="s">
        <v>3474</v>
      </c>
      <c r="H38" s="6" t="s">
        <v>3513</v>
      </c>
      <c r="I38" s="37" t="s">
        <v>3616</v>
      </c>
    </row>
    <row r="39" spans="1:9" ht="30" x14ac:dyDescent="0.25">
      <c r="A39" s="5" t="s">
        <v>3556</v>
      </c>
      <c r="B39" s="6" t="s">
        <v>3557</v>
      </c>
      <c r="C39" s="37">
        <v>3.1</v>
      </c>
      <c r="D39" s="5" t="s">
        <v>3557</v>
      </c>
      <c r="E39" s="6" t="s">
        <v>4790</v>
      </c>
      <c r="F39" s="5">
        <v>3.7999999999999999E-2</v>
      </c>
      <c r="G39" s="6" t="s">
        <v>3474</v>
      </c>
      <c r="H39" s="6" t="s">
        <v>3513</v>
      </c>
      <c r="I39" s="37" t="s">
        <v>3616</v>
      </c>
    </row>
    <row r="40" spans="1:9" x14ac:dyDescent="0.25">
      <c r="A40" s="5" t="s">
        <v>3558</v>
      </c>
      <c r="B40" s="6" t="s">
        <v>3530</v>
      </c>
      <c r="C40" s="37">
        <v>3.1</v>
      </c>
      <c r="D40" s="5" t="s">
        <v>3530</v>
      </c>
      <c r="E40" s="6" t="s">
        <v>4791</v>
      </c>
      <c r="F40" s="5">
        <v>0.1472</v>
      </c>
      <c r="G40" s="6" t="s">
        <v>3474</v>
      </c>
      <c r="H40" s="6" t="s">
        <v>3513</v>
      </c>
      <c r="I40" s="37" t="s">
        <v>3616</v>
      </c>
    </row>
    <row r="41" spans="1:9" ht="30" x14ac:dyDescent="0.25">
      <c r="A41" s="5" t="s">
        <v>3559</v>
      </c>
      <c r="B41" s="6" t="s">
        <v>3560</v>
      </c>
      <c r="C41" s="37">
        <v>3.1</v>
      </c>
      <c r="D41" s="5" t="s">
        <v>3560</v>
      </c>
      <c r="E41" s="49" t="s">
        <v>5615</v>
      </c>
      <c r="F41" s="5">
        <v>0.27</v>
      </c>
      <c r="G41" s="6" t="s">
        <v>3474</v>
      </c>
      <c r="H41" s="6" t="s">
        <v>3513</v>
      </c>
      <c r="I41" s="37" t="s">
        <v>3616</v>
      </c>
    </row>
    <row r="42" spans="1:9" x14ac:dyDescent="0.25">
      <c r="A42" s="5" t="s">
        <v>239</v>
      </c>
      <c r="B42" s="6" t="s">
        <v>3561</v>
      </c>
      <c r="C42" s="37">
        <v>3.1</v>
      </c>
      <c r="D42" s="5" t="s">
        <v>3561</v>
      </c>
      <c r="E42" s="6" t="s">
        <v>4759</v>
      </c>
      <c r="F42" s="5">
        <v>0.18340000000000001</v>
      </c>
      <c r="G42" s="6" t="s">
        <v>3474</v>
      </c>
      <c r="H42" s="6" t="s">
        <v>3513</v>
      </c>
      <c r="I42" s="37" t="s">
        <v>3616</v>
      </c>
    </row>
    <row r="43" spans="1:9" x14ac:dyDescent="0.25">
      <c r="A43" s="5" t="s">
        <v>3562</v>
      </c>
      <c r="B43" s="6" t="s">
        <v>3563</v>
      </c>
      <c r="C43" s="37">
        <v>3.1</v>
      </c>
      <c r="D43" s="5" t="s">
        <v>3563</v>
      </c>
      <c r="E43" s="6" t="s">
        <v>4792</v>
      </c>
      <c r="F43" s="5">
        <v>0.32400000000000001</v>
      </c>
      <c r="G43" s="6" t="s">
        <v>3519</v>
      </c>
      <c r="H43" s="6" t="s">
        <v>3612</v>
      </c>
      <c r="I43" s="37" t="s">
        <v>3616</v>
      </c>
    </row>
    <row r="44" spans="1:9" x14ac:dyDescent="0.25">
      <c r="A44" s="5" t="s">
        <v>3564</v>
      </c>
      <c r="B44" s="6" t="s">
        <v>3478</v>
      </c>
      <c r="C44" s="37">
        <v>3.4</v>
      </c>
      <c r="D44" s="5" t="s">
        <v>3478</v>
      </c>
      <c r="E44" s="6" t="s">
        <v>5603</v>
      </c>
      <c r="F44" s="5">
        <v>0.43419999999999997</v>
      </c>
      <c r="G44" s="6" t="s">
        <v>3474</v>
      </c>
      <c r="H44" s="6" t="s">
        <v>3513</v>
      </c>
      <c r="I44" s="37" t="s">
        <v>3615</v>
      </c>
    </row>
    <row r="45" spans="1:9" x14ac:dyDescent="0.25">
      <c r="A45" s="5" t="s">
        <v>3565</v>
      </c>
      <c r="B45" s="6" t="s">
        <v>3543</v>
      </c>
      <c r="C45" s="37">
        <v>3.1</v>
      </c>
      <c r="D45" s="5" t="s">
        <v>3543</v>
      </c>
      <c r="E45" s="6" t="s">
        <v>4793</v>
      </c>
      <c r="F45" s="5">
        <v>0.14000000000000001</v>
      </c>
      <c r="G45" s="6" t="s">
        <v>3196</v>
      </c>
      <c r="H45" s="6" t="s">
        <v>3609</v>
      </c>
      <c r="I45" s="37" t="s">
        <v>3616</v>
      </c>
    </row>
    <row r="46" spans="1:9" x14ac:dyDescent="0.25">
      <c r="A46" s="5" t="s">
        <v>3538</v>
      </c>
      <c r="B46" s="6" t="s">
        <v>3539</v>
      </c>
      <c r="C46" s="37">
        <v>3.1</v>
      </c>
      <c r="D46" s="5" t="s">
        <v>3539</v>
      </c>
      <c r="E46" s="6" t="s">
        <v>4794</v>
      </c>
      <c r="F46" s="5">
        <v>0.41299999999999998</v>
      </c>
      <c r="G46" s="6" t="s">
        <v>3196</v>
      </c>
      <c r="H46" s="6" t="s">
        <v>3607</v>
      </c>
      <c r="I46" s="37" t="s">
        <v>3616</v>
      </c>
    </row>
    <row r="47" spans="1:9" ht="30" x14ac:dyDescent="0.25">
      <c r="A47" s="5" t="s">
        <v>3198</v>
      </c>
      <c r="B47" s="6" t="s">
        <v>3546</v>
      </c>
      <c r="C47" s="37">
        <v>3.1</v>
      </c>
      <c r="D47" s="5" t="s">
        <v>3546</v>
      </c>
      <c r="E47" s="6" t="s">
        <v>4785</v>
      </c>
      <c r="F47" s="5">
        <v>0.10299999999999999</v>
      </c>
      <c r="G47" s="6" t="s">
        <v>3196</v>
      </c>
      <c r="H47" s="6" t="s">
        <v>3605</v>
      </c>
      <c r="I47" s="37" t="s">
        <v>3616</v>
      </c>
    </row>
    <row r="48" spans="1:9" x14ac:dyDescent="0.25">
      <c r="A48" s="5" t="s">
        <v>278</v>
      </c>
      <c r="B48" s="6" t="s">
        <v>3566</v>
      </c>
      <c r="C48" s="37">
        <v>3.1</v>
      </c>
      <c r="D48" s="6" t="s">
        <v>3566</v>
      </c>
      <c r="E48" s="6" t="s">
        <v>4760</v>
      </c>
      <c r="F48" s="5">
        <v>0.61680000000000001</v>
      </c>
      <c r="G48" s="6" t="s">
        <v>3519</v>
      </c>
      <c r="H48" s="6" t="s">
        <v>3512</v>
      </c>
      <c r="I48" s="37" t="s">
        <v>3616</v>
      </c>
    </row>
    <row r="49" spans="1:9" x14ac:dyDescent="0.25">
      <c r="A49" s="5" t="s">
        <v>3567</v>
      </c>
      <c r="B49" s="6" t="s">
        <v>3568</v>
      </c>
      <c r="C49" s="37">
        <v>3.1</v>
      </c>
      <c r="D49" s="6" t="s">
        <v>3568</v>
      </c>
      <c r="E49" s="6" t="s">
        <v>4761</v>
      </c>
      <c r="F49" s="5">
        <v>0.188</v>
      </c>
      <c r="G49" s="6" t="s">
        <v>3196</v>
      </c>
      <c r="H49" s="6" t="s">
        <v>3607</v>
      </c>
      <c r="I49" s="37" t="s">
        <v>3616</v>
      </c>
    </row>
    <row r="50" spans="1:9" x14ac:dyDescent="0.25">
      <c r="A50" s="5" t="s">
        <v>3569</v>
      </c>
      <c r="B50" s="6" t="s">
        <v>3570</v>
      </c>
      <c r="C50" s="37">
        <v>3.1</v>
      </c>
      <c r="D50" s="6" t="s">
        <v>3570</v>
      </c>
      <c r="E50" s="6" t="s">
        <v>4762</v>
      </c>
      <c r="F50" s="5">
        <v>0.69410000000000005</v>
      </c>
      <c r="G50" s="6" t="s">
        <v>3474</v>
      </c>
      <c r="H50" s="6" t="s">
        <v>3513</v>
      </c>
      <c r="I50" s="37" t="s">
        <v>3616</v>
      </c>
    </row>
    <row r="51" spans="1:9" x14ac:dyDescent="0.25">
      <c r="A51" s="5" t="s">
        <v>3571</v>
      </c>
      <c r="B51" s="6" t="s">
        <v>3572</v>
      </c>
      <c r="C51" s="37">
        <v>3.1</v>
      </c>
      <c r="D51" s="6" t="s">
        <v>3572</v>
      </c>
      <c r="E51" s="6" t="s">
        <v>4763</v>
      </c>
      <c r="F51" s="5">
        <v>0.27200000000000002</v>
      </c>
      <c r="G51" s="6" t="s">
        <v>3474</v>
      </c>
      <c r="H51" s="6" t="s">
        <v>3513</v>
      </c>
      <c r="I51" s="37" t="s">
        <v>3616</v>
      </c>
    </row>
    <row r="52" spans="1:9" x14ac:dyDescent="0.25">
      <c r="A52" s="5" t="s">
        <v>3573</v>
      </c>
      <c r="B52" s="6" t="s">
        <v>3575</v>
      </c>
      <c r="C52" s="37">
        <v>3.5</v>
      </c>
      <c r="D52" s="6" t="s">
        <v>3575</v>
      </c>
      <c r="E52" s="5" t="s">
        <v>5003</v>
      </c>
      <c r="F52" s="5">
        <v>0.48520000000000002</v>
      </c>
      <c r="G52" s="6" t="s">
        <v>3474</v>
      </c>
      <c r="H52" s="6" t="s">
        <v>3513</v>
      </c>
      <c r="I52" s="37" t="s">
        <v>3617</v>
      </c>
    </row>
    <row r="53" spans="1:9" x14ac:dyDescent="0.25">
      <c r="A53" s="5" t="s">
        <v>260</v>
      </c>
      <c r="B53" s="6" t="s">
        <v>3576</v>
      </c>
      <c r="C53" s="37">
        <v>3.1</v>
      </c>
      <c r="D53" s="6" t="s">
        <v>3576</v>
      </c>
      <c r="E53" s="6" t="s">
        <v>4764</v>
      </c>
      <c r="F53" s="5">
        <v>0.37990000000000002</v>
      </c>
      <c r="G53" s="6" t="s">
        <v>3474</v>
      </c>
      <c r="H53" s="6" t="s">
        <v>3513</v>
      </c>
      <c r="I53" s="37" t="s">
        <v>3616</v>
      </c>
    </row>
    <row r="54" spans="1:9" x14ac:dyDescent="0.25">
      <c r="A54" s="5" t="s">
        <v>3578</v>
      </c>
      <c r="B54" s="6" t="s">
        <v>3478</v>
      </c>
      <c r="C54" s="37">
        <v>3.4</v>
      </c>
      <c r="D54" s="6" t="s">
        <v>3477</v>
      </c>
      <c r="E54" s="6" t="s">
        <v>5605</v>
      </c>
      <c r="F54" s="5">
        <v>0.104</v>
      </c>
      <c r="G54" s="6" t="s">
        <v>3193</v>
      </c>
      <c r="H54" s="6" t="s">
        <v>3495</v>
      </c>
      <c r="I54" s="37" t="s">
        <v>3615</v>
      </c>
    </row>
    <row r="55" spans="1:9" ht="30" x14ac:dyDescent="0.25">
      <c r="A55" s="5" t="s">
        <v>3579</v>
      </c>
      <c r="B55" s="6" t="s">
        <v>3580</v>
      </c>
      <c r="C55" s="37">
        <v>3.1</v>
      </c>
      <c r="D55" s="6" t="s">
        <v>3529</v>
      </c>
      <c r="E55" s="6" t="s">
        <v>4795</v>
      </c>
      <c r="F55" s="5">
        <v>9.6799999999999997E-2</v>
      </c>
      <c r="G55" s="6" t="s">
        <v>3474</v>
      </c>
      <c r="H55" s="6" t="s">
        <v>3513</v>
      </c>
      <c r="I55" s="37" t="s">
        <v>3616</v>
      </c>
    </row>
    <row r="56" spans="1:9" x14ac:dyDescent="0.25">
      <c r="A56" s="5" t="s">
        <v>3582</v>
      </c>
      <c r="B56" s="6" t="s">
        <v>3536</v>
      </c>
      <c r="C56" s="37">
        <v>3.1</v>
      </c>
      <c r="D56" s="6" t="s">
        <v>3583</v>
      </c>
      <c r="E56" s="6" t="s">
        <v>4765</v>
      </c>
      <c r="F56" s="5">
        <v>0.18970000000000001</v>
      </c>
      <c r="G56" s="6" t="s">
        <v>3474</v>
      </c>
      <c r="H56" s="6" t="s">
        <v>3513</v>
      </c>
      <c r="I56" s="37" t="s">
        <v>3616</v>
      </c>
    </row>
    <row r="57" spans="1:9" ht="30" x14ac:dyDescent="0.25">
      <c r="A57" s="5" t="s">
        <v>3584</v>
      </c>
      <c r="B57" s="6" t="s">
        <v>3525</v>
      </c>
      <c r="C57" s="37">
        <v>3.1</v>
      </c>
      <c r="D57" s="5" t="s">
        <v>3526</v>
      </c>
      <c r="E57" s="6" t="s">
        <v>4797</v>
      </c>
      <c r="F57" s="5">
        <v>9.2999999999999999E-2</v>
      </c>
      <c r="G57" s="6" t="s">
        <v>3196</v>
      </c>
      <c r="H57" s="6" t="s">
        <v>3605</v>
      </c>
      <c r="I57" s="37" t="s">
        <v>3616</v>
      </c>
    </row>
    <row r="58" spans="1:9" x14ac:dyDescent="0.25">
      <c r="A58" s="5" t="s">
        <v>3585</v>
      </c>
      <c r="B58" s="6" t="s">
        <v>3563</v>
      </c>
      <c r="C58" s="37">
        <v>3.1</v>
      </c>
      <c r="D58" s="6" t="s">
        <v>3563</v>
      </c>
      <c r="E58" s="6" t="s">
        <v>4798</v>
      </c>
      <c r="F58" s="5">
        <v>63.8</v>
      </c>
      <c r="G58" s="6" t="s">
        <v>3520</v>
      </c>
      <c r="H58" s="6" t="s">
        <v>3614</v>
      </c>
      <c r="I58" s="37" t="s">
        <v>3616</v>
      </c>
    </row>
    <row r="59" spans="1:9" ht="30" x14ac:dyDescent="0.25">
      <c r="A59" s="5" t="s">
        <v>3586</v>
      </c>
      <c r="B59" s="6" t="s">
        <v>3566</v>
      </c>
      <c r="C59" s="37">
        <v>3.1</v>
      </c>
      <c r="D59" s="6" t="s">
        <v>3587</v>
      </c>
      <c r="E59" s="6" t="s">
        <v>4767</v>
      </c>
      <c r="F59" s="5">
        <v>0.98460000000000003</v>
      </c>
      <c r="G59" s="6" t="s">
        <v>3474</v>
      </c>
      <c r="H59" s="36" t="s">
        <v>3497</v>
      </c>
      <c r="I59" s="37" t="s">
        <v>3616</v>
      </c>
    </row>
    <row r="60" spans="1:9" x14ac:dyDescent="0.25">
      <c r="A60" s="5" t="s">
        <v>3506</v>
      </c>
      <c r="B60" s="6" t="s">
        <v>3477</v>
      </c>
      <c r="C60" s="37">
        <v>2</v>
      </c>
      <c r="D60" s="6" t="s">
        <v>3478</v>
      </c>
      <c r="E60" s="6" t="s">
        <v>4747</v>
      </c>
      <c r="F60" s="5">
        <v>6.2100000000000002E-2</v>
      </c>
      <c r="G60" s="6" t="s">
        <v>3193</v>
      </c>
      <c r="H60" s="6" t="s">
        <v>3514</v>
      </c>
      <c r="I60" s="5" t="s">
        <v>3610</v>
      </c>
    </row>
    <row r="61" spans="1:9" x14ac:dyDescent="0.25">
      <c r="A61" s="5" t="s">
        <v>3573</v>
      </c>
      <c r="B61" s="6" t="s">
        <v>3574</v>
      </c>
      <c r="C61" s="37">
        <v>3.5</v>
      </c>
      <c r="D61" s="6" t="s">
        <v>3575</v>
      </c>
      <c r="E61" s="5" t="s">
        <v>5003</v>
      </c>
      <c r="F61" s="5">
        <v>0.48520000000000002</v>
      </c>
      <c r="G61" s="6" t="s">
        <v>3474</v>
      </c>
      <c r="H61" s="6" t="s">
        <v>3513</v>
      </c>
      <c r="I61" s="37" t="s">
        <v>3617</v>
      </c>
    </row>
    <row r="62" spans="1:9" x14ac:dyDescent="0.25">
      <c r="A62" s="5" t="s">
        <v>3588</v>
      </c>
      <c r="B62" s="6" t="s">
        <v>3589</v>
      </c>
      <c r="C62" s="37">
        <v>3.1</v>
      </c>
      <c r="D62" s="6" t="s">
        <v>3589</v>
      </c>
      <c r="E62" s="6" t="s">
        <v>4799</v>
      </c>
      <c r="F62" s="5">
        <v>8.4699999999999998E-2</v>
      </c>
      <c r="G62" s="6" t="s">
        <v>3474</v>
      </c>
      <c r="H62" s="6" t="s">
        <v>3513</v>
      </c>
      <c r="I62" s="37" t="s">
        <v>3616</v>
      </c>
    </row>
    <row r="63" spans="1:9" x14ac:dyDescent="0.25">
      <c r="A63" s="5" t="s">
        <v>3590</v>
      </c>
      <c r="B63" s="6" t="s">
        <v>3477</v>
      </c>
      <c r="C63" s="37">
        <v>3.4</v>
      </c>
      <c r="D63" s="6" t="s">
        <v>3591</v>
      </c>
      <c r="E63" s="6" t="s">
        <v>5606</v>
      </c>
      <c r="F63" s="5">
        <v>0.25800000000000001</v>
      </c>
      <c r="G63" s="6" t="s">
        <v>3193</v>
      </c>
      <c r="H63" s="6" t="s">
        <v>3495</v>
      </c>
      <c r="I63" s="37" t="s">
        <v>3615</v>
      </c>
    </row>
    <row r="64" spans="1:9" x14ac:dyDescent="0.25">
      <c r="A64" s="5" t="s">
        <v>299</v>
      </c>
      <c r="B64" s="6" t="s">
        <v>3592</v>
      </c>
      <c r="C64" s="5">
        <v>3.1</v>
      </c>
      <c r="D64" s="6" t="s">
        <v>3592</v>
      </c>
      <c r="E64" s="49" t="s">
        <v>4768</v>
      </c>
      <c r="F64" s="5">
        <v>0.62890000000000001</v>
      </c>
      <c r="G64" s="6" t="s">
        <v>3474</v>
      </c>
      <c r="H64" s="6" t="s">
        <v>3513</v>
      </c>
      <c r="I64" s="37" t="s">
        <v>3616</v>
      </c>
    </row>
    <row r="65" spans="1:9" x14ac:dyDescent="0.25">
      <c r="A65" s="5" t="s">
        <v>3594</v>
      </c>
      <c r="B65" s="6" t="s">
        <v>3595</v>
      </c>
      <c r="C65" s="5">
        <v>3.1</v>
      </c>
      <c r="D65" s="6" t="s">
        <v>3595</v>
      </c>
      <c r="E65" s="6" t="s">
        <v>4769</v>
      </c>
      <c r="F65" s="5">
        <v>0.17</v>
      </c>
      <c r="G65" s="6" t="s">
        <v>3489</v>
      </c>
      <c r="H65" s="6" t="s">
        <v>3605</v>
      </c>
      <c r="I65" s="37" t="s">
        <v>3616</v>
      </c>
    </row>
    <row r="66" spans="1:9" x14ac:dyDescent="0.25">
      <c r="A66" s="5" t="s">
        <v>3596</v>
      </c>
      <c r="B66" s="6" t="s">
        <v>3597</v>
      </c>
      <c r="C66" s="5">
        <v>3.1</v>
      </c>
      <c r="D66" s="6" t="s">
        <v>3597</v>
      </c>
      <c r="E66" s="49" t="s">
        <v>4770</v>
      </c>
      <c r="F66" s="5">
        <v>1.2010000000000001</v>
      </c>
      <c r="G66" s="6" t="s">
        <v>3481</v>
      </c>
      <c r="H66" s="6" t="s">
        <v>3513</v>
      </c>
      <c r="I66" s="37" t="s">
        <v>3616</v>
      </c>
    </row>
    <row r="67" spans="1:9" x14ac:dyDescent="0.25">
      <c r="A67" s="5" t="s">
        <v>3599</v>
      </c>
      <c r="B67" s="6" t="s">
        <v>3600</v>
      </c>
      <c r="C67" s="5">
        <v>3.1</v>
      </c>
      <c r="D67" s="6" t="s">
        <v>3600</v>
      </c>
      <c r="E67" s="6" t="s">
        <v>4771</v>
      </c>
      <c r="F67" s="5">
        <v>0.13900000000000001</v>
      </c>
      <c r="G67" s="6" t="s">
        <v>3489</v>
      </c>
      <c r="H67" s="6" t="s">
        <v>3607</v>
      </c>
      <c r="I67" s="37" t="s">
        <v>3616</v>
      </c>
    </row>
    <row r="68" spans="1:9" ht="30" x14ac:dyDescent="0.25">
      <c r="A68" s="5" t="s">
        <v>3581</v>
      </c>
      <c r="B68" s="5" t="s">
        <v>3581</v>
      </c>
      <c r="C68" s="5">
        <v>3.1</v>
      </c>
      <c r="D68" s="5" t="s">
        <v>3581</v>
      </c>
      <c r="E68" s="6" t="s">
        <v>4800</v>
      </c>
      <c r="F68" s="5">
        <v>9.0999999999999998E-2</v>
      </c>
      <c r="G68" s="6" t="s">
        <v>3488</v>
      </c>
      <c r="H68" s="6" t="s">
        <v>3513</v>
      </c>
      <c r="I68" s="37" t="s">
        <v>3616</v>
      </c>
    </row>
    <row r="69" spans="1:9" ht="30" x14ac:dyDescent="0.25">
      <c r="A69" s="5" t="s">
        <v>3602</v>
      </c>
      <c r="B69" s="5" t="s">
        <v>3602</v>
      </c>
      <c r="C69" s="5">
        <v>3.1</v>
      </c>
      <c r="D69" s="5" t="s">
        <v>3602</v>
      </c>
      <c r="E69" s="6" t="s">
        <v>4801</v>
      </c>
      <c r="F69" s="5">
        <v>0.154</v>
      </c>
      <c r="G69" s="6" t="s">
        <v>3489</v>
      </c>
      <c r="H69" s="6" t="s">
        <v>3513</v>
      </c>
      <c r="I69" s="37" t="s">
        <v>3616</v>
      </c>
    </row>
    <row r="70" spans="1:9" x14ac:dyDescent="0.25">
      <c r="A70" s="5" t="s">
        <v>3601</v>
      </c>
      <c r="B70" s="5" t="s">
        <v>3601</v>
      </c>
      <c r="C70" s="5">
        <v>3.1</v>
      </c>
      <c r="D70" s="5" t="s">
        <v>3601</v>
      </c>
      <c r="E70" s="6" t="s">
        <v>4765</v>
      </c>
      <c r="F70" s="5">
        <v>0.18970000000000001</v>
      </c>
      <c r="G70" s="6" t="s">
        <v>3481</v>
      </c>
      <c r="H70" s="6" t="s">
        <v>3513</v>
      </c>
      <c r="I70" s="37" t="s">
        <v>3616</v>
      </c>
    </row>
    <row r="71" spans="1:9" x14ac:dyDescent="0.25">
      <c r="A71" s="5" t="s">
        <v>3603</v>
      </c>
      <c r="B71" s="5" t="s">
        <v>1042</v>
      </c>
      <c r="C71" s="5">
        <v>3.1</v>
      </c>
      <c r="D71" s="5" t="s">
        <v>1042</v>
      </c>
      <c r="E71" s="49" t="s">
        <v>4772</v>
      </c>
      <c r="F71" s="5">
        <v>1.121</v>
      </c>
      <c r="G71" s="6" t="s">
        <v>3489</v>
      </c>
      <c r="H71" s="6" t="s">
        <v>3513</v>
      </c>
      <c r="I71" s="37" t="s">
        <v>3616</v>
      </c>
    </row>
    <row r="72" spans="1:9" x14ac:dyDescent="0.25">
      <c r="A72" s="5" t="s">
        <v>3598</v>
      </c>
      <c r="B72" s="5" t="s">
        <v>3532</v>
      </c>
      <c r="C72" s="5">
        <v>3.1</v>
      </c>
      <c r="D72" s="5" t="s">
        <v>3532</v>
      </c>
      <c r="E72" s="6" t="s">
        <v>4752</v>
      </c>
      <c r="F72" s="5">
        <v>0.22620000000000001</v>
      </c>
      <c r="G72" s="6" t="s">
        <v>3481</v>
      </c>
      <c r="H72" s="6" t="s">
        <v>3613</v>
      </c>
      <c r="I72" s="37" t="s">
        <v>3616</v>
      </c>
    </row>
    <row r="73" spans="1:9" x14ac:dyDescent="0.25">
      <c r="A73" s="5" t="s">
        <v>3604</v>
      </c>
      <c r="B73" s="5" t="s">
        <v>3477</v>
      </c>
      <c r="C73" s="37">
        <v>3.4</v>
      </c>
      <c r="D73" s="5" t="s">
        <v>3623</v>
      </c>
      <c r="E73" s="6" t="s">
        <v>5607</v>
      </c>
      <c r="F73" s="5">
        <v>2.555E-2</v>
      </c>
      <c r="G73" s="6" t="s">
        <v>3482</v>
      </c>
      <c r="H73" s="6" t="s">
        <v>3495</v>
      </c>
      <c r="I73" s="37" t="s">
        <v>3615</v>
      </c>
    </row>
    <row r="74" spans="1:9" x14ac:dyDescent="0.25">
      <c r="A74" s="6" t="s">
        <v>3618</v>
      </c>
      <c r="B74" s="6" t="s">
        <v>3477</v>
      </c>
      <c r="C74" s="37">
        <v>3.4</v>
      </c>
      <c r="D74" s="6" t="s">
        <v>3591</v>
      </c>
      <c r="E74" s="6" t="s">
        <v>5604</v>
      </c>
      <c r="F74" s="6">
        <v>0.187</v>
      </c>
      <c r="G74" s="6" t="s">
        <v>3193</v>
      </c>
      <c r="H74" s="6" t="s">
        <v>3495</v>
      </c>
      <c r="I74" s="37" t="s">
        <v>3615</v>
      </c>
    </row>
    <row r="75" spans="1:9" x14ac:dyDescent="0.25">
      <c r="A75" s="6" t="s">
        <v>3577</v>
      </c>
      <c r="B75" s="6" t="s">
        <v>3477</v>
      </c>
      <c r="C75" s="37">
        <v>3.4</v>
      </c>
      <c r="D75" s="5" t="s">
        <v>3625</v>
      </c>
      <c r="E75" s="6" t="s">
        <v>5608</v>
      </c>
      <c r="F75" s="6">
        <v>0.04</v>
      </c>
      <c r="G75" s="6" t="s">
        <v>3193</v>
      </c>
      <c r="H75" s="6" t="s">
        <v>3495</v>
      </c>
      <c r="I75" s="37" t="s">
        <v>3615</v>
      </c>
    </row>
    <row r="76" spans="1:9" x14ac:dyDescent="0.25">
      <c r="A76" s="6" t="s">
        <v>3590</v>
      </c>
      <c r="B76" s="6" t="s">
        <v>3477</v>
      </c>
      <c r="C76" s="37">
        <v>3.4</v>
      </c>
      <c r="D76" s="6" t="s">
        <v>3591</v>
      </c>
      <c r="E76" s="6" t="s">
        <v>5606</v>
      </c>
      <c r="F76" s="6">
        <v>0.25800000000000001</v>
      </c>
      <c r="G76" s="6" t="s">
        <v>3193</v>
      </c>
      <c r="H76" s="6" t="s">
        <v>3495</v>
      </c>
      <c r="I76" s="37" t="s">
        <v>3615</v>
      </c>
    </row>
    <row r="77" spans="1:9" x14ac:dyDescent="0.25">
      <c r="A77" s="6" t="s">
        <v>3562</v>
      </c>
      <c r="B77" s="6" t="s">
        <v>3563</v>
      </c>
      <c r="C77" s="37">
        <v>3.4</v>
      </c>
      <c r="D77" s="6" t="s">
        <v>3563</v>
      </c>
      <c r="E77" s="6" t="s">
        <v>4792</v>
      </c>
      <c r="F77" s="6">
        <v>0.32400000000000001</v>
      </c>
      <c r="G77" s="6" t="s">
        <v>3519</v>
      </c>
      <c r="H77" s="6" t="s">
        <v>3612</v>
      </c>
      <c r="I77" s="37" t="s">
        <v>3615</v>
      </c>
    </row>
    <row r="78" spans="1:9" x14ac:dyDescent="0.25">
      <c r="A78" s="6" t="s">
        <v>3620</v>
      </c>
      <c r="B78" s="5" t="s">
        <v>3477</v>
      </c>
      <c r="C78" s="37">
        <v>3.4</v>
      </c>
      <c r="D78" s="5" t="s">
        <v>3478</v>
      </c>
      <c r="E78" s="6" t="s">
        <v>5609</v>
      </c>
      <c r="F78" s="6">
        <v>0.51500000000000001</v>
      </c>
      <c r="G78" s="6" t="s">
        <v>3196</v>
      </c>
      <c r="H78" s="6" t="s">
        <v>3607</v>
      </c>
      <c r="I78" s="37" t="s">
        <v>3615</v>
      </c>
    </row>
    <row r="79" spans="1:9" x14ac:dyDescent="0.25">
      <c r="A79" s="6" t="s">
        <v>3621</v>
      </c>
      <c r="B79" s="5" t="s">
        <v>3477</v>
      </c>
      <c r="C79" s="37">
        <v>3.4</v>
      </c>
      <c r="D79" s="5" t="s">
        <v>3478</v>
      </c>
      <c r="E79" s="6" t="s">
        <v>5610</v>
      </c>
      <c r="F79" s="6">
        <v>0.111</v>
      </c>
      <c r="G79" s="6" t="s">
        <v>3193</v>
      </c>
      <c r="H79" s="6" t="s">
        <v>3495</v>
      </c>
      <c r="I79" s="37" t="s">
        <v>3615</v>
      </c>
    </row>
    <row r="80" spans="1:9" x14ac:dyDescent="0.25">
      <c r="A80" s="6" t="s">
        <v>3619</v>
      </c>
      <c r="B80" s="6" t="s">
        <v>3563</v>
      </c>
      <c r="C80" s="37">
        <v>3.4</v>
      </c>
      <c r="D80" s="6" t="s">
        <v>3563</v>
      </c>
      <c r="E80" s="6" t="s">
        <v>5611</v>
      </c>
      <c r="F80" s="6">
        <v>0.183</v>
      </c>
      <c r="G80" s="6" t="s">
        <v>3196</v>
      </c>
      <c r="H80" s="6" t="s">
        <v>3609</v>
      </c>
      <c r="I80" s="37" t="s">
        <v>3615</v>
      </c>
    </row>
    <row r="81" spans="1:9" x14ac:dyDescent="0.25">
      <c r="A81" s="6" t="s">
        <v>3622</v>
      </c>
      <c r="B81" s="5" t="s">
        <v>3477</v>
      </c>
      <c r="C81" s="37">
        <v>3.4</v>
      </c>
      <c r="D81" s="5" t="s">
        <v>3623</v>
      </c>
      <c r="E81" s="6" t="s">
        <v>5612</v>
      </c>
      <c r="F81" s="6">
        <v>2.9319999999999999E-2</v>
      </c>
      <c r="G81" s="6" t="s">
        <v>3193</v>
      </c>
      <c r="H81" s="6" t="s">
        <v>3491</v>
      </c>
      <c r="I81" s="37" t="s">
        <v>3615</v>
      </c>
    </row>
    <row r="82" spans="1:9" x14ac:dyDescent="0.25">
      <c r="A82" s="6" t="s">
        <v>3593</v>
      </c>
      <c r="B82" s="5" t="s">
        <v>3477</v>
      </c>
      <c r="C82" s="37">
        <v>3.4</v>
      </c>
      <c r="D82" s="6" t="s">
        <v>3591</v>
      </c>
      <c r="E82" s="6" t="s">
        <v>4786</v>
      </c>
      <c r="F82" s="6">
        <v>0.91700000000000004</v>
      </c>
      <c r="G82" s="6" t="s">
        <v>3481</v>
      </c>
      <c r="H82" s="6" t="s">
        <v>3493</v>
      </c>
      <c r="I82" s="37" t="s">
        <v>3615</v>
      </c>
    </row>
    <row r="83" spans="1:9" x14ac:dyDescent="0.25">
      <c r="A83" s="6" t="s">
        <v>3624</v>
      </c>
      <c r="B83" s="5" t="s">
        <v>3477</v>
      </c>
      <c r="C83" s="37">
        <v>3.4</v>
      </c>
      <c r="D83" s="5" t="s">
        <v>3478</v>
      </c>
      <c r="E83" s="6" t="s">
        <v>5613</v>
      </c>
      <c r="F83" s="6">
        <v>1.33</v>
      </c>
      <c r="G83" s="6" t="s">
        <v>3196</v>
      </c>
      <c r="H83" s="6" t="s">
        <v>3607</v>
      </c>
      <c r="I83" s="37" t="s">
        <v>3615</v>
      </c>
    </row>
    <row r="84" spans="1:9" x14ac:dyDescent="0.25">
      <c r="A84" s="6" t="s">
        <v>3195</v>
      </c>
      <c r="B84" s="5" t="s">
        <v>3477</v>
      </c>
      <c r="C84" s="37">
        <v>3.4</v>
      </c>
      <c r="D84" s="6" t="s">
        <v>3591</v>
      </c>
      <c r="E84" s="6" t="s">
        <v>5614</v>
      </c>
      <c r="F84" s="6">
        <v>0.64400000000000002</v>
      </c>
      <c r="G84" s="6" t="s">
        <v>3196</v>
      </c>
      <c r="H84" s="6" t="s">
        <v>3605</v>
      </c>
      <c r="I84" s="37" t="s">
        <v>3615</v>
      </c>
    </row>
    <row r="85" spans="1:9" x14ac:dyDescent="0.25">
      <c r="A85" s="6" t="s">
        <v>3604</v>
      </c>
      <c r="B85" s="5" t="s">
        <v>3477</v>
      </c>
      <c r="C85" s="37">
        <v>3.4</v>
      </c>
      <c r="D85" s="5" t="s">
        <v>3623</v>
      </c>
      <c r="E85" s="6" t="s">
        <v>5607</v>
      </c>
      <c r="F85" s="6">
        <v>2.555E-2</v>
      </c>
      <c r="G85" s="6" t="s">
        <v>3482</v>
      </c>
      <c r="H85" s="6" t="s">
        <v>3491</v>
      </c>
      <c r="I85" s="37" t="s">
        <v>3615</v>
      </c>
    </row>
    <row r="86" spans="1:9" x14ac:dyDescent="0.25">
      <c r="A86" t="s">
        <v>5616</v>
      </c>
      <c r="B86" t="s">
        <v>3555</v>
      </c>
      <c r="C86" s="51">
        <v>3.1</v>
      </c>
      <c r="D86" t="s">
        <v>3555</v>
      </c>
      <c r="E86" s="52" t="s">
        <v>5638</v>
      </c>
      <c r="F86">
        <v>5.7799999999999997E-2</v>
      </c>
      <c r="G86" t="s">
        <v>5617</v>
      </c>
      <c r="H86" t="s">
        <v>3493</v>
      </c>
      <c r="I86" s="37" t="s">
        <v>3616</v>
      </c>
    </row>
    <row r="87" spans="1:9" x14ac:dyDescent="0.25">
      <c r="A87" t="s">
        <v>5618</v>
      </c>
      <c r="B87" t="s">
        <v>3543</v>
      </c>
      <c r="C87" s="29">
        <v>3.1</v>
      </c>
      <c r="D87" t="s">
        <v>3543</v>
      </c>
      <c r="E87" s="52" t="s">
        <v>5639</v>
      </c>
      <c r="F87">
        <v>0.14000000000000001</v>
      </c>
      <c r="G87" t="s">
        <v>3196</v>
      </c>
      <c r="H87" t="s">
        <v>3609</v>
      </c>
      <c r="I87" s="37" t="s">
        <v>3616</v>
      </c>
    </row>
    <row r="88" spans="1:9" x14ac:dyDescent="0.25">
      <c r="A88" t="s">
        <v>5619</v>
      </c>
      <c r="B88" t="s">
        <v>5620</v>
      </c>
      <c r="C88" s="29">
        <v>3.1</v>
      </c>
      <c r="D88" t="s">
        <v>5620</v>
      </c>
      <c r="E88" s="52" t="s">
        <v>5640</v>
      </c>
      <c r="F88">
        <v>0.504</v>
      </c>
      <c r="G88" t="s">
        <v>5617</v>
      </c>
      <c r="H88" t="s">
        <v>3493</v>
      </c>
      <c r="I88" s="37" t="s">
        <v>3616</v>
      </c>
    </row>
    <row r="89" spans="1:9" x14ac:dyDescent="0.25">
      <c r="A89" t="s">
        <v>5621</v>
      </c>
      <c r="B89" t="s">
        <v>5622</v>
      </c>
      <c r="C89" s="29">
        <v>3.1</v>
      </c>
      <c r="D89" t="s">
        <v>5622</v>
      </c>
      <c r="E89" s="52" t="s">
        <v>5641</v>
      </c>
      <c r="F89">
        <v>0.16700000000000001</v>
      </c>
      <c r="G89" t="s">
        <v>3196</v>
      </c>
      <c r="H89" t="s">
        <v>3607</v>
      </c>
      <c r="I89" s="37" t="s">
        <v>3616</v>
      </c>
    </row>
    <row r="90" spans="1:9" x14ac:dyDescent="0.25">
      <c r="A90" t="s">
        <v>5623</v>
      </c>
      <c r="B90" t="s">
        <v>5625</v>
      </c>
      <c r="C90" s="29">
        <v>3.1</v>
      </c>
      <c r="D90" t="s">
        <v>5625</v>
      </c>
      <c r="E90" s="52" t="s">
        <v>5642</v>
      </c>
      <c r="F90">
        <v>0.123</v>
      </c>
      <c r="G90" t="s">
        <v>5624</v>
      </c>
      <c r="H90" s="6" t="s">
        <v>3512</v>
      </c>
      <c r="I90" s="37" t="s">
        <v>3616</v>
      </c>
    </row>
    <row r="91" spans="1:9" x14ac:dyDescent="0.25">
      <c r="A91" t="s">
        <v>5626</v>
      </c>
      <c r="B91" t="s">
        <v>3561</v>
      </c>
      <c r="C91" s="29">
        <v>3.1</v>
      </c>
      <c r="D91" t="s">
        <v>3561</v>
      </c>
      <c r="E91" s="52" t="s">
        <v>5643</v>
      </c>
      <c r="F91">
        <v>0.42980000000000002</v>
      </c>
      <c r="G91" t="s">
        <v>5617</v>
      </c>
      <c r="H91" t="s">
        <v>3493</v>
      </c>
      <c r="I91" s="37" t="s">
        <v>3616</v>
      </c>
    </row>
    <row r="92" spans="1:9" x14ac:dyDescent="0.25">
      <c r="A92" t="s">
        <v>302</v>
      </c>
      <c r="B92" t="s">
        <v>302</v>
      </c>
      <c r="C92" s="29">
        <v>3.1</v>
      </c>
      <c r="D92" t="s">
        <v>302</v>
      </c>
      <c r="E92" s="52" t="s">
        <v>5644</v>
      </c>
      <c r="F92">
        <v>0.18770000000000001</v>
      </c>
      <c r="G92" t="s">
        <v>5617</v>
      </c>
      <c r="H92" t="s">
        <v>3493</v>
      </c>
      <c r="I92" s="37" t="s">
        <v>3616</v>
      </c>
    </row>
    <row r="93" spans="1:9" x14ac:dyDescent="0.25">
      <c r="A93" t="s">
        <v>5627</v>
      </c>
      <c r="B93" t="s">
        <v>5628</v>
      </c>
      <c r="C93" s="29">
        <v>3.1</v>
      </c>
      <c r="D93" t="s">
        <v>5628</v>
      </c>
      <c r="E93" s="52" t="s">
        <v>5645</v>
      </c>
      <c r="F93">
        <v>0.1714</v>
      </c>
      <c r="G93" t="s">
        <v>5617</v>
      </c>
      <c r="H93" t="s">
        <v>3493</v>
      </c>
      <c r="I93" s="37" t="s">
        <v>3616</v>
      </c>
    </row>
    <row r="94" spans="1:9" x14ac:dyDescent="0.25">
      <c r="A94" t="s">
        <v>5629</v>
      </c>
      <c r="B94" t="s">
        <v>5622</v>
      </c>
      <c r="C94" s="29">
        <v>3.1</v>
      </c>
      <c r="D94" t="s">
        <v>5622</v>
      </c>
      <c r="E94" s="52" t="s">
        <v>5646</v>
      </c>
      <c r="F94">
        <v>0.16700000000000001</v>
      </c>
      <c r="G94" t="s">
        <v>3196</v>
      </c>
      <c r="H94" t="s">
        <v>3607</v>
      </c>
      <c r="I94" s="37" t="s">
        <v>3616</v>
      </c>
    </row>
    <row r="95" spans="1:9" x14ac:dyDescent="0.25">
      <c r="A95" t="s">
        <v>5630</v>
      </c>
      <c r="B95" t="s">
        <v>5631</v>
      </c>
      <c r="C95" s="29">
        <v>3.1</v>
      </c>
      <c r="D95" t="s">
        <v>5631</v>
      </c>
      <c r="E95" s="52" t="s">
        <v>5647</v>
      </c>
      <c r="F95">
        <v>2.3149999999999999</v>
      </c>
      <c r="G95" t="s">
        <v>3519</v>
      </c>
      <c r="H95" s="6" t="s">
        <v>3512</v>
      </c>
      <c r="I95" s="37" t="s">
        <v>3616</v>
      </c>
    </row>
    <row r="96" spans="1:9" x14ac:dyDescent="0.25">
      <c r="A96" t="s">
        <v>5632</v>
      </c>
      <c r="B96" t="s">
        <v>5633</v>
      </c>
      <c r="C96" s="29">
        <v>3.1</v>
      </c>
      <c r="D96" t="s">
        <v>5633</v>
      </c>
      <c r="E96" s="52" t="s">
        <v>5648</v>
      </c>
      <c r="F96">
        <v>0.15459999999999999</v>
      </c>
      <c r="G96" t="s">
        <v>5617</v>
      </c>
      <c r="H96" t="s">
        <v>3493</v>
      </c>
      <c r="I96" s="37" t="s">
        <v>3616</v>
      </c>
    </row>
    <row r="97" spans="1:9" x14ac:dyDescent="0.25">
      <c r="A97" t="s">
        <v>5634</v>
      </c>
      <c r="B97" t="s">
        <v>5635</v>
      </c>
      <c r="C97" s="29">
        <v>3.1</v>
      </c>
      <c r="D97" t="s">
        <v>5635</v>
      </c>
      <c r="E97" s="52" t="s">
        <v>5649</v>
      </c>
      <c r="F97">
        <v>0.13439999999999999</v>
      </c>
      <c r="G97" t="s">
        <v>3474</v>
      </c>
      <c r="H97" t="s">
        <v>3493</v>
      </c>
      <c r="I97" s="37" t="s">
        <v>3616</v>
      </c>
    </row>
    <row r="98" spans="1:9" x14ac:dyDescent="0.25">
      <c r="A98" t="s">
        <v>5636</v>
      </c>
      <c r="B98" t="s">
        <v>5637</v>
      </c>
      <c r="C98" s="29">
        <v>3.1</v>
      </c>
      <c r="D98" t="s">
        <v>5637</v>
      </c>
      <c r="E98" s="52" t="s">
        <v>5650</v>
      </c>
      <c r="F98">
        <v>0.39560000000000001</v>
      </c>
      <c r="G98" t="s">
        <v>5617</v>
      </c>
      <c r="H98" t="s">
        <v>3493</v>
      </c>
      <c r="I98" s="37" t="s">
        <v>3616</v>
      </c>
    </row>
  </sheetData>
  <autoFilter ref="C1:C85" xr:uid="{F0900409-BCDC-41F7-9778-EF83133F32C2}"/>
  <phoneticPr fontId="2" type="noConversion"/>
  <conditionalFormatting sqref="A2:B18 F2:G85 D8:D11 A19:A67 B26:B67 D26:D71 A71:A85">
    <cfRule type="expression" dxfId="26" priority="8">
      <formula>MOD(ROW(),2)=0</formula>
    </cfRule>
  </conditionalFormatting>
  <conditionalFormatting sqref="A68:B70 B71">
    <cfRule type="expression" dxfId="25" priority="51">
      <formula>MOD(ROW(),2)=0</formula>
    </cfRule>
  </conditionalFormatting>
  <conditionalFormatting sqref="B19:B24">
    <cfRule type="expression" dxfId="24" priority="288">
      <formula>MOD(ROW(),2)=0</formula>
    </cfRule>
  </conditionalFormatting>
  <conditionalFormatting sqref="B74:B77">
    <cfRule type="expression" dxfId="23" priority="31">
      <formula>MOD(ROW(),2)=0</formula>
    </cfRule>
  </conditionalFormatting>
  <conditionalFormatting sqref="B80">
    <cfRule type="expression" dxfId="22" priority="23">
      <formula>MOD(ROW(),2)=0</formula>
    </cfRule>
  </conditionalFormatting>
  <conditionalFormatting sqref="D2:D4">
    <cfRule type="expression" dxfId="21" priority="382">
      <formula>MOD(ROW(),2)=0</formula>
    </cfRule>
  </conditionalFormatting>
  <conditionalFormatting sqref="D6">
    <cfRule type="expression" dxfId="20" priority="359">
      <formula>MOD(ROW(),2)=0</formula>
    </cfRule>
  </conditionalFormatting>
  <conditionalFormatting sqref="D19:D24">
    <cfRule type="expression" dxfId="19" priority="260">
      <formula>MOD(ROW(),2)=0</formula>
    </cfRule>
  </conditionalFormatting>
  <conditionalFormatting sqref="D74">
    <cfRule type="expression" dxfId="18" priority="39">
      <formula>MOD(ROW(),2)=0</formula>
    </cfRule>
  </conditionalFormatting>
  <conditionalFormatting sqref="D76:D77">
    <cfRule type="expression" dxfId="17" priority="30">
      <formula>MOD(ROW(),2)=0</formula>
    </cfRule>
  </conditionalFormatting>
  <conditionalFormatting sqref="D80">
    <cfRule type="expression" dxfId="16" priority="22">
      <formula>MOD(ROW(),2)=0</formula>
    </cfRule>
  </conditionalFormatting>
  <conditionalFormatting sqref="D82">
    <cfRule type="expression" dxfId="15" priority="14">
      <formula>MOD(ROW(),2)=0</formula>
    </cfRule>
  </conditionalFormatting>
  <conditionalFormatting sqref="D84">
    <cfRule type="expression" dxfId="14" priority="11">
      <formula>MOD(ROW(),2)=0</formula>
    </cfRule>
  </conditionalFormatting>
  <conditionalFormatting sqref="E52">
    <cfRule type="expression" dxfId="13" priority="3">
      <formula>MOD(ROW(),2)=0</formula>
    </cfRule>
  </conditionalFormatting>
  <conditionalFormatting sqref="E61">
    <cfRule type="expression" dxfId="12" priority="4">
      <formula>MOD(ROW(),2)=0</formula>
    </cfRule>
  </conditionalFormatting>
  <conditionalFormatting sqref="H2:H7">
    <cfRule type="expression" dxfId="11" priority="6">
      <formula>MOD(ROW(),2)=0</formula>
    </cfRule>
  </conditionalFormatting>
  <conditionalFormatting sqref="H12:H15">
    <cfRule type="expression" dxfId="10" priority="322">
      <formula>MOD(ROW(),2)=0</formula>
    </cfRule>
  </conditionalFormatting>
  <conditionalFormatting sqref="H19:H21">
    <cfRule type="expression" dxfId="9" priority="299">
      <formula>MOD(ROW(),2)=0</formula>
    </cfRule>
  </conditionalFormatting>
  <conditionalFormatting sqref="H23:H25">
    <cfRule type="expression" dxfId="8" priority="5">
      <formula>MOD(ROW(),2)=0</formula>
    </cfRule>
  </conditionalFormatting>
  <conditionalFormatting sqref="H28:H29">
    <cfRule type="expression" dxfId="7" priority="242">
      <formula>MOD(ROW(),2)=0</formula>
    </cfRule>
  </conditionalFormatting>
  <conditionalFormatting sqref="H31:H44">
    <cfRule type="expression" dxfId="6" priority="162">
      <formula>MOD(ROW(),2)=0</formula>
    </cfRule>
  </conditionalFormatting>
  <conditionalFormatting sqref="H48">
    <cfRule type="expression" dxfId="5" priority="147">
      <formula>MOD(ROW(),2)=0</formula>
    </cfRule>
  </conditionalFormatting>
  <conditionalFormatting sqref="H50:H56">
    <cfRule type="expression" dxfId="4" priority="116">
      <formula>MOD(ROW(),2)=0</formula>
    </cfRule>
  </conditionalFormatting>
  <conditionalFormatting sqref="H61:H85">
    <cfRule type="expression" dxfId="3" priority="383">
      <formula>MOD(ROW(),2)=0</formula>
    </cfRule>
  </conditionalFormatting>
  <conditionalFormatting sqref="H90">
    <cfRule type="expression" dxfId="2" priority="2">
      <formula>MOD(ROW(),2)=0</formula>
    </cfRule>
  </conditionalFormatting>
  <conditionalFormatting sqref="H95">
    <cfRule type="expression" dxfId="1" priority="1">
      <formula>MOD(ROW(),2)=0</formula>
    </cfRule>
  </conditionalFormatting>
  <conditionalFormatting sqref="I12:I17 I60">
    <cfRule type="expression" dxfId="0" priority="252">
      <formula>MOD(ROW(),2)=0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F7D9-EA37-49C6-A7BA-B524164CAEAC}">
  <dimension ref="A1:H3307"/>
  <sheetViews>
    <sheetView tabSelected="1" topLeftCell="A3269" zoomScale="85" zoomScaleNormal="85" workbookViewId="0">
      <selection activeCell="N3291" sqref="N3291"/>
    </sheetView>
  </sheetViews>
  <sheetFormatPr defaultRowHeight="15" x14ac:dyDescent="0.25"/>
  <cols>
    <col min="1" max="1" width="80.5703125" bestFit="1" customWidth="1"/>
    <col min="2" max="2" width="39.85546875" customWidth="1"/>
    <col min="3" max="3" width="7.85546875" bestFit="1" customWidth="1"/>
    <col min="4" max="4" width="91.28515625" customWidth="1"/>
    <col min="5" max="5" width="11.85546875" bestFit="1" customWidth="1"/>
    <col min="6" max="6" width="15.42578125" bestFit="1" customWidth="1"/>
    <col min="7" max="7" width="16.5703125" bestFit="1" customWidth="1"/>
    <col min="8" max="8" width="11.140625" bestFit="1" customWidth="1"/>
  </cols>
  <sheetData>
    <row r="1" spans="1:8" x14ac:dyDescent="0.25">
      <c r="A1" s="15" t="s">
        <v>317</v>
      </c>
      <c r="B1" s="16" t="s">
        <v>1</v>
      </c>
      <c r="C1" s="15" t="s">
        <v>4</v>
      </c>
      <c r="D1" s="16" t="s">
        <v>0</v>
      </c>
      <c r="E1" s="15" t="s">
        <v>5</v>
      </c>
      <c r="F1" s="16" t="s">
        <v>6</v>
      </c>
      <c r="G1" s="16" t="s">
        <v>7</v>
      </c>
      <c r="H1" s="16" t="s">
        <v>2</v>
      </c>
    </row>
    <row r="2" spans="1:8" ht="30" x14ac:dyDescent="0.25">
      <c r="A2" s="17" t="s">
        <v>318</v>
      </c>
      <c r="B2" s="17" t="s">
        <v>318</v>
      </c>
      <c r="C2" s="17" t="s">
        <v>307</v>
      </c>
      <c r="D2" s="17" t="s">
        <v>305</v>
      </c>
      <c r="E2" s="17">
        <v>6.3372199999999997E-4</v>
      </c>
      <c r="F2" s="6" t="s">
        <v>233</v>
      </c>
      <c r="G2" s="6" t="s">
        <v>234</v>
      </c>
      <c r="H2" s="6">
        <v>3</v>
      </c>
    </row>
    <row r="3" spans="1:8" ht="30" x14ac:dyDescent="0.25">
      <c r="A3" s="17" t="s">
        <v>319</v>
      </c>
      <c r="B3" s="17" t="s">
        <v>319</v>
      </c>
      <c r="C3" s="17" t="s">
        <v>283</v>
      </c>
      <c r="D3" s="17" t="s">
        <v>281</v>
      </c>
      <c r="E3" s="17">
        <v>5.4019300000000001E-4</v>
      </c>
      <c r="F3" s="6" t="s">
        <v>233</v>
      </c>
      <c r="G3" s="6" t="s">
        <v>234</v>
      </c>
      <c r="H3" s="6">
        <v>3</v>
      </c>
    </row>
    <row r="4" spans="1:8" ht="30" x14ac:dyDescent="0.25">
      <c r="A4" s="17" t="s">
        <v>320</v>
      </c>
      <c r="B4" s="17" t="s">
        <v>320</v>
      </c>
      <c r="C4" s="17" t="s">
        <v>280</v>
      </c>
      <c r="D4" s="17" t="s">
        <v>278</v>
      </c>
      <c r="E4" s="17">
        <v>6.2829699999999999E-4</v>
      </c>
      <c r="F4" s="6" t="s">
        <v>233</v>
      </c>
      <c r="G4" s="6" t="s">
        <v>234</v>
      </c>
      <c r="H4" s="6">
        <v>3</v>
      </c>
    </row>
    <row r="5" spans="1:8" ht="45" x14ac:dyDescent="0.25">
      <c r="A5" s="17" t="s">
        <v>321</v>
      </c>
      <c r="B5" s="17" t="s">
        <v>321</v>
      </c>
      <c r="C5" s="17" t="s">
        <v>256</v>
      </c>
      <c r="D5" s="17" t="s">
        <v>254</v>
      </c>
      <c r="E5" s="17">
        <v>8.1312799999999998E-4</v>
      </c>
      <c r="F5" s="6" t="s">
        <v>233</v>
      </c>
      <c r="G5" s="6" t="s">
        <v>234</v>
      </c>
      <c r="H5" s="6">
        <v>3</v>
      </c>
    </row>
    <row r="6" spans="1:8" ht="30" x14ac:dyDescent="0.25">
      <c r="A6" s="17" t="s">
        <v>322</v>
      </c>
      <c r="B6" s="17" t="s">
        <v>322</v>
      </c>
      <c r="C6" s="17" t="s">
        <v>274</v>
      </c>
      <c r="D6" s="17" t="s">
        <v>272</v>
      </c>
      <c r="E6" s="17">
        <v>6.1713999999999996E-4</v>
      </c>
      <c r="F6" s="6" t="s">
        <v>233</v>
      </c>
      <c r="G6" s="6" t="s">
        <v>234</v>
      </c>
      <c r="H6" s="6">
        <v>3</v>
      </c>
    </row>
    <row r="7" spans="1:8" ht="30" x14ac:dyDescent="0.25">
      <c r="A7" s="17" t="s">
        <v>323</v>
      </c>
      <c r="B7" s="17" t="s">
        <v>323</v>
      </c>
      <c r="C7" s="17" t="s">
        <v>277</v>
      </c>
      <c r="D7" s="17" t="s">
        <v>275</v>
      </c>
      <c r="E7" s="17">
        <v>7.0538700000000003E-4</v>
      </c>
      <c r="F7" s="6" t="s">
        <v>233</v>
      </c>
      <c r="G7" s="6" t="s">
        <v>234</v>
      </c>
      <c r="H7" s="6">
        <v>3</v>
      </c>
    </row>
    <row r="8" spans="1:8" ht="30" x14ac:dyDescent="0.25">
      <c r="A8" s="17" t="s">
        <v>324</v>
      </c>
      <c r="B8" s="17" t="s">
        <v>324</v>
      </c>
      <c r="C8" s="17" t="s">
        <v>241</v>
      </c>
      <c r="D8" s="17" t="s">
        <v>239</v>
      </c>
      <c r="E8" s="17">
        <v>4.9712300000000003E-4</v>
      </c>
      <c r="F8" s="6" t="s">
        <v>233</v>
      </c>
      <c r="G8" s="6" t="s">
        <v>234</v>
      </c>
      <c r="H8" s="6">
        <v>3</v>
      </c>
    </row>
    <row r="9" spans="1:8" ht="30" x14ac:dyDescent="0.25">
      <c r="A9" s="17" t="s">
        <v>325</v>
      </c>
      <c r="B9" s="17" t="s">
        <v>325</v>
      </c>
      <c r="C9" s="17" t="s">
        <v>274</v>
      </c>
      <c r="D9" s="17" t="s">
        <v>272</v>
      </c>
      <c r="E9" s="17">
        <v>6.1713999999999996E-4</v>
      </c>
      <c r="F9" s="6" t="s">
        <v>233</v>
      </c>
      <c r="G9" s="6" t="s">
        <v>234</v>
      </c>
      <c r="H9" s="6">
        <v>3</v>
      </c>
    </row>
    <row r="10" spans="1:8" ht="30" x14ac:dyDescent="0.25">
      <c r="A10" s="17" t="s">
        <v>326</v>
      </c>
      <c r="B10" s="17" t="s">
        <v>326</v>
      </c>
      <c r="C10" s="17" t="s">
        <v>271</v>
      </c>
      <c r="D10" s="17" t="s">
        <v>269</v>
      </c>
      <c r="E10" s="17">
        <v>5.2359699999999999E-4</v>
      </c>
      <c r="F10" s="6" t="s">
        <v>233</v>
      </c>
      <c r="G10" s="6" t="s">
        <v>234</v>
      </c>
      <c r="H10" s="6">
        <v>3</v>
      </c>
    </row>
    <row r="11" spans="1:8" ht="30" x14ac:dyDescent="0.25">
      <c r="A11" s="17" t="s">
        <v>327</v>
      </c>
      <c r="B11" s="17" t="s">
        <v>327</v>
      </c>
      <c r="C11" s="17" t="s">
        <v>295</v>
      </c>
      <c r="D11" s="17" t="s">
        <v>293</v>
      </c>
      <c r="E11" s="17">
        <v>4.8170899999999998E-4</v>
      </c>
      <c r="F11" s="6" t="s">
        <v>233</v>
      </c>
      <c r="G11" s="6" t="s">
        <v>234</v>
      </c>
      <c r="H11" s="6">
        <v>3</v>
      </c>
    </row>
    <row r="12" spans="1:8" ht="30" x14ac:dyDescent="0.25">
      <c r="A12" s="17" t="s">
        <v>328</v>
      </c>
      <c r="B12" s="17" t="s">
        <v>328</v>
      </c>
      <c r="C12" s="17" t="s">
        <v>241</v>
      </c>
      <c r="D12" s="17" t="s">
        <v>239</v>
      </c>
      <c r="E12" s="17">
        <v>4.9712300000000003E-4</v>
      </c>
      <c r="F12" s="6" t="s">
        <v>233</v>
      </c>
      <c r="G12" s="6" t="s">
        <v>234</v>
      </c>
      <c r="H12" s="6">
        <v>3</v>
      </c>
    </row>
    <row r="13" spans="1:8" ht="30" x14ac:dyDescent="0.25">
      <c r="A13" s="17" t="s">
        <v>329</v>
      </c>
      <c r="B13" s="17" t="s">
        <v>329</v>
      </c>
      <c r="C13" s="17" t="s">
        <v>310</v>
      </c>
      <c r="D13" s="17" t="s">
        <v>308</v>
      </c>
      <c r="E13" s="17">
        <v>5.3341800000000002E-4</v>
      </c>
      <c r="F13" s="6" t="s">
        <v>233</v>
      </c>
      <c r="G13" s="6" t="s">
        <v>234</v>
      </c>
      <c r="H13" s="6">
        <v>3</v>
      </c>
    </row>
    <row r="14" spans="1:8" ht="30" x14ac:dyDescent="0.25">
      <c r="A14" s="17" t="s">
        <v>330</v>
      </c>
      <c r="B14" s="17" t="s">
        <v>330</v>
      </c>
      <c r="C14" s="17" t="s">
        <v>271</v>
      </c>
      <c r="D14" s="17" t="s">
        <v>269</v>
      </c>
      <c r="E14" s="17">
        <v>5.2359699999999999E-4</v>
      </c>
      <c r="F14" s="6" t="s">
        <v>233</v>
      </c>
      <c r="G14" s="6" t="s">
        <v>234</v>
      </c>
      <c r="H14" s="6">
        <v>3</v>
      </c>
    </row>
    <row r="15" spans="1:8" ht="30" x14ac:dyDescent="0.25">
      <c r="A15" s="17" t="s">
        <v>331</v>
      </c>
      <c r="B15" s="17" t="s">
        <v>331</v>
      </c>
      <c r="C15" s="17" t="s">
        <v>259</v>
      </c>
      <c r="D15" s="17" t="s">
        <v>257</v>
      </c>
      <c r="E15" s="17">
        <v>6.2829699999999999E-4</v>
      </c>
      <c r="F15" s="6" t="s">
        <v>233</v>
      </c>
      <c r="G15" s="6" t="s">
        <v>234</v>
      </c>
      <c r="H15" s="6">
        <v>3</v>
      </c>
    </row>
    <row r="16" spans="1:8" ht="30" x14ac:dyDescent="0.25">
      <c r="A16" s="17" t="s">
        <v>332</v>
      </c>
      <c r="B16" s="17" t="s">
        <v>332</v>
      </c>
      <c r="C16" s="17" t="s">
        <v>310</v>
      </c>
      <c r="D16" s="17" t="s">
        <v>308</v>
      </c>
      <c r="E16" s="17">
        <v>5.3341800000000002E-4</v>
      </c>
      <c r="F16" s="6" t="s">
        <v>233</v>
      </c>
      <c r="G16" s="6" t="s">
        <v>234</v>
      </c>
      <c r="H16" s="6">
        <v>3</v>
      </c>
    </row>
    <row r="17" spans="1:8" ht="30" x14ac:dyDescent="0.25">
      <c r="A17" s="17" t="s">
        <v>333</v>
      </c>
      <c r="B17" s="17" t="s">
        <v>333</v>
      </c>
      <c r="C17" s="17" t="s">
        <v>286</v>
      </c>
      <c r="D17" s="17" t="s">
        <v>284</v>
      </c>
      <c r="E17" s="17">
        <v>2.5428000000000001E-4</v>
      </c>
      <c r="F17" s="6" t="s">
        <v>233</v>
      </c>
      <c r="G17" s="6" t="s">
        <v>234</v>
      </c>
      <c r="H17" s="6">
        <v>3</v>
      </c>
    </row>
    <row r="18" spans="1:8" ht="30" x14ac:dyDescent="0.25">
      <c r="A18" s="17" t="s">
        <v>334</v>
      </c>
      <c r="B18" s="17" t="s">
        <v>334</v>
      </c>
      <c r="C18" s="17" t="s">
        <v>283</v>
      </c>
      <c r="D18" s="17" t="s">
        <v>281</v>
      </c>
      <c r="E18" s="17">
        <v>5.4019300000000001E-4</v>
      </c>
      <c r="F18" s="6" t="s">
        <v>233</v>
      </c>
      <c r="G18" s="6" t="s">
        <v>234</v>
      </c>
      <c r="H18" s="6">
        <v>3</v>
      </c>
    </row>
    <row r="19" spans="1:8" ht="30" x14ac:dyDescent="0.25">
      <c r="A19" s="17" t="s">
        <v>335</v>
      </c>
      <c r="B19" s="17" t="s">
        <v>335</v>
      </c>
      <c r="C19" s="17" t="s">
        <v>277</v>
      </c>
      <c r="D19" s="17" t="s">
        <v>275</v>
      </c>
      <c r="E19" s="17">
        <v>7.0538700000000003E-4</v>
      </c>
      <c r="F19" s="6" t="s">
        <v>233</v>
      </c>
      <c r="G19" s="6" t="s">
        <v>234</v>
      </c>
      <c r="H19" s="6">
        <v>3</v>
      </c>
    </row>
    <row r="20" spans="1:8" ht="30" x14ac:dyDescent="0.25">
      <c r="A20" s="17" t="s">
        <v>336</v>
      </c>
      <c r="B20" s="17" t="s">
        <v>336</v>
      </c>
      <c r="C20" s="17" t="s">
        <v>271</v>
      </c>
      <c r="D20" s="17" t="s">
        <v>269</v>
      </c>
      <c r="E20" s="17">
        <v>5.2359699999999999E-4</v>
      </c>
      <c r="F20" s="6" t="s">
        <v>233</v>
      </c>
      <c r="G20" s="6" t="s">
        <v>234</v>
      </c>
      <c r="H20" s="6">
        <v>3</v>
      </c>
    </row>
    <row r="21" spans="1:8" ht="30" x14ac:dyDescent="0.25">
      <c r="A21" s="17" t="s">
        <v>337</v>
      </c>
      <c r="B21" s="17" t="s">
        <v>337</v>
      </c>
      <c r="C21" s="17" t="s">
        <v>256</v>
      </c>
      <c r="D21" s="17" t="s">
        <v>254</v>
      </c>
      <c r="E21" s="17">
        <v>8.1312799999999998E-4</v>
      </c>
      <c r="F21" s="6" t="s">
        <v>233</v>
      </c>
      <c r="G21" s="6" t="s">
        <v>234</v>
      </c>
      <c r="H21" s="6">
        <v>3</v>
      </c>
    </row>
    <row r="22" spans="1:8" ht="30" x14ac:dyDescent="0.25">
      <c r="A22" s="17" t="s">
        <v>338</v>
      </c>
      <c r="B22" s="17" t="s">
        <v>338</v>
      </c>
      <c r="C22" s="17" t="s">
        <v>280</v>
      </c>
      <c r="D22" s="17" t="s">
        <v>278</v>
      </c>
      <c r="E22" s="17">
        <v>6.2829699999999999E-4</v>
      </c>
      <c r="F22" s="6" t="s">
        <v>233</v>
      </c>
      <c r="G22" s="6" t="s">
        <v>234</v>
      </c>
      <c r="H22" s="6">
        <v>3</v>
      </c>
    </row>
    <row r="23" spans="1:8" ht="30" x14ac:dyDescent="0.25">
      <c r="A23" s="17" t="s">
        <v>339</v>
      </c>
      <c r="B23" s="17" t="s">
        <v>339</v>
      </c>
      <c r="C23" s="17" t="s">
        <v>277</v>
      </c>
      <c r="D23" s="17" t="s">
        <v>275</v>
      </c>
      <c r="E23" s="17">
        <v>7.0538700000000003E-4</v>
      </c>
      <c r="F23" s="6" t="s">
        <v>233</v>
      </c>
      <c r="G23" s="6" t="s">
        <v>234</v>
      </c>
      <c r="H23" s="6">
        <v>3</v>
      </c>
    </row>
    <row r="24" spans="1:8" ht="30" x14ac:dyDescent="0.25">
      <c r="A24" s="17" t="s">
        <v>340</v>
      </c>
      <c r="B24" s="17" t="s">
        <v>340</v>
      </c>
      <c r="C24" s="17" t="s">
        <v>244</v>
      </c>
      <c r="D24" s="17" t="s">
        <v>242</v>
      </c>
      <c r="E24" s="17">
        <v>5.4284299999999999E-4</v>
      </c>
      <c r="F24" s="6" t="s">
        <v>233</v>
      </c>
      <c r="G24" s="6" t="s">
        <v>234</v>
      </c>
      <c r="H24" s="6">
        <v>3</v>
      </c>
    </row>
    <row r="25" spans="1:8" ht="30" x14ac:dyDescent="0.25">
      <c r="A25" s="17" t="s">
        <v>341</v>
      </c>
      <c r="B25" s="17" t="s">
        <v>341</v>
      </c>
      <c r="C25" s="17" t="s">
        <v>280</v>
      </c>
      <c r="D25" s="17" t="s">
        <v>278</v>
      </c>
      <c r="E25" s="17">
        <v>6.2829699999999999E-4</v>
      </c>
      <c r="F25" s="6" t="s">
        <v>233</v>
      </c>
      <c r="G25" s="6" t="s">
        <v>234</v>
      </c>
      <c r="H25" s="6">
        <v>3</v>
      </c>
    </row>
    <row r="26" spans="1:8" ht="30" x14ac:dyDescent="0.25">
      <c r="A26" s="17" t="s">
        <v>342</v>
      </c>
      <c r="B26" s="17" t="s">
        <v>342</v>
      </c>
      <c r="C26" s="17" t="s">
        <v>256</v>
      </c>
      <c r="D26" s="17" t="s">
        <v>254</v>
      </c>
      <c r="E26" s="17">
        <v>8.1312799999999998E-4</v>
      </c>
      <c r="F26" s="6" t="s">
        <v>233</v>
      </c>
      <c r="G26" s="6" t="s">
        <v>234</v>
      </c>
      <c r="H26" s="6">
        <v>3</v>
      </c>
    </row>
    <row r="27" spans="1:8" ht="30" x14ac:dyDescent="0.25">
      <c r="A27" s="17" t="s">
        <v>343</v>
      </c>
      <c r="B27" s="17" t="s">
        <v>343</v>
      </c>
      <c r="C27" s="17" t="s">
        <v>283</v>
      </c>
      <c r="D27" s="17" t="s">
        <v>281</v>
      </c>
      <c r="E27" s="17">
        <v>5.4019300000000001E-4</v>
      </c>
      <c r="F27" s="6" t="s">
        <v>233</v>
      </c>
      <c r="G27" s="6" t="s">
        <v>234</v>
      </c>
      <c r="H27" s="6">
        <v>3</v>
      </c>
    </row>
    <row r="28" spans="1:8" ht="30" x14ac:dyDescent="0.25">
      <c r="A28" s="17" t="s">
        <v>344</v>
      </c>
      <c r="B28" s="17" t="s">
        <v>344</v>
      </c>
      <c r="C28" s="17" t="s">
        <v>301</v>
      </c>
      <c r="D28" s="17" t="s">
        <v>299</v>
      </c>
      <c r="E28" s="17">
        <v>6.3590900000000004E-4</v>
      </c>
      <c r="F28" s="6" t="s">
        <v>233</v>
      </c>
      <c r="G28" s="6" t="s">
        <v>234</v>
      </c>
      <c r="H28" s="6">
        <v>3</v>
      </c>
    </row>
    <row r="29" spans="1:8" ht="30" x14ac:dyDescent="0.25">
      <c r="A29" s="17" t="s">
        <v>345</v>
      </c>
      <c r="B29" s="17" t="s">
        <v>345</v>
      </c>
      <c r="C29" s="17" t="s">
        <v>346</v>
      </c>
      <c r="D29" s="17" t="s">
        <v>347</v>
      </c>
      <c r="E29" s="17">
        <v>2.10657E-4</v>
      </c>
      <c r="F29" s="6" t="s">
        <v>233</v>
      </c>
      <c r="G29" s="6" t="s">
        <v>234</v>
      </c>
      <c r="H29" s="6">
        <v>3</v>
      </c>
    </row>
    <row r="30" spans="1:8" ht="30" x14ac:dyDescent="0.25">
      <c r="A30" s="17" t="s">
        <v>348</v>
      </c>
      <c r="B30" s="17" t="s">
        <v>348</v>
      </c>
      <c r="C30" s="17" t="s">
        <v>256</v>
      </c>
      <c r="D30" s="17" t="s">
        <v>254</v>
      </c>
      <c r="E30" s="17">
        <v>8.1312799999999998E-4</v>
      </c>
      <c r="F30" s="6" t="s">
        <v>233</v>
      </c>
      <c r="G30" s="6" t="s">
        <v>234</v>
      </c>
      <c r="H30" s="6">
        <v>3</v>
      </c>
    </row>
    <row r="31" spans="1:8" ht="30" x14ac:dyDescent="0.25">
      <c r="A31" s="17" t="s">
        <v>349</v>
      </c>
      <c r="B31" s="17" t="s">
        <v>349</v>
      </c>
      <c r="C31" s="17" t="s">
        <v>346</v>
      </c>
      <c r="D31" s="17" t="s">
        <v>347</v>
      </c>
      <c r="E31" s="17">
        <v>2.10657E-4</v>
      </c>
      <c r="F31" s="6" t="s">
        <v>233</v>
      </c>
      <c r="G31" s="6" t="s">
        <v>234</v>
      </c>
      <c r="H31" s="6">
        <v>3</v>
      </c>
    </row>
    <row r="32" spans="1:8" ht="30" x14ac:dyDescent="0.25">
      <c r="A32" s="17" t="s">
        <v>350</v>
      </c>
      <c r="B32" s="17" t="s">
        <v>350</v>
      </c>
      <c r="C32" s="17" t="s">
        <v>301</v>
      </c>
      <c r="D32" s="17" t="s">
        <v>299</v>
      </c>
      <c r="E32" s="17">
        <v>6.3590900000000004E-4</v>
      </c>
      <c r="F32" s="6" t="s">
        <v>233</v>
      </c>
      <c r="G32" s="6" t="s">
        <v>234</v>
      </c>
      <c r="H32" s="6">
        <v>3</v>
      </c>
    </row>
    <row r="33" spans="1:8" ht="30" x14ac:dyDescent="0.25">
      <c r="A33" s="17" t="s">
        <v>351</v>
      </c>
      <c r="B33" s="17" t="s">
        <v>351</v>
      </c>
      <c r="C33" s="17" t="s">
        <v>286</v>
      </c>
      <c r="D33" s="17" t="s">
        <v>284</v>
      </c>
      <c r="E33" s="17">
        <v>2.5428000000000001E-4</v>
      </c>
      <c r="F33" s="6" t="s">
        <v>233</v>
      </c>
      <c r="G33" s="6" t="s">
        <v>234</v>
      </c>
      <c r="H33" s="6">
        <v>3</v>
      </c>
    </row>
    <row r="34" spans="1:8" ht="30" x14ac:dyDescent="0.25">
      <c r="A34" s="17" t="s">
        <v>352</v>
      </c>
      <c r="B34" s="17" t="s">
        <v>352</v>
      </c>
      <c r="C34" s="17" t="s">
        <v>353</v>
      </c>
      <c r="D34" s="17" t="s">
        <v>354</v>
      </c>
      <c r="E34" s="17">
        <v>2.78752E-4</v>
      </c>
      <c r="F34" s="6" t="s">
        <v>233</v>
      </c>
      <c r="G34" s="6" t="s">
        <v>234</v>
      </c>
      <c r="H34" s="6">
        <v>3</v>
      </c>
    </row>
    <row r="35" spans="1:8" ht="30" x14ac:dyDescent="0.25">
      <c r="A35" s="17" t="s">
        <v>355</v>
      </c>
      <c r="B35" s="17" t="s">
        <v>355</v>
      </c>
      <c r="C35" s="17" t="s">
        <v>307</v>
      </c>
      <c r="D35" s="17" t="s">
        <v>305</v>
      </c>
      <c r="E35" s="17">
        <v>6.3372199999999997E-4</v>
      </c>
      <c r="F35" s="6" t="s">
        <v>233</v>
      </c>
      <c r="G35" s="6" t="s">
        <v>234</v>
      </c>
      <c r="H35" s="6">
        <v>3</v>
      </c>
    </row>
    <row r="36" spans="1:8" ht="30" x14ac:dyDescent="0.25">
      <c r="A36" s="17" t="s">
        <v>356</v>
      </c>
      <c r="B36" s="17" t="s">
        <v>356</v>
      </c>
      <c r="C36" s="17" t="s">
        <v>286</v>
      </c>
      <c r="D36" s="17" t="s">
        <v>284</v>
      </c>
      <c r="E36" s="17">
        <v>2.5428000000000001E-4</v>
      </c>
      <c r="F36" s="6" t="s">
        <v>233</v>
      </c>
      <c r="G36" s="6" t="s">
        <v>234</v>
      </c>
      <c r="H36" s="6">
        <v>3</v>
      </c>
    </row>
    <row r="37" spans="1:8" ht="30" x14ac:dyDescent="0.25">
      <c r="A37" s="17" t="s">
        <v>357</v>
      </c>
      <c r="B37" s="17" t="s">
        <v>357</v>
      </c>
      <c r="C37" s="17" t="s">
        <v>256</v>
      </c>
      <c r="D37" s="17" t="s">
        <v>254</v>
      </c>
      <c r="E37" s="17">
        <v>8.1312799999999998E-4</v>
      </c>
      <c r="F37" s="6" t="s">
        <v>233</v>
      </c>
      <c r="G37" s="6" t="s">
        <v>234</v>
      </c>
      <c r="H37" s="6">
        <v>3</v>
      </c>
    </row>
    <row r="38" spans="1:8" ht="30" x14ac:dyDescent="0.25">
      <c r="A38" s="17" t="s">
        <v>358</v>
      </c>
      <c r="B38" s="17" t="s">
        <v>358</v>
      </c>
      <c r="C38" s="17" t="s">
        <v>241</v>
      </c>
      <c r="D38" s="17" t="s">
        <v>239</v>
      </c>
      <c r="E38" s="17">
        <v>4.9712300000000003E-4</v>
      </c>
      <c r="F38" s="6" t="s">
        <v>233</v>
      </c>
      <c r="G38" s="6" t="s">
        <v>234</v>
      </c>
      <c r="H38" s="6">
        <v>3</v>
      </c>
    </row>
    <row r="39" spans="1:8" ht="30" x14ac:dyDescent="0.25">
      <c r="A39" s="17" t="s">
        <v>359</v>
      </c>
      <c r="B39" s="17" t="s">
        <v>359</v>
      </c>
      <c r="C39" s="17" t="s">
        <v>280</v>
      </c>
      <c r="D39" s="17" t="s">
        <v>278</v>
      </c>
      <c r="E39" s="17">
        <v>6.2829699999999999E-4</v>
      </c>
      <c r="F39" s="6" t="s">
        <v>233</v>
      </c>
      <c r="G39" s="6" t="s">
        <v>234</v>
      </c>
      <c r="H39" s="6">
        <v>3</v>
      </c>
    </row>
    <row r="40" spans="1:8" ht="30" x14ac:dyDescent="0.25">
      <c r="A40" s="17" t="s">
        <v>360</v>
      </c>
      <c r="B40" s="17" t="s">
        <v>360</v>
      </c>
      <c r="C40" s="17" t="s">
        <v>262</v>
      </c>
      <c r="D40" s="17" t="s">
        <v>260</v>
      </c>
      <c r="E40" s="17">
        <v>8.4137000000000003E-4</v>
      </c>
      <c r="F40" s="6" t="s">
        <v>233</v>
      </c>
      <c r="G40" s="6" t="s">
        <v>234</v>
      </c>
      <c r="H40" s="6">
        <v>3</v>
      </c>
    </row>
    <row r="41" spans="1:8" ht="30" x14ac:dyDescent="0.25">
      <c r="A41" s="17" t="s">
        <v>361</v>
      </c>
      <c r="B41" s="17" t="s">
        <v>361</v>
      </c>
      <c r="C41" s="17" t="s">
        <v>346</v>
      </c>
      <c r="D41" s="17" t="s">
        <v>347</v>
      </c>
      <c r="E41" s="17">
        <v>2.1065E-4</v>
      </c>
      <c r="F41" s="6" t="s">
        <v>233</v>
      </c>
      <c r="G41" s="6" t="s">
        <v>234</v>
      </c>
      <c r="H41" s="6">
        <v>3</v>
      </c>
    </row>
    <row r="42" spans="1:8" ht="30" x14ac:dyDescent="0.25">
      <c r="A42" s="17" t="s">
        <v>362</v>
      </c>
      <c r="B42" s="17" t="s">
        <v>362</v>
      </c>
      <c r="C42" s="17" t="s">
        <v>256</v>
      </c>
      <c r="D42" s="17" t="s">
        <v>254</v>
      </c>
      <c r="E42" s="17">
        <v>8.1312799999999998E-4</v>
      </c>
      <c r="F42" s="6" t="s">
        <v>233</v>
      </c>
      <c r="G42" s="6" t="s">
        <v>234</v>
      </c>
      <c r="H42" s="6">
        <v>3</v>
      </c>
    </row>
    <row r="43" spans="1:8" ht="30" x14ac:dyDescent="0.25">
      <c r="A43" s="17" t="s">
        <v>363</v>
      </c>
      <c r="B43" s="17" t="s">
        <v>363</v>
      </c>
      <c r="C43" s="17" t="s">
        <v>280</v>
      </c>
      <c r="D43" s="17" t="s">
        <v>278</v>
      </c>
      <c r="E43" s="17">
        <v>6.2829699999999999E-4</v>
      </c>
      <c r="F43" s="6" t="s">
        <v>233</v>
      </c>
      <c r="G43" s="6" t="s">
        <v>234</v>
      </c>
      <c r="H43" s="6">
        <v>3</v>
      </c>
    </row>
    <row r="44" spans="1:8" ht="30" x14ac:dyDescent="0.25">
      <c r="A44" s="17" t="s">
        <v>364</v>
      </c>
      <c r="B44" s="17" t="s">
        <v>364</v>
      </c>
      <c r="C44" s="17" t="s">
        <v>250</v>
      </c>
      <c r="D44" s="17" t="s">
        <v>248</v>
      </c>
      <c r="E44" s="17">
        <v>4.3868599999999998E-4</v>
      </c>
      <c r="F44" s="6" t="s">
        <v>233</v>
      </c>
      <c r="G44" s="6" t="s">
        <v>234</v>
      </c>
      <c r="H44" s="6">
        <v>3</v>
      </c>
    </row>
    <row r="45" spans="1:8" ht="30" x14ac:dyDescent="0.25">
      <c r="A45" s="17" t="s">
        <v>365</v>
      </c>
      <c r="B45" s="17" t="s">
        <v>365</v>
      </c>
      <c r="C45" s="17" t="s">
        <v>247</v>
      </c>
      <c r="D45" s="17" t="s">
        <v>245</v>
      </c>
      <c r="E45" s="17">
        <v>1.0475809999999999E-3</v>
      </c>
      <c r="F45" s="6" t="s">
        <v>233</v>
      </c>
      <c r="G45" s="6" t="s">
        <v>234</v>
      </c>
      <c r="H45" s="6">
        <v>3</v>
      </c>
    </row>
    <row r="46" spans="1:8" ht="30" x14ac:dyDescent="0.25">
      <c r="A46" s="17" t="s">
        <v>366</v>
      </c>
      <c r="B46" s="17" t="s">
        <v>366</v>
      </c>
      <c r="C46" s="17" t="s">
        <v>247</v>
      </c>
      <c r="D46" s="17" t="s">
        <v>245</v>
      </c>
      <c r="E46" s="17">
        <v>1.0475809999999999E-3</v>
      </c>
      <c r="F46" s="6" t="s">
        <v>233</v>
      </c>
      <c r="G46" s="6" t="s">
        <v>234</v>
      </c>
      <c r="H46" s="6">
        <v>3</v>
      </c>
    </row>
    <row r="47" spans="1:8" ht="30" x14ac:dyDescent="0.25">
      <c r="A47" s="17" t="s">
        <v>367</v>
      </c>
      <c r="B47" s="17" t="s">
        <v>367</v>
      </c>
      <c r="C47" s="17" t="s">
        <v>247</v>
      </c>
      <c r="D47" s="17" t="s">
        <v>245</v>
      </c>
      <c r="E47" s="17">
        <v>1.0475809999999999E-3</v>
      </c>
      <c r="F47" s="6" t="s">
        <v>233</v>
      </c>
      <c r="G47" s="6" t="s">
        <v>234</v>
      </c>
      <c r="H47" s="6">
        <v>3</v>
      </c>
    </row>
    <row r="48" spans="1:8" ht="30" x14ac:dyDescent="0.25">
      <c r="A48" s="17" t="s">
        <v>368</v>
      </c>
      <c r="B48" s="17" t="s">
        <v>368</v>
      </c>
      <c r="C48" s="17" t="s">
        <v>247</v>
      </c>
      <c r="D48" s="17" t="s">
        <v>245</v>
      </c>
      <c r="E48" s="17">
        <v>1.0475809999999999E-3</v>
      </c>
      <c r="F48" s="6" t="s">
        <v>233</v>
      </c>
      <c r="G48" s="6" t="s">
        <v>234</v>
      </c>
      <c r="H48" s="6">
        <v>3</v>
      </c>
    </row>
    <row r="49" spans="1:8" ht="30" x14ac:dyDescent="0.25">
      <c r="A49" s="17" t="s">
        <v>369</v>
      </c>
      <c r="B49" s="17" t="s">
        <v>369</v>
      </c>
      <c r="C49" s="17" t="s">
        <v>250</v>
      </c>
      <c r="D49" s="17" t="s">
        <v>248</v>
      </c>
      <c r="E49" s="17">
        <v>4.3868599999999998E-4</v>
      </c>
      <c r="F49" s="6" t="s">
        <v>233</v>
      </c>
      <c r="G49" s="6" t="s">
        <v>234</v>
      </c>
      <c r="H49" s="6">
        <v>3</v>
      </c>
    </row>
    <row r="50" spans="1:8" ht="30" x14ac:dyDescent="0.25">
      <c r="A50" s="17" t="s">
        <v>370</v>
      </c>
      <c r="B50" s="17" t="s">
        <v>370</v>
      </c>
      <c r="C50" s="17" t="s">
        <v>271</v>
      </c>
      <c r="D50" s="17" t="s">
        <v>269</v>
      </c>
      <c r="E50" s="17">
        <v>5.2359699999999999E-4</v>
      </c>
      <c r="F50" s="6" t="s">
        <v>233</v>
      </c>
      <c r="G50" s="6" t="s">
        <v>234</v>
      </c>
      <c r="H50" s="6">
        <v>3</v>
      </c>
    </row>
    <row r="51" spans="1:8" ht="30" x14ac:dyDescent="0.25">
      <c r="A51" s="17" t="s">
        <v>371</v>
      </c>
      <c r="B51" s="17" t="s">
        <v>371</v>
      </c>
      <c r="C51" s="17" t="s">
        <v>247</v>
      </c>
      <c r="D51" s="17" t="s">
        <v>245</v>
      </c>
      <c r="E51" s="17">
        <v>1.0475809999999999E-3</v>
      </c>
      <c r="F51" s="6" t="s">
        <v>233</v>
      </c>
      <c r="G51" s="6" t="s">
        <v>234</v>
      </c>
      <c r="H51" s="6">
        <v>3</v>
      </c>
    </row>
    <row r="52" spans="1:8" ht="30" x14ac:dyDescent="0.25">
      <c r="A52" s="17" t="s">
        <v>372</v>
      </c>
      <c r="B52" s="17" t="s">
        <v>372</v>
      </c>
      <c r="C52" s="17" t="s">
        <v>346</v>
      </c>
      <c r="D52" s="17" t="s">
        <v>347</v>
      </c>
      <c r="E52" s="17">
        <v>2.10657E-4</v>
      </c>
      <c r="F52" s="6" t="s">
        <v>233</v>
      </c>
      <c r="G52" s="6" t="s">
        <v>234</v>
      </c>
      <c r="H52" s="6">
        <v>3</v>
      </c>
    </row>
    <row r="53" spans="1:8" ht="30" x14ac:dyDescent="0.25">
      <c r="A53" s="17" t="s">
        <v>373</v>
      </c>
      <c r="B53" s="17" t="s">
        <v>373</v>
      </c>
      <c r="C53" s="17" t="s">
        <v>315</v>
      </c>
      <c r="D53" s="17" t="s">
        <v>374</v>
      </c>
      <c r="E53" s="17">
        <v>1.75E-3</v>
      </c>
      <c r="F53" s="6" t="s">
        <v>233</v>
      </c>
      <c r="G53" s="6" t="s">
        <v>234</v>
      </c>
      <c r="H53" s="6">
        <v>3</v>
      </c>
    </row>
    <row r="54" spans="1:8" ht="30" x14ac:dyDescent="0.25">
      <c r="A54" s="17" t="s">
        <v>375</v>
      </c>
      <c r="B54" s="17" t="s">
        <v>375</v>
      </c>
      <c r="C54" s="17" t="s">
        <v>259</v>
      </c>
      <c r="D54" s="17" t="s">
        <v>257</v>
      </c>
      <c r="E54" s="17">
        <v>6.2829699999999999E-4</v>
      </c>
      <c r="F54" s="6" t="s">
        <v>233</v>
      </c>
      <c r="G54" s="6" t="s">
        <v>234</v>
      </c>
      <c r="H54" s="6">
        <v>3</v>
      </c>
    </row>
    <row r="55" spans="1:8" ht="30" x14ac:dyDescent="0.25">
      <c r="A55" s="17" t="s">
        <v>376</v>
      </c>
      <c r="B55" s="17" t="s">
        <v>376</v>
      </c>
      <c r="C55" s="17" t="s">
        <v>250</v>
      </c>
      <c r="D55" s="17" t="s">
        <v>248</v>
      </c>
      <c r="E55" s="17">
        <v>4.3868599999999998E-4</v>
      </c>
      <c r="F55" s="6" t="s">
        <v>233</v>
      </c>
      <c r="G55" s="6" t="s">
        <v>234</v>
      </c>
      <c r="H55" s="6">
        <v>3</v>
      </c>
    </row>
    <row r="56" spans="1:8" ht="30" x14ac:dyDescent="0.25">
      <c r="A56" s="17" t="s">
        <v>377</v>
      </c>
      <c r="B56" s="17" t="s">
        <v>377</v>
      </c>
      <c r="C56" s="17" t="s">
        <v>256</v>
      </c>
      <c r="D56" s="17" t="s">
        <v>254</v>
      </c>
      <c r="E56" s="17">
        <v>8.1312799999999998E-4</v>
      </c>
      <c r="F56" s="6" t="s">
        <v>233</v>
      </c>
      <c r="G56" s="6" t="s">
        <v>234</v>
      </c>
      <c r="H56" s="6">
        <v>3</v>
      </c>
    </row>
    <row r="57" spans="1:8" ht="30" x14ac:dyDescent="0.25">
      <c r="A57" s="17" t="s">
        <v>378</v>
      </c>
      <c r="B57" s="17" t="s">
        <v>378</v>
      </c>
      <c r="C57" s="17" t="s">
        <v>304</v>
      </c>
      <c r="D57" s="17" t="s">
        <v>302</v>
      </c>
      <c r="E57" s="17">
        <v>6.3438500000000001E-4</v>
      </c>
      <c r="F57" s="6" t="s">
        <v>233</v>
      </c>
      <c r="G57" s="6" t="s">
        <v>234</v>
      </c>
      <c r="H57" s="6">
        <v>3</v>
      </c>
    </row>
    <row r="58" spans="1:8" ht="30" x14ac:dyDescent="0.25">
      <c r="A58" s="17" t="s">
        <v>379</v>
      </c>
      <c r="B58" s="17" t="s">
        <v>379</v>
      </c>
      <c r="C58" s="17" t="s">
        <v>259</v>
      </c>
      <c r="D58" s="17" t="s">
        <v>257</v>
      </c>
      <c r="E58" s="17">
        <v>6.2829699999999999E-4</v>
      </c>
      <c r="F58" s="6" t="s">
        <v>233</v>
      </c>
      <c r="G58" s="6" t="s">
        <v>234</v>
      </c>
      <c r="H58" s="6">
        <v>3</v>
      </c>
    </row>
    <row r="59" spans="1:8" ht="30" x14ac:dyDescent="0.25">
      <c r="A59" s="17" t="s">
        <v>380</v>
      </c>
      <c r="B59" s="17" t="s">
        <v>380</v>
      </c>
      <c r="C59" s="17" t="s">
        <v>256</v>
      </c>
      <c r="D59" s="17" t="s">
        <v>254</v>
      </c>
      <c r="E59" s="17">
        <v>8.1312799999999998E-4</v>
      </c>
      <c r="F59" s="6" t="s">
        <v>233</v>
      </c>
      <c r="G59" s="6" t="s">
        <v>234</v>
      </c>
      <c r="H59" s="6">
        <v>3</v>
      </c>
    </row>
    <row r="60" spans="1:8" ht="30" x14ac:dyDescent="0.25">
      <c r="A60" s="17" t="s">
        <v>381</v>
      </c>
      <c r="B60" s="17" t="s">
        <v>381</v>
      </c>
      <c r="C60" s="17" t="s">
        <v>256</v>
      </c>
      <c r="D60" s="17" t="s">
        <v>254</v>
      </c>
      <c r="E60" s="17">
        <v>8.1312799999999998E-4</v>
      </c>
      <c r="F60" s="6" t="s">
        <v>233</v>
      </c>
      <c r="G60" s="6" t="s">
        <v>234</v>
      </c>
      <c r="H60" s="6">
        <v>3</v>
      </c>
    </row>
    <row r="61" spans="1:8" ht="30" x14ac:dyDescent="0.25">
      <c r="A61" s="17" t="s">
        <v>382</v>
      </c>
      <c r="B61" s="17" t="s">
        <v>382</v>
      </c>
      <c r="C61" s="17" t="s">
        <v>250</v>
      </c>
      <c r="D61" s="17" t="s">
        <v>248</v>
      </c>
      <c r="E61" s="17">
        <v>4.3868599999999998E-4</v>
      </c>
      <c r="F61" s="6" t="s">
        <v>233</v>
      </c>
      <c r="G61" s="6" t="s">
        <v>234</v>
      </c>
      <c r="H61" s="6">
        <v>3</v>
      </c>
    </row>
    <row r="62" spans="1:8" ht="30" x14ac:dyDescent="0.25">
      <c r="A62" s="17" t="s">
        <v>383</v>
      </c>
      <c r="B62" s="17" t="s">
        <v>383</v>
      </c>
      <c r="C62" s="17" t="s">
        <v>265</v>
      </c>
      <c r="D62" s="17" t="s">
        <v>263</v>
      </c>
      <c r="E62" s="17">
        <v>3.0449399999999999E-4</v>
      </c>
      <c r="F62" s="6" t="s">
        <v>233</v>
      </c>
      <c r="G62" s="6" t="s">
        <v>234</v>
      </c>
      <c r="H62" s="6">
        <v>3</v>
      </c>
    </row>
    <row r="63" spans="1:8" ht="30" x14ac:dyDescent="0.25">
      <c r="A63" s="17" t="s">
        <v>384</v>
      </c>
      <c r="B63" s="17" t="s">
        <v>384</v>
      </c>
      <c r="C63" s="17" t="s">
        <v>250</v>
      </c>
      <c r="D63" s="17" t="s">
        <v>248</v>
      </c>
      <c r="E63" s="17">
        <v>4.3868599999999998E-4</v>
      </c>
      <c r="F63" s="6" t="s">
        <v>233</v>
      </c>
      <c r="G63" s="6" t="s">
        <v>234</v>
      </c>
      <c r="H63" s="6">
        <v>3</v>
      </c>
    </row>
    <row r="64" spans="1:8" ht="30" x14ac:dyDescent="0.25">
      <c r="A64" s="17" t="s">
        <v>385</v>
      </c>
      <c r="B64" s="17" t="s">
        <v>385</v>
      </c>
      <c r="C64" s="17" t="s">
        <v>256</v>
      </c>
      <c r="D64" s="17" t="s">
        <v>254</v>
      </c>
      <c r="E64" s="17">
        <v>8.1312799999999998E-4</v>
      </c>
      <c r="F64" s="6" t="s">
        <v>233</v>
      </c>
      <c r="G64" s="6" t="s">
        <v>234</v>
      </c>
      <c r="H64" s="6">
        <v>3</v>
      </c>
    </row>
    <row r="65" spans="1:8" ht="60" x14ac:dyDescent="0.25">
      <c r="A65" s="17" t="s">
        <v>386</v>
      </c>
      <c r="B65" s="17" t="s">
        <v>386</v>
      </c>
      <c r="C65" s="17" t="s">
        <v>247</v>
      </c>
      <c r="D65" s="17" t="s">
        <v>245</v>
      </c>
      <c r="E65" s="17">
        <v>1.0475809999999999E-3</v>
      </c>
      <c r="F65" s="6" t="s">
        <v>233</v>
      </c>
      <c r="G65" s="6" t="s">
        <v>234</v>
      </c>
      <c r="H65" s="6">
        <v>3</v>
      </c>
    </row>
    <row r="66" spans="1:8" ht="30" x14ac:dyDescent="0.25">
      <c r="A66" s="17" t="s">
        <v>387</v>
      </c>
      <c r="B66" s="17" t="s">
        <v>387</v>
      </c>
      <c r="C66" s="17" t="s">
        <v>250</v>
      </c>
      <c r="D66" s="17" t="s">
        <v>248</v>
      </c>
      <c r="E66" s="17">
        <v>4.3868599999999998E-4</v>
      </c>
      <c r="F66" s="6" t="s">
        <v>233</v>
      </c>
      <c r="G66" s="6" t="s">
        <v>234</v>
      </c>
      <c r="H66" s="6">
        <v>3</v>
      </c>
    </row>
    <row r="67" spans="1:8" ht="30" x14ac:dyDescent="0.25">
      <c r="A67" s="17" t="s">
        <v>388</v>
      </c>
      <c r="B67" s="17" t="s">
        <v>388</v>
      </c>
      <c r="C67" s="17" t="s">
        <v>256</v>
      </c>
      <c r="D67" s="17" t="s">
        <v>254</v>
      </c>
      <c r="E67" s="17">
        <v>8.1312799999999998E-4</v>
      </c>
      <c r="F67" s="6" t="s">
        <v>233</v>
      </c>
      <c r="G67" s="6" t="s">
        <v>234</v>
      </c>
      <c r="H67" s="6">
        <v>3</v>
      </c>
    </row>
    <row r="68" spans="1:8" ht="30" x14ac:dyDescent="0.25">
      <c r="A68" s="17" t="s">
        <v>389</v>
      </c>
      <c r="B68" s="17" t="s">
        <v>389</v>
      </c>
      <c r="C68" s="17" t="s">
        <v>250</v>
      </c>
      <c r="D68" s="17" t="s">
        <v>248</v>
      </c>
      <c r="E68" s="17">
        <v>4.3868599999999998E-4</v>
      </c>
      <c r="F68" s="6" t="s">
        <v>233</v>
      </c>
      <c r="G68" s="6" t="s">
        <v>234</v>
      </c>
      <c r="H68" s="6">
        <v>3</v>
      </c>
    </row>
    <row r="69" spans="1:8" ht="30" x14ac:dyDescent="0.25">
      <c r="A69" s="17" t="s">
        <v>390</v>
      </c>
      <c r="B69" s="17" t="s">
        <v>390</v>
      </c>
      <c r="C69" s="17" t="s">
        <v>346</v>
      </c>
      <c r="D69" s="17" t="s">
        <v>347</v>
      </c>
      <c r="E69" s="17">
        <v>2.10657E-4</v>
      </c>
      <c r="F69" s="6" t="s">
        <v>233</v>
      </c>
      <c r="G69" s="6" t="s">
        <v>234</v>
      </c>
      <c r="H69" s="6">
        <v>3</v>
      </c>
    </row>
    <row r="70" spans="1:8" ht="30" x14ac:dyDescent="0.25">
      <c r="A70" s="17" t="s">
        <v>391</v>
      </c>
      <c r="B70" s="17" t="s">
        <v>391</v>
      </c>
      <c r="C70" s="17" t="s">
        <v>271</v>
      </c>
      <c r="D70" s="17" t="s">
        <v>269</v>
      </c>
      <c r="E70" s="17">
        <v>5.2359699999999999E-4</v>
      </c>
      <c r="F70" s="6" t="s">
        <v>233</v>
      </c>
      <c r="G70" s="6" t="s">
        <v>234</v>
      </c>
      <c r="H70" s="6">
        <v>3</v>
      </c>
    </row>
    <row r="71" spans="1:8" ht="30" x14ac:dyDescent="0.25">
      <c r="A71" s="17" t="s">
        <v>392</v>
      </c>
      <c r="B71" s="17" t="s">
        <v>392</v>
      </c>
      <c r="C71" s="17" t="s">
        <v>247</v>
      </c>
      <c r="D71" s="17" t="s">
        <v>245</v>
      </c>
      <c r="E71" s="17">
        <v>1.0475809999999999E-3</v>
      </c>
      <c r="F71" s="6" t="s">
        <v>233</v>
      </c>
      <c r="G71" s="6" t="s">
        <v>234</v>
      </c>
      <c r="H71" s="6">
        <v>3</v>
      </c>
    </row>
    <row r="72" spans="1:8" ht="30" x14ac:dyDescent="0.25">
      <c r="A72" s="17" t="s">
        <v>393</v>
      </c>
      <c r="B72" s="17" t="s">
        <v>393</v>
      </c>
      <c r="C72" s="17" t="s">
        <v>250</v>
      </c>
      <c r="D72" s="17" t="s">
        <v>248</v>
      </c>
      <c r="E72" s="17">
        <v>4.3868599999999998E-4</v>
      </c>
      <c r="F72" s="6" t="s">
        <v>233</v>
      </c>
      <c r="G72" s="6" t="s">
        <v>234</v>
      </c>
      <c r="H72" s="6">
        <v>3</v>
      </c>
    </row>
    <row r="73" spans="1:8" ht="30" x14ac:dyDescent="0.25">
      <c r="A73" s="17" t="s">
        <v>394</v>
      </c>
      <c r="B73" s="17" t="s">
        <v>394</v>
      </c>
      <c r="C73" s="17" t="s">
        <v>280</v>
      </c>
      <c r="D73" s="17" t="s">
        <v>278</v>
      </c>
      <c r="E73" s="17">
        <v>6.2829699999999999E-4</v>
      </c>
      <c r="F73" s="6" t="s">
        <v>233</v>
      </c>
      <c r="G73" s="6" t="s">
        <v>234</v>
      </c>
      <c r="H73" s="6">
        <v>3</v>
      </c>
    </row>
    <row r="74" spans="1:8" ht="30" x14ac:dyDescent="0.25">
      <c r="A74" s="17" t="s">
        <v>395</v>
      </c>
      <c r="B74" s="17" t="s">
        <v>395</v>
      </c>
      <c r="C74" s="17" t="s">
        <v>280</v>
      </c>
      <c r="D74" s="17" t="s">
        <v>278</v>
      </c>
      <c r="E74" s="17">
        <v>6.2829699999999999E-4</v>
      </c>
      <c r="F74" s="6" t="s">
        <v>233</v>
      </c>
      <c r="G74" s="6" t="s">
        <v>234</v>
      </c>
      <c r="H74" s="6">
        <v>3</v>
      </c>
    </row>
    <row r="75" spans="1:8" ht="30" x14ac:dyDescent="0.25">
      <c r="A75" s="17" t="s">
        <v>396</v>
      </c>
      <c r="B75" s="17" t="s">
        <v>396</v>
      </c>
      <c r="C75" s="17" t="s">
        <v>250</v>
      </c>
      <c r="D75" s="17" t="s">
        <v>248</v>
      </c>
      <c r="E75" s="17">
        <v>4.3868599999999998E-4</v>
      </c>
      <c r="F75" s="6" t="s">
        <v>233</v>
      </c>
      <c r="G75" s="6" t="s">
        <v>234</v>
      </c>
      <c r="H75" s="6">
        <v>3</v>
      </c>
    </row>
    <row r="76" spans="1:8" ht="30" x14ac:dyDescent="0.25">
      <c r="A76" s="17" t="s">
        <v>397</v>
      </c>
      <c r="B76" s="17" t="s">
        <v>397</v>
      </c>
      <c r="C76" s="17" t="s">
        <v>247</v>
      </c>
      <c r="D76" s="17" t="s">
        <v>245</v>
      </c>
      <c r="E76" s="17">
        <v>1.0475809999999999E-3</v>
      </c>
      <c r="F76" s="6" t="s">
        <v>233</v>
      </c>
      <c r="G76" s="6" t="s">
        <v>234</v>
      </c>
      <c r="H76" s="6">
        <v>3</v>
      </c>
    </row>
    <row r="77" spans="1:8" ht="30" x14ac:dyDescent="0.25">
      <c r="A77" s="17" t="s">
        <v>398</v>
      </c>
      <c r="B77" s="17" t="s">
        <v>398</v>
      </c>
      <c r="C77" s="17" t="s">
        <v>271</v>
      </c>
      <c r="D77" s="17" t="s">
        <v>269</v>
      </c>
      <c r="E77" s="17">
        <v>5.2359699999999999E-4</v>
      </c>
      <c r="F77" s="6" t="s">
        <v>233</v>
      </c>
      <c r="G77" s="6" t="s">
        <v>234</v>
      </c>
      <c r="H77" s="6">
        <v>3</v>
      </c>
    </row>
    <row r="78" spans="1:8" ht="30" x14ac:dyDescent="0.25">
      <c r="A78" s="17" t="s">
        <v>399</v>
      </c>
      <c r="B78" s="17" t="s">
        <v>399</v>
      </c>
      <c r="C78" s="17" t="s">
        <v>247</v>
      </c>
      <c r="D78" s="17" t="s">
        <v>245</v>
      </c>
      <c r="E78" s="17">
        <v>1.0475809999999999E-3</v>
      </c>
      <c r="F78" s="6" t="s">
        <v>233</v>
      </c>
      <c r="G78" s="6" t="s">
        <v>234</v>
      </c>
      <c r="H78" s="6">
        <v>3</v>
      </c>
    </row>
    <row r="79" spans="1:8" ht="30" x14ac:dyDescent="0.25">
      <c r="A79" s="17" t="s">
        <v>400</v>
      </c>
      <c r="B79" s="17" t="s">
        <v>400</v>
      </c>
      <c r="C79" s="17" t="s">
        <v>247</v>
      </c>
      <c r="D79" s="17" t="s">
        <v>245</v>
      </c>
      <c r="E79" s="17">
        <v>1.0475809999999999E-3</v>
      </c>
      <c r="F79" s="6" t="s">
        <v>233</v>
      </c>
      <c r="G79" s="6" t="s">
        <v>234</v>
      </c>
      <c r="H79" s="6">
        <v>3</v>
      </c>
    </row>
    <row r="80" spans="1:8" ht="30" x14ac:dyDescent="0.25">
      <c r="A80" s="17" t="s">
        <v>401</v>
      </c>
      <c r="B80" s="17" t="s">
        <v>401</v>
      </c>
      <c r="C80" s="17" t="s">
        <v>346</v>
      </c>
      <c r="D80" s="17" t="s">
        <v>347</v>
      </c>
      <c r="E80" s="17">
        <v>2.10657E-4</v>
      </c>
      <c r="F80" s="6" t="s">
        <v>233</v>
      </c>
      <c r="G80" s="6" t="s">
        <v>234</v>
      </c>
      <c r="H80" s="6">
        <v>3</v>
      </c>
    </row>
    <row r="81" spans="1:8" ht="30" x14ac:dyDescent="0.25">
      <c r="A81" s="17" t="s">
        <v>402</v>
      </c>
      <c r="B81" s="17" t="s">
        <v>402</v>
      </c>
      <c r="C81" s="17" t="s">
        <v>247</v>
      </c>
      <c r="D81" s="17" t="s">
        <v>245</v>
      </c>
      <c r="E81" s="17">
        <v>1.0475809999999999E-3</v>
      </c>
      <c r="F81" s="6" t="s">
        <v>233</v>
      </c>
      <c r="G81" s="6" t="s">
        <v>234</v>
      </c>
      <c r="H81" s="6">
        <v>3</v>
      </c>
    </row>
    <row r="82" spans="1:8" ht="30" x14ac:dyDescent="0.25">
      <c r="A82" s="17" t="s">
        <v>403</v>
      </c>
      <c r="B82" s="17" t="s">
        <v>403</v>
      </c>
      <c r="C82" s="17" t="s">
        <v>250</v>
      </c>
      <c r="D82" s="17" t="s">
        <v>248</v>
      </c>
      <c r="E82" s="17">
        <v>4.3868599999999998E-4</v>
      </c>
      <c r="F82" s="6" t="s">
        <v>233</v>
      </c>
      <c r="G82" s="6" t="s">
        <v>234</v>
      </c>
      <c r="H82" s="6">
        <v>3</v>
      </c>
    </row>
    <row r="83" spans="1:8" ht="30" x14ac:dyDescent="0.25">
      <c r="A83" s="17" t="s">
        <v>404</v>
      </c>
      <c r="B83" s="17" t="s">
        <v>404</v>
      </c>
      <c r="C83" s="17" t="s">
        <v>256</v>
      </c>
      <c r="D83" s="17" t="s">
        <v>254</v>
      </c>
      <c r="E83" s="17">
        <v>8.1312799999999998E-4</v>
      </c>
      <c r="F83" s="6" t="s">
        <v>233</v>
      </c>
      <c r="G83" s="6" t="s">
        <v>234</v>
      </c>
      <c r="H83" s="6">
        <v>3</v>
      </c>
    </row>
    <row r="84" spans="1:8" ht="30" x14ac:dyDescent="0.25">
      <c r="A84" s="17" t="s">
        <v>405</v>
      </c>
      <c r="B84" s="17" t="s">
        <v>405</v>
      </c>
      <c r="C84" s="17" t="s">
        <v>250</v>
      </c>
      <c r="D84" s="17" t="s">
        <v>248</v>
      </c>
      <c r="E84" s="17">
        <v>4.3868599999999998E-4</v>
      </c>
      <c r="F84" s="6" t="s">
        <v>233</v>
      </c>
      <c r="G84" s="6" t="s">
        <v>234</v>
      </c>
      <c r="H84" s="6">
        <v>3</v>
      </c>
    </row>
    <row r="85" spans="1:8" ht="30" x14ac:dyDescent="0.25">
      <c r="A85" s="17" t="s">
        <v>406</v>
      </c>
      <c r="B85" s="17" t="s">
        <v>406</v>
      </c>
      <c r="C85" s="17" t="s">
        <v>407</v>
      </c>
      <c r="D85" s="17" t="s">
        <v>408</v>
      </c>
      <c r="E85" s="17">
        <v>1.6713599999999999E-4</v>
      </c>
      <c r="F85" s="6" t="s">
        <v>233</v>
      </c>
      <c r="G85" s="6" t="s">
        <v>234</v>
      </c>
      <c r="H85" s="6">
        <v>3</v>
      </c>
    </row>
    <row r="86" spans="1:8" ht="30" x14ac:dyDescent="0.25">
      <c r="A86" s="17" t="s">
        <v>409</v>
      </c>
      <c r="B86" s="17" t="s">
        <v>409</v>
      </c>
      <c r="C86" s="17" t="s">
        <v>346</v>
      </c>
      <c r="D86" s="17" t="s">
        <v>347</v>
      </c>
      <c r="E86" s="17">
        <v>2.10657E-4</v>
      </c>
      <c r="F86" s="6" t="s">
        <v>233</v>
      </c>
      <c r="G86" s="6" t="s">
        <v>234</v>
      </c>
      <c r="H86" s="6">
        <v>3</v>
      </c>
    </row>
    <row r="87" spans="1:8" ht="30" x14ac:dyDescent="0.25">
      <c r="A87" s="17" t="s">
        <v>410</v>
      </c>
      <c r="B87" s="17" t="s">
        <v>410</v>
      </c>
      <c r="C87" s="17" t="s">
        <v>353</v>
      </c>
      <c r="D87" s="17" t="s">
        <v>354</v>
      </c>
      <c r="E87" s="17">
        <v>2.78752E-4</v>
      </c>
      <c r="F87" s="6" t="s">
        <v>233</v>
      </c>
      <c r="G87" s="6" t="s">
        <v>234</v>
      </c>
      <c r="H87" s="6">
        <v>3</v>
      </c>
    </row>
    <row r="88" spans="1:8" ht="30" x14ac:dyDescent="0.25">
      <c r="A88" s="17" t="s">
        <v>411</v>
      </c>
      <c r="B88" s="17" t="s">
        <v>411</v>
      </c>
      <c r="C88" s="17" t="s">
        <v>271</v>
      </c>
      <c r="D88" s="17" t="s">
        <v>269</v>
      </c>
      <c r="E88" s="17">
        <v>5.2359699999999999E-4</v>
      </c>
      <c r="F88" s="6" t="s">
        <v>233</v>
      </c>
      <c r="G88" s="6" t="s">
        <v>234</v>
      </c>
      <c r="H88" s="6">
        <v>3</v>
      </c>
    </row>
    <row r="89" spans="1:8" ht="30" x14ac:dyDescent="0.25">
      <c r="A89" s="17" t="s">
        <v>412</v>
      </c>
      <c r="B89" s="17" t="s">
        <v>412</v>
      </c>
      <c r="C89" s="17" t="s">
        <v>413</v>
      </c>
      <c r="D89" s="17" t="s">
        <v>414</v>
      </c>
      <c r="E89" s="17">
        <v>3.1322199999999999E-4</v>
      </c>
      <c r="F89" s="6" t="s">
        <v>233</v>
      </c>
      <c r="G89" s="6" t="s">
        <v>234</v>
      </c>
      <c r="H89" s="6">
        <v>3</v>
      </c>
    </row>
    <row r="90" spans="1:8" ht="30" x14ac:dyDescent="0.25">
      <c r="A90" s="17" t="s">
        <v>415</v>
      </c>
      <c r="B90" s="17" t="s">
        <v>415</v>
      </c>
      <c r="C90" s="17" t="s">
        <v>271</v>
      </c>
      <c r="D90" s="17" t="s">
        <v>269</v>
      </c>
      <c r="E90" s="17">
        <v>5.2359699999999999E-4</v>
      </c>
      <c r="F90" s="6" t="s">
        <v>233</v>
      </c>
      <c r="G90" s="6" t="s">
        <v>234</v>
      </c>
      <c r="H90" s="6">
        <v>3</v>
      </c>
    </row>
    <row r="91" spans="1:8" ht="30" x14ac:dyDescent="0.25">
      <c r="A91" s="17" t="s">
        <v>416</v>
      </c>
      <c r="B91" s="17" t="s">
        <v>416</v>
      </c>
      <c r="C91" s="17" t="s">
        <v>250</v>
      </c>
      <c r="D91" s="17" t="s">
        <v>248</v>
      </c>
      <c r="E91" s="17">
        <v>4.3868599999999998E-4</v>
      </c>
      <c r="F91" s="6" t="s">
        <v>233</v>
      </c>
      <c r="G91" s="6" t="s">
        <v>234</v>
      </c>
      <c r="H91" s="6">
        <v>3</v>
      </c>
    </row>
    <row r="92" spans="1:8" ht="30" x14ac:dyDescent="0.25">
      <c r="A92" s="17" t="s">
        <v>417</v>
      </c>
      <c r="B92" s="17" t="s">
        <v>417</v>
      </c>
      <c r="C92" s="17" t="s">
        <v>256</v>
      </c>
      <c r="D92" s="17" t="s">
        <v>254</v>
      </c>
      <c r="E92" s="17">
        <v>8.1312799999999998E-4</v>
      </c>
      <c r="F92" s="6" t="s">
        <v>233</v>
      </c>
      <c r="G92" s="6" t="s">
        <v>234</v>
      </c>
      <c r="H92" s="6">
        <v>3</v>
      </c>
    </row>
    <row r="93" spans="1:8" ht="30" x14ac:dyDescent="0.25">
      <c r="A93" s="17" t="s">
        <v>418</v>
      </c>
      <c r="B93" s="17" t="s">
        <v>418</v>
      </c>
      <c r="C93" s="17" t="s">
        <v>256</v>
      </c>
      <c r="D93" s="17" t="s">
        <v>254</v>
      </c>
      <c r="E93" s="17">
        <v>8.1312799999999998E-4</v>
      </c>
      <c r="F93" s="6" t="s">
        <v>233</v>
      </c>
      <c r="G93" s="6" t="s">
        <v>234</v>
      </c>
      <c r="H93" s="6">
        <v>3</v>
      </c>
    </row>
    <row r="94" spans="1:8" ht="45" x14ac:dyDescent="0.25">
      <c r="A94" s="17" t="s">
        <v>419</v>
      </c>
      <c r="B94" s="17" t="s">
        <v>419</v>
      </c>
      <c r="C94" s="17" t="s">
        <v>256</v>
      </c>
      <c r="D94" s="17" t="s">
        <v>254</v>
      </c>
      <c r="E94" s="17">
        <v>8.1312799999999998E-4</v>
      </c>
      <c r="F94" s="6" t="s">
        <v>233</v>
      </c>
      <c r="G94" s="6" t="s">
        <v>234</v>
      </c>
      <c r="H94" s="6">
        <v>3</v>
      </c>
    </row>
    <row r="95" spans="1:8" ht="30" x14ac:dyDescent="0.25">
      <c r="A95" s="17" t="s">
        <v>420</v>
      </c>
      <c r="B95" s="17" t="s">
        <v>420</v>
      </c>
      <c r="C95" s="17" t="s">
        <v>346</v>
      </c>
      <c r="D95" s="17" t="s">
        <v>347</v>
      </c>
      <c r="E95" s="17">
        <v>2.10657E-4</v>
      </c>
      <c r="F95" s="6" t="s">
        <v>233</v>
      </c>
      <c r="G95" s="6" t="s">
        <v>234</v>
      </c>
      <c r="H95" s="6">
        <v>3</v>
      </c>
    </row>
    <row r="96" spans="1:8" ht="30" x14ac:dyDescent="0.25">
      <c r="A96" s="17" t="s">
        <v>421</v>
      </c>
      <c r="B96" s="17" t="s">
        <v>421</v>
      </c>
      <c r="C96" s="17" t="s">
        <v>256</v>
      </c>
      <c r="D96" s="17" t="s">
        <v>254</v>
      </c>
      <c r="E96" s="17">
        <v>8.1312799999999998E-4</v>
      </c>
      <c r="F96" s="6" t="s">
        <v>233</v>
      </c>
      <c r="G96" s="6" t="s">
        <v>234</v>
      </c>
      <c r="H96" s="6">
        <v>3</v>
      </c>
    </row>
    <row r="97" spans="1:8" ht="30" x14ac:dyDescent="0.25">
      <c r="A97" s="17" t="s">
        <v>422</v>
      </c>
      <c r="B97" s="17" t="s">
        <v>422</v>
      </c>
      <c r="C97" s="17" t="s">
        <v>247</v>
      </c>
      <c r="D97" s="17" t="s">
        <v>245</v>
      </c>
      <c r="E97" s="17">
        <v>1.0475809999999999E-3</v>
      </c>
      <c r="F97" s="6" t="s">
        <v>233</v>
      </c>
      <c r="G97" s="6" t="s">
        <v>234</v>
      </c>
      <c r="H97" s="6">
        <v>3</v>
      </c>
    </row>
    <row r="98" spans="1:8" ht="30" x14ac:dyDescent="0.25">
      <c r="A98" s="17" t="s">
        <v>423</v>
      </c>
      <c r="B98" s="17" t="s">
        <v>423</v>
      </c>
      <c r="C98" s="17" t="s">
        <v>250</v>
      </c>
      <c r="D98" s="17" t="s">
        <v>248</v>
      </c>
      <c r="E98" s="17">
        <v>4.3868599999999998E-4</v>
      </c>
      <c r="F98" s="6" t="s">
        <v>233</v>
      </c>
      <c r="G98" s="6" t="s">
        <v>234</v>
      </c>
      <c r="H98" s="6">
        <v>3</v>
      </c>
    </row>
    <row r="99" spans="1:8" ht="30" x14ac:dyDescent="0.25">
      <c r="A99" s="17" t="s">
        <v>424</v>
      </c>
      <c r="B99" s="17" t="s">
        <v>424</v>
      </c>
      <c r="C99" s="17" t="s">
        <v>346</v>
      </c>
      <c r="D99" s="17" t="s">
        <v>347</v>
      </c>
      <c r="E99" s="17">
        <v>2.10657E-4</v>
      </c>
      <c r="F99" s="6" t="s">
        <v>233</v>
      </c>
      <c r="G99" s="6" t="s">
        <v>234</v>
      </c>
      <c r="H99" s="6">
        <v>3</v>
      </c>
    </row>
    <row r="100" spans="1:8" ht="30" x14ac:dyDescent="0.25">
      <c r="A100" s="17" t="s">
        <v>425</v>
      </c>
      <c r="B100" s="17" t="s">
        <v>425</v>
      </c>
      <c r="C100" s="17" t="s">
        <v>413</v>
      </c>
      <c r="D100" s="17" t="s">
        <v>414</v>
      </c>
      <c r="E100" s="17">
        <v>3.1322199999999999E-4</v>
      </c>
      <c r="F100" s="6" t="s">
        <v>233</v>
      </c>
      <c r="G100" s="6" t="s">
        <v>234</v>
      </c>
      <c r="H100" s="6">
        <v>3</v>
      </c>
    </row>
    <row r="101" spans="1:8" ht="30" x14ac:dyDescent="0.25">
      <c r="A101" s="17" t="s">
        <v>426</v>
      </c>
      <c r="B101" s="17" t="s">
        <v>426</v>
      </c>
      <c r="C101" s="17" t="s">
        <v>256</v>
      </c>
      <c r="D101" s="17" t="s">
        <v>254</v>
      </c>
      <c r="E101" s="17">
        <v>8.1312799999999998E-4</v>
      </c>
      <c r="F101" s="6" t="s">
        <v>233</v>
      </c>
      <c r="G101" s="6" t="s">
        <v>234</v>
      </c>
      <c r="H101" s="6">
        <v>3</v>
      </c>
    </row>
    <row r="102" spans="1:8" ht="30" x14ac:dyDescent="0.25">
      <c r="A102" s="17" t="s">
        <v>427</v>
      </c>
      <c r="B102" s="17" t="s">
        <v>427</v>
      </c>
      <c r="C102" s="17" t="s">
        <v>346</v>
      </c>
      <c r="D102" s="17" t="s">
        <v>347</v>
      </c>
      <c r="E102" s="17">
        <v>2.10657E-4</v>
      </c>
      <c r="F102" s="6" t="s">
        <v>233</v>
      </c>
      <c r="G102" s="6" t="s">
        <v>234</v>
      </c>
      <c r="H102" s="6">
        <v>3</v>
      </c>
    </row>
    <row r="103" spans="1:8" ht="30" x14ac:dyDescent="0.25">
      <c r="A103" s="17" t="s">
        <v>428</v>
      </c>
      <c r="B103" s="17" t="s">
        <v>428</v>
      </c>
      <c r="C103" s="17" t="s">
        <v>407</v>
      </c>
      <c r="D103" s="17" t="s">
        <v>408</v>
      </c>
      <c r="E103" s="17">
        <v>1.6713599999999999E-4</v>
      </c>
      <c r="F103" s="6" t="s">
        <v>233</v>
      </c>
      <c r="G103" s="6" t="s">
        <v>234</v>
      </c>
      <c r="H103" s="6">
        <v>3</v>
      </c>
    </row>
    <row r="104" spans="1:8" ht="30" x14ac:dyDescent="0.25">
      <c r="A104" s="17" t="s">
        <v>429</v>
      </c>
      <c r="B104" s="17" t="s">
        <v>429</v>
      </c>
      <c r="C104" s="17" t="s">
        <v>247</v>
      </c>
      <c r="D104" s="17" t="s">
        <v>245</v>
      </c>
      <c r="E104" s="17">
        <v>1.0475809999999999E-3</v>
      </c>
      <c r="F104" s="6" t="s">
        <v>233</v>
      </c>
      <c r="G104" s="6" t="s">
        <v>234</v>
      </c>
      <c r="H104" s="6">
        <v>3</v>
      </c>
    </row>
    <row r="105" spans="1:8" ht="60" x14ac:dyDescent="0.25">
      <c r="A105" s="17" t="s">
        <v>430</v>
      </c>
      <c r="B105" s="17" t="s">
        <v>430</v>
      </c>
      <c r="C105" s="17" t="s">
        <v>271</v>
      </c>
      <c r="D105" s="17" t="s">
        <v>269</v>
      </c>
      <c r="E105" s="17">
        <v>5.2359699999999999E-4</v>
      </c>
      <c r="F105" s="6" t="s">
        <v>233</v>
      </c>
      <c r="G105" s="6" t="s">
        <v>234</v>
      </c>
      <c r="H105" s="6">
        <v>3</v>
      </c>
    </row>
    <row r="106" spans="1:8" ht="30" x14ac:dyDescent="0.25">
      <c r="A106" s="17" t="s">
        <v>431</v>
      </c>
      <c r="B106" s="17" t="s">
        <v>431</v>
      </c>
      <c r="C106" s="17" t="s">
        <v>265</v>
      </c>
      <c r="D106" s="17" t="s">
        <v>263</v>
      </c>
      <c r="E106" s="17">
        <v>3.0449399999999999E-4</v>
      </c>
      <c r="F106" s="6" t="s">
        <v>233</v>
      </c>
      <c r="G106" s="6" t="s">
        <v>234</v>
      </c>
      <c r="H106" s="6">
        <v>3</v>
      </c>
    </row>
    <row r="107" spans="1:8" ht="30" x14ac:dyDescent="0.25">
      <c r="A107" s="17" t="s">
        <v>432</v>
      </c>
      <c r="B107" s="17" t="s">
        <v>432</v>
      </c>
      <c r="C107" s="17" t="s">
        <v>265</v>
      </c>
      <c r="D107" s="17" t="s">
        <v>263</v>
      </c>
      <c r="E107" s="17">
        <v>3.0449399999999999E-4</v>
      </c>
      <c r="F107" s="6" t="s">
        <v>233</v>
      </c>
      <c r="G107" s="6" t="s">
        <v>234</v>
      </c>
      <c r="H107" s="6">
        <v>3</v>
      </c>
    </row>
    <row r="108" spans="1:8" ht="30" x14ac:dyDescent="0.25">
      <c r="A108" s="17" t="s">
        <v>433</v>
      </c>
      <c r="B108" s="17" t="s">
        <v>433</v>
      </c>
      <c r="C108" s="17" t="s">
        <v>265</v>
      </c>
      <c r="D108" s="17" t="s">
        <v>263</v>
      </c>
      <c r="E108" s="17">
        <v>3.0449399999999999E-4</v>
      </c>
      <c r="F108" s="6" t="s">
        <v>233</v>
      </c>
      <c r="G108" s="6" t="s">
        <v>234</v>
      </c>
      <c r="H108" s="6">
        <v>3</v>
      </c>
    </row>
    <row r="109" spans="1:8" ht="30" x14ac:dyDescent="0.25">
      <c r="A109" s="17" t="s">
        <v>434</v>
      </c>
      <c r="B109" s="17" t="s">
        <v>434</v>
      </c>
      <c r="C109" s="17" t="s">
        <v>256</v>
      </c>
      <c r="D109" s="17" t="s">
        <v>254</v>
      </c>
      <c r="E109" s="17">
        <v>8.1312799999999998E-4</v>
      </c>
      <c r="F109" s="6" t="s">
        <v>233</v>
      </c>
      <c r="G109" s="6" t="s">
        <v>234</v>
      </c>
      <c r="H109" s="6">
        <v>3</v>
      </c>
    </row>
    <row r="110" spans="1:8" ht="30" x14ac:dyDescent="0.25">
      <c r="A110" s="17" t="s">
        <v>435</v>
      </c>
      <c r="B110" s="17" t="s">
        <v>435</v>
      </c>
      <c r="C110" s="17" t="s">
        <v>247</v>
      </c>
      <c r="D110" s="17" t="s">
        <v>245</v>
      </c>
      <c r="E110" s="17">
        <v>1.0475809999999999E-3</v>
      </c>
      <c r="F110" s="6" t="s">
        <v>233</v>
      </c>
      <c r="G110" s="6" t="s">
        <v>234</v>
      </c>
      <c r="H110" s="6">
        <v>3</v>
      </c>
    </row>
    <row r="111" spans="1:8" ht="30" x14ac:dyDescent="0.25">
      <c r="A111" s="17" t="s">
        <v>436</v>
      </c>
      <c r="B111" s="17" t="s">
        <v>436</v>
      </c>
      <c r="C111" s="17" t="s">
        <v>247</v>
      </c>
      <c r="D111" s="17" t="s">
        <v>245</v>
      </c>
      <c r="E111" s="17">
        <v>1.0475809999999999E-3</v>
      </c>
      <c r="F111" s="6" t="s">
        <v>233</v>
      </c>
      <c r="G111" s="6" t="s">
        <v>234</v>
      </c>
      <c r="H111" s="6">
        <v>3</v>
      </c>
    </row>
    <row r="112" spans="1:8" ht="30" x14ac:dyDescent="0.25">
      <c r="A112" s="17" t="s">
        <v>437</v>
      </c>
      <c r="B112" s="17" t="s">
        <v>437</v>
      </c>
      <c r="C112" s="17" t="s">
        <v>256</v>
      </c>
      <c r="D112" s="17" t="s">
        <v>254</v>
      </c>
      <c r="E112" s="17">
        <v>8.1312799999999998E-4</v>
      </c>
      <c r="F112" s="6" t="s">
        <v>233</v>
      </c>
      <c r="G112" s="6" t="s">
        <v>234</v>
      </c>
      <c r="H112" s="6">
        <v>3</v>
      </c>
    </row>
    <row r="113" spans="1:8" ht="30" x14ac:dyDescent="0.25">
      <c r="A113" s="17" t="s">
        <v>438</v>
      </c>
      <c r="B113" s="17" t="s">
        <v>438</v>
      </c>
      <c r="C113" s="17" t="s">
        <v>247</v>
      </c>
      <c r="D113" s="17" t="s">
        <v>245</v>
      </c>
      <c r="E113" s="17">
        <v>1.0475809999999999E-3</v>
      </c>
      <c r="F113" s="6" t="s">
        <v>233</v>
      </c>
      <c r="G113" s="6" t="s">
        <v>234</v>
      </c>
      <c r="H113" s="6">
        <v>3</v>
      </c>
    </row>
    <row r="114" spans="1:8" ht="30" x14ac:dyDescent="0.25">
      <c r="A114" s="17" t="s">
        <v>439</v>
      </c>
      <c r="B114" s="17" t="s">
        <v>439</v>
      </c>
      <c r="C114" s="17" t="s">
        <v>256</v>
      </c>
      <c r="D114" s="17" t="s">
        <v>254</v>
      </c>
      <c r="E114" s="17">
        <v>8.1312799999999998E-4</v>
      </c>
      <c r="F114" s="6" t="s">
        <v>233</v>
      </c>
      <c r="G114" s="6" t="s">
        <v>234</v>
      </c>
      <c r="H114" s="6">
        <v>3</v>
      </c>
    </row>
    <row r="115" spans="1:8" ht="30" x14ac:dyDescent="0.25">
      <c r="A115" s="17" t="s">
        <v>440</v>
      </c>
      <c r="B115" s="17" t="s">
        <v>440</v>
      </c>
      <c r="C115" s="17" t="s">
        <v>346</v>
      </c>
      <c r="D115" s="17" t="s">
        <v>347</v>
      </c>
      <c r="E115" s="17">
        <v>2.10657E-4</v>
      </c>
      <c r="F115" s="6" t="s">
        <v>233</v>
      </c>
      <c r="G115" s="6" t="s">
        <v>234</v>
      </c>
      <c r="H115" s="6">
        <v>3</v>
      </c>
    </row>
    <row r="116" spans="1:8" ht="30" x14ac:dyDescent="0.25">
      <c r="A116" s="17" t="s">
        <v>441</v>
      </c>
      <c r="B116" s="17" t="s">
        <v>441</v>
      </c>
      <c r="C116" s="17" t="s">
        <v>265</v>
      </c>
      <c r="D116" s="17" t="s">
        <v>263</v>
      </c>
      <c r="E116" s="17">
        <v>3.0449399999999999E-4</v>
      </c>
      <c r="F116" s="6" t="s">
        <v>233</v>
      </c>
      <c r="G116" s="6" t="s">
        <v>234</v>
      </c>
      <c r="H116" s="6">
        <v>3</v>
      </c>
    </row>
    <row r="117" spans="1:8" ht="30" x14ac:dyDescent="0.25">
      <c r="A117" s="17" t="s">
        <v>442</v>
      </c>
      <c r="B117" s="17" t="s">
        <v>442</v>
      </c>
      <c r="C117" s="17" t="s">
        <v>346</v>
      </c>
      <c r="D117" s="17" t="s">
        <v>347</v>
      </c>
      <c r="E117" s="17">
        <v>2.10657E-4</v>
      </c>
      <c r="F117" s="6" t="s">
        <v>233</v>
      </c>
      <c r="G117" s="6" t="s">
        <v>234</v>
      </c>
      <c r="H117" s="6">
        <v>3</v>
      </c>
    </row>
    <row r="118" spans="1:8" ht="30" x14ac:dyDescent="0.25">
      <c r="A118" s="17" t="s">
        <v>443</v>
      </c>
      <c r="B118" s="17" t="s">
        <v>443</v>
      </c>
      <c r="C118" s="17" t="s">
        <v>247</v>
      </c>
      <c r="D118" s="17" t="s">
        <v>245</v>
      </c>
      <c r="E118" s="17">
        <v>1.0475809999999999E-3</v>
      </c>
      <c r="F118" s="6" t="s">
        <v>233</v>
      </c>
      <c r="G118" s="6" t="s">
        <v>234</v>
      </c>
      <c r="H118" s="6">
        <v>3</v>
      </c>
    </row>
    <row r="119" spans="1:8" ht="30" x14ac:dyDescent="0.25">
      <c r="A119" s="17" t="s">
        <v>444</v>
      </c>
      <c r="B119" s="17" t="s">
        <v>444</v>
      </c>
      <c r="C119" s="17" t="s">
        <v>247</v>
      </c>
      <c r="D119" s="17" t="s">
        <v>245</v>
      </c>
      <c r="E119" s="17">
        <v>1.0475809999999999E-3</v>
      </c>
      <c r="F119" s="6" t="s">
        <v>233</v>
      </c>
      <c r="G119" s="6" t="s">
        <v>234</v>
      </c>
      <c r="H119" s="6">
        <v>3</v>
      </c>
    </row>
    <row r="120" spans="1:8" ht="30" x14ac:dyDescent="0.25">
      <c r="A120" s="17" t="s">
        <v>445</v>
      </c>
      <c r="B120" s="17" t="s">
        <v>445</v>
      </c>
      <c r="C120" s="17" t="s">
        <v>346</v>
      </c>
      <c r="D120" s="17" t="s">
        <v>347</v>
      </c>
      <c r="E120" s="17">
        <v>2.10657E-4</v>
      </c>
      <c r="F120" s="6" t="s">
        <v>233</v>
      </c>
      <c r="G120" s="6" t="s">
        <v>234</v>
      </c>
      <c r="H120" s="6">
        <v>3</v>
      </c>
    </row>
    <row r="121" spans="1:8" ht="30" x14ac:dyDescent="0.25">
      <c r="A121" s="17" t="s">
        <v>446</v>
      </c>
      <c r="B121" s="17" t="s">
        <v>446</v>
      </c>
      <c r="C121" s="17" t="s">
        <v>346</v>
      </c>
      <c r="D121" s="17" t="s">
        <v>347</v>
      </c>
      <c r="E121" s="17">
        <v>2.10657E-4</v>
      </c>
      <c r="F121" s="6" t="s">
        <v>233</v>
      </c>
      <c r="G121" s="6" t="s">
        <v>234</v>
      </c>
      <c r="H121" s="6">
        <v>3</v>
      </c>
    </row>
    <row r="122" spans="1:8" ht="30" x14ac:dyDescent="0.25">
      <c r="A122" s="17" t="s">
        <v>447</v>
      </c>
      <c r="B122" s="17" t="s">
        <v>447</v>
      </c>
      <c r="C122" s="17" t="s">
        <v>346</v>
      </c>
      <c r="D122" s="17" t="s">
        <v>347</v>
      </c>
      <c r="E122" s="17">
        <v>2.10657E-4</v>
      </c>
      <c r="F122" s="6" t="s">
        <v>233</v>
      </c>
      <c r="G122" s="6" t="s">
        <v>234</v>
      </c>
      <c r="H122" s="6">
        <v>3</v>
      </c>
    </row>
    <row r="123" spans="1:8" ht="30" x14ac:dyDescent="0.25">
      <c r="A123" s="17" t="s">
        <v>448</v>
      </c>
      <c r="B123" s="17" t="s">
        <v>448</v>
      </c>
      <c r="C123" s="17" t="s">
        <v>256</v>
      </c>
      <c r="D123" s="17" t="s">
        <v>254</v>
      </c>
      <c r="E123" s="17">
        <v>8.1312799999999998E-4</v>
      </c>
      <c r="F123" s="6" t="s">
        <v>233</v>
      </c>
      <c r="G123" s="6" t="s">
        <v>234</v>
      </c>
      <c r="H123" s="6">
        <v>3</v>
      </c>
    </row>
    <row r="124" spans="1:8" ht="30" x14ac:dyDescent="0.25">
      <c r="A124" s="17" t="s">
        <v>449</v>
      </c>
      <c r="B124" s="17" t="s">
        <v>449</v>
      </c>
      <c r="C124" s="17" t="s">
        <v>310</v>
      </c>
      <c r="D124" s="17" t="s">
        <v>308</v>
      </c>
      <c r="E124" s="17">
        <v>5.3341800000000002E-4</v>
      </c>
      <c r="F124" s="6" t="s">
        <v>233</v>
      </c>
      <c r="G124" s="6" t="s">
        <v>234</v>
      </c>
      <c r="H124" s="6">
        <v>3</v>
      </c>
    </row>
    <row r="125" spans="1:8" ht="30" x14ac:dyDescent="0.25">
      <c r="A125" s="17" t="s">
        <v>450</v>
      </c>
      <c r="B125" s="17" t="s">
        <v>450</v>
      </c>
      <c r="C125" s="17" t="s">
        <v>265</v>
      </c>
      <c r="D125" s="17" t="s">
        <v>263</v>
      </c>
      <c r="E125" s="17">
        <v>3.0449399999999999E-4</v>
      </c>
      <c r="F125" s="6" t="s">
        <v>233</v>
      </c>
      <c r="G125" s="6" t="s">
        <v>234</v>
      </c>
      <c r="H125" s="6">
        <v>3</v>
      </c>
    </row>
    <row r="126" spans="1:8" ht="30" x14ac:dyDescent="0.25">
      <c r="A126" s="17" t="s">
        <v>451</v>
      </c>
      <c r="B126" s="17" t="s">
        <v>451</v>
      </c>
      <c r="C126" s="17" t="s">
        <v>265</v>
      </c>
      <c r="D126" s="17" t="s">
        <v>263</v>
      </c>
      <c r="E126" s="17">
        <v>3.0449399999999999E-4</v>
      </c>
      <c r="F126" s="6" t="s">
        <v>233</v>
      </c>
      <c r="G126" s="6" t="s">
        <v>234</v>
      </c>
      <c r="H126" s="6">
        <v>3</v>
      </c>
    </row>
    <row r="127" spans="1:8" ht="60" x14ac:dyDescent="0.25">
      <c r="A127" s="17" t="s">
        <v>452</v>
      </c>
      <c r="B127" s="17" t="s">
        <v>452</v>
      </c>
      <c r="C127" s="17" t="s">
        <v>247</v>
      </c>
      <c r="D127" s="17" t="s">
        <v>245</v>
      </c>
      <c r="E127" s="17">
        <v>1.0475809999999999E-3</v>
      </c>
      <c r="F127" s="6" t="s">
        <v>233</v>
      </c>
      <c r="G127" s="6" t="s">
        <v>234</v>
      </c>
      <c r="H127" s="6">
        <v>3</v>
      </c>
    </row>
    <row r="128" spans="1:8" ht="30" x14ac:dyDescent="0.25">
      <c r="A128" s="17" t="s">
        <v>453</v>
      </c>
      <c r="B128" s="17" t="s">
        <v>453</v>
      </c>
      <c r="C128" s="17" t="s">
        <v>250</v>
      </c>
      <c r="D128" s="17" t="s">
        <v>248</v>
      </c>
      <c r="E128" s="17">
        <v>4.3868599999999998E-4</v>
      </c>
      <c r="F128" s="6" t="s">
        <v>233</v>
      </c>
      <c r="G128" s="6" t="s">
        <v>234</v>
      </c>
      <c r="H128" s="6">
        <v>3</v>
      </c>
    </row>
    <row r="129" spans="1:8" ht="30" x14ac:dyDescent="0.25">
      <c r="A129" s="17" t="s">
        <v>454</v>
      </c>
      <c r="B129" s="17" t="s">
        <v>454</v>
      </c>
      <c r="C129" s="17" t="s">
        <v>271</v>
      </c>
      <c r="D129" s="17" t="s">
        <v>269</v>
      </c>
      <c r="E129" s="17">
        <v>5.2359699999999999E-4</v>
      </c>
      <c r="F129" s="6" t="s">
        <v>233</v>
      </c>
      <c r="G129" s="6" t="s">
        <v>234</v>
      </c>
      <c r="H129" s="6">
        <v>3</v>
      </c>
    </row>
    <row r="130" spans="1:8" ht="30" x14ac:dyDescent="0.25">
      <c r="A130" s="17" t="s">
        <v>455</v>
      </c>
      <c r="B130" s="17" t="s">
        <v>455</v>
      </c>
      <c r="C130" s="17" t="s">
        <v>271</v>
      </c>
      <c r="D130" s="17" t="s">
        <v>269</v>
      </c>
      <c r="E130" s="17">
        <v>5.2359699999999999E-4</v>
      </c>
      <c r="F130" s="6" t="s">
        <v>233</v>
      </c>
      <c r="G130" s="6" t="s">
        <v>234</v>
      </c>
      <c r="H130" s="6">
        <v>3</v>
      </c>
    </row>
    <row r="131" spans="1:8" ht="30" x14ac:dyDescent="0.25">
      <c r="A131" s="17" t="s">
        <v>456</v>
      </c>
      <c r="B131" s="17" t="s">
        <v>456</v>
      </c>
      <c r="C131" s="17" t="s">
        <v>256</v>
      </c>
      <c r="D131" s="17" t="s">
        <v>254</v>
      </c>
      <c r="E131" s="17">
        <v>8.1312799999999998E-4</v>
      </c>
      <c r="F131" s="6" t="s">
        <v>233</v>
      </c>
      <c r="G131" s="6" t="s">
        <v>234</v>
      </c>
      <c r="H131" s="6">
        <v>3</v>
      </c>
    </row>
    <row r="132" spans="1:8" ht="30" x14ac:dyDescent="0.25">
      <c r="A132" s="17" t="s">
        <v>457</v>
      </c>
      <c r="B132" s="17" t="s">
        <v>457</v>
      </c>
      <c r="C132" s="17" t="s">
        <v>247</v>
      </c>
      <c r="D132" s="17" t="s">
        <v>245</v>
      </c>
      <c r="E132" s="17">
        <v>1.0475809999999999E-3</v>
      </c>
      <c r="F132" s="6" t="s">
        <v>233</v>
      </c>
      <c r="G132" s="6" t="s">
        <v>234</v>
      </c>
      <c r="H132" s="6">
        <v>3</v>
      </c>
    </row>
    <row r="133" spans="1:8" ht="30" x14ac:dyDescent="0.25">
      <c r="A133" s="17" t="s">
        <v>458</v>
      </c>
      <c r="B133" s="17" t="s">
        <v>458</v>
      </c>
      <c r="C133" s="17" t="s">
        <v>271</v>
      </c>
      <c r="D133" s="17" t="s">
        <v>269</v>
      </c>
      <c r="E133" s="17">
        <v>5.2359699999999999E-4</v>
      </c>
      <c r="F133" s="6" t="s">
        <v>233</v>
      </c>
      <c r="G133" s="6" t="s">
        <v>234</v>
      </c>
      <c r="H133" s="6">
        <v>3</v>
      </c>
    </row>
    <row r="134" spans="1:8" ht="30" x14ac:dyDescent="0.25">
      <c r="A134" s="17" t="s">
        <v>459</v>
      </c>
      <c r="B134" s="17" t="s">
        <v>459</v>
      </c>
      <c r="C134" s="17" t="s">
        <v>250</v>
      </c>
      <c r="D134" s="17" t="s">
        <v>248</v>
      </c>
      <c r="E134" s="17">
        <v>4.3868599999999998E-4</v>
      </c>
      <c r="F134" s="6" t="s">
        <v>233</v>
      </c>
      <c r="G134" s="6" t="s">
        <v>234</v>
      </c>
      <c r="H134" s="6">
        <v>3</v>
      </c>
    </row>
    <row r="135" spans="1:8" ht="30" x14ac:dyDescent="0.25">
      <c r="A135" s="17" t="s">
        <v>460</v>
      </c>
      <c r="B135" s="17" t="s">
        <v>460</v>
      </c>
      <c r="C135" s="17" t="s">
        <v>247</v>
      </c>
      <c r="D135" s="17" t="s">
        <v>245</v>
      </c>
      <c r="E135" s="17">
        <v>1.0475809999999999E-3</v>
      </c>
      <c r="F135" s="6" t="s">
        <v>233</v>
      </c>
      <c r="G135" s="6" t="s">
        <v>234</v>
      </c>
      <c r="H135" s="6">
        <v>3</v>
      </c>
    </row>
    <row r="136" spans="1:8" ht="30" x14ac:dyDescent="0.25">
      <c r="A136" s="17" t="s">
        <v>461</v>
      </c>
      <c r="B136" s="17" t="s">
        <v>461</v>
      </c>
      <c r="C136" s="17" t="s">
        <v>247</v>
      </c>
      <c r="D136" s="17" t="s">
        <v>245</v>
      </c>
      <c r="E136" s="17">
        <v>1.0475809999999999E-3</v>
      </c>
      <c r="F136" s="6" t="s">
        <v>233</v>
      </c>
      <c r="G136" s="6" t="s">
        <v>234</v>
      </c>
      <c r="H136" s="6">
        <v>3</v>
      </c>
    </row>
    <row r="137" spans="1:8" ht="30" x14ac:dyDescent="0.25">
      <c r="A137" s="17" t="s">
        <v>462</v>
      </c>
      <c r="B137" s="17" t="s">
        <v>462</v>
      </c>
      <c r="C137" s="17" t="s">
        <v>265</v>
      </c>
      <c r="D137" s="17" t="s">
        <v>263</v>
      </c>
      <c r="E137" s="17">
        <v>3.0449399999999999E-4</v>
      </c>
      <c r="F137" s="6" t="s">
        <v>233</v>
      </c>
      <c r="G137" s="6" t="s">
        <v>234</v>
      </c>
      <c r="H137" s="6">
        <v>3</v>
      </c>
    </row>
    <row r="138" spans="1:8" ht="30" x14ac:dyDescent="0.25">
      <c r="A138" s="17" t="s">
        <v>463</v>
      </c>
      <c r="B138" s="17" t="s">
        <v>463</v>
      </c>
      <c r="C138" s="17" t="s">
        <v>346</v>
      </c>
      <c r="D138" s="17" t="s">
        <v>347</v>
      </c>
      <c r="E138" s="17">
        <v>2.10657E-4</v>
      </c>
      <c r="F138" s="6" t="s">
        <v>233</v>
      </c>
      <c r="G138" s="6" t="s">
        <v>234</v>
      </c>
      <c r="H138" s="6">
        <v>3</v>
      </c>
    </row>
    <row r="139" spans="1:8" ht="30" x14ac:dyDescent="0.25">
      <c r="A139" s="17" t="s">
        <v>464</v>
      </c>
      <c r="B139" s="17" t="s">
        <v>464</v>
      </c>
      <c r="C139" s="17" t="s">
        <v>465</v>
      </c>
      <c r="D139" s="17" t="s">
        <v>466</v>
      </c>
      <c r="E139" s="17">
        <v>2.2128299999999999E-4</v>
      </c>
      <c r="F139" s="6" t="s">
        <v>233</v>
      </c>
      <c r="G139" s="6" t="s">
        <v>234</v>
      </c>
      <c r="H139" s="6">
        <v>3</v>
      </c>
    </row>
    <row r="140" spans="1:8" ht="30" x14ac:dyDescent="0.25">
      <c r="A140" s="17" t="s">
        <v>467</v>
      </c>
      <c r="B140" s="17" t="s">
        <v>467</v>
      </c>
      <c r="C140" s="17" t="s">
        <v>241</v>
      </c>
      <c r="D140" s="17" t="s">
        <v>239</v>
      </c>
      <c r="E140" s="17">
        <v>4.9712300000000003E-4</v>
      </c>
      <c r="F140" s="6" t="s">
        <v>233</v>
      </c>
      <c r="G140" s="6" t="s">
        <v>234</v>
      </c>
      <c r="H140" s="6">
        <v>3</v>
      </c>
    </row>
    <row r="141" spans="1:8" ht="30" x14ac:dyDescent="0.25">
      <c r="A141" s="17" t="s">
        <v>468</v>
      </c>
      <c r="B141" s="17" t="s">
        <v>468</v>
      </c>
      <c r="C141" s="17" t="s">
        <v>280</v>
      </c>
      <c r="D141" s="17" t="s">
        <v>278</v>
      </c>
      <c r="E141" s="17">
        <v>6.2829699999999999E-4</v>
      </c>
      <c r="F141" s="6" t="s">
        <v>233</v>
      </c>
      <c r="G141" s="6" t="s">
        <v>234</v>
      </c>
      <c r="H141" s="6">
        <v>3</v>
      </c>
    </row>
    <row r="142" spans="1:8" ht="30" x14ac:dyDescent="0.25">
      <c r="A142" s="17" t="s">
        <v>469</v>
      </c>
      <c r="B142" s="17" t="s">
        <v>469</v>
      </c>
      <c r="C142" s="17" t="s">
        <v>353</v>
      </c>
      <c r="D142" s="17" t="s">
        <v>354</v>
      </c>
      <c r="E142" s="17">
        <v>2.78752E-4</v>
      </c>
      <c r="F142" s="6" t="s">
        <v>233</v>
      </c>
      <c r="G142" s="6" t="s">
        <v>234</v>
      </c>
      <c r="H142" s="6">
        <v>3</v>
      </c>
    </row>
    <row r="143" spans="1:8" ht="30" x14ac:dyDescent="0.25">
      <c r="A143" s="17" t="s">
        <v>470</v>
      </c>
      <c r="B143" s="17" t="s">
        <v>470</v>
      </c>
      <c r="C143" s="17" t="s">
        <v>274</v>
      </c>
      <c r="D143" s="17" t="s">
        <v>272</v>
      </c>
      <c r="E143" s="17">
        <v>6.1713999999999996E-4</v>
      </c>
      <c r="F143" s="6" t="s">
        <v>233</v>
      </c>
      <c r="G143" s="6" t="s">
        <v>234</v>
      </c>
      <c r="H143" s="6">
        <v>3</v>
      </c>
    </row>
    <row r="144" spans="1:8" ht="30" x14ac:dyDescent="0.25">
      <c r="A144" s="17" t="s">
        <v>471</v>
      </c>
      <c r="B144" s="17" t="s">
        <v>471</v>
      </c>
      <c r="C144" s="17" t="s">
        <v>277</v>
      </c>
      <c r="D144" s="17" t="s">
        <v>275</v>
      </c>
      <c r="E144" s="17">
        <v>7.0538700000000003E-4</v>
      </c>
      <c r="F144" s="6" t="s">
        <v>233</v>
      </c>
      <c r="G144" s="6" t="s">
        <v>234</v>
      </c>
      <c r="H144" s="6">
        <v>3</v>
      </c>
    </row>
    <row r="145" spans="1:8" ht="30" x14ac:dyDescent="0.25">
      <c r="A145" s="17" t="s">
        <v>472</v>
      </c>
      <c r="B145" s="17" t="s">
        <v>472</v>
      </c>
      <c r="C145" s="17" t="s">
        <v>283</v>
      </c>
      <c r="D145" s="17" t="s">
        <v>281</v>
      </c>
      <c r="E145" s="17">
        <v>5.4019300000000001E-4</v>
      </c>
      <c r="F145" s="6" t="s">
        <v>233</v>
      </c>
      <c r="G145" s="6" t="s">
        <v>234</v>
      </c>
      <c r="H145" s="6">
        <v>3</v>
      </c>
    </row>
    <row r="146" spans="1:8" ht="30" x14ac:dyDescent="0.25">
      <c r="A146" s="17" t="s">
        <v>473</v>
      </c>
      <c r="B146" s="17" t="s">
        <v>473</v>
      </c>
      <c r="C146" s="17" t="s">
        <v>301</v>
      </c>
      <c r="D146" s="17" t="s">
        <v>299</v>
      </c>
      <c r="E146" s="17">
        <v>6.3590900000000004E-4</v>
      </c>
      <c r="F146" s="6" t="s">
        <v>233</v>
      </c>
      <c r="G146" s="6" t="s">
        <v>234</v>
      </c>
      <c r="H146" s="6">
        <v>3</v>
      </c>
    </row>
    <row r="147" spans="1:8" ht="30" x14ac:dyDescent="0.25">
      <c r="A147" s="17" t="s">
        <v>474</v>
      </c>
      <c r="B147" s="17" t="s">
        <v>474</v>
      </c>
      <c r="C147" s="17" t="s">
        <v>241</v>
      </c>
      <c r="D147" s="17" t="s">
        <v>239</v>
      </c>
      <c r="E147" s="17">
        <v>4.9712300000000003E-4</v>
      </c>
      <c r="F147" s="6" t="s">
        <v>233</v>
      </c>
      <c r="G147" s="6" t="s">
        <v>234</v>
      </c>
      <c r="H147" s="6">
        <v>3</v>
      </c>
    </row>
    <row r="148" spans="1:8" ht="30" x14ac:dyDescent="0.25">
      <c r="A148" s="17" t="s">
        <v>475</v>
      </c>
      <c r="B148" s="17" t="s">
        <v>475</v>
      </c>
      <c r="C148" s="17" t="s">
        <v>262</v>
      </c>
      <c r="D148" s="17" t="s">
        <v>260</v>
      </c>
      <c r="E148" s="17">
        <v>8.4137000000000003E-4</v>
      </c>
      <c r="F148" s="6" t="s">
        <v>233</v>
      </c>
      <c r="G148" s="6" t="s">
        <v>234</v>
      </c>
      <c r="H148" s="6">
        <v>3</v>
      </c>
    </row>
    <row r="149" spans="1:8" ht="30" x14ac:dyDescent="0.25">
      <c r="A149" s="17" t="s">
        <v>476</v>
      </c>
      <c r="B149" s="17" t="s">
        <v>476</v>
      </c>
      <c r="C149" s="17" t="s">
        <v>407</v>
      </c>
      <c r="D149" s="17" t="s">
        <v>408</v>
      </c>
      <c r="E149" s="17">
        <v>1.6713599999999999E-4</v>
      </c>
      <c r="F149" s="6" t="s">
        <v>233</v>
      </c>
      <c r="G149" s="6" t="s">
        <v>234</v>
      </c>
      <c r="H149" s="6">
        <v>3</v>
      </c>
    </row>
    <row r="150" spans="1:8" ht="30" x14ac:dyDescent="0.25">
      <c r="A150" s="17" t="s">
        <v>477</v>
      </c>
      <c r="B150" s="17" t="s">
        <v>477</v>
      </c>
      <c r="C150" s="17" t="s">
        <v>301</v>
      </c>
      <c r="D150" s="17" t="s">
        <v>299</v>
      </c>
      <c r="E150" s="17">
        <v>6.3590900000000004E-4</v>
      </c>
      <c r="F150" s="6" t="s">
        <v>233</v>
      </c>
      <c r="G150" s="6" t="s">
        <v>234</v>
      </c>
      <c r="H150" s="6">
        <v>3</v>
      </c>
    </row>
    <row r="151" spans="1:8" ht="30" x14ac:dyDescent="0.25">
      <c r="A151" s="17" t="s">
        <v>478</v>
      </c>
      <c r="B151" s="17" t="s">
        <v>478</v>
      </c>
      <c r="C151" s="17" t="s">
        <v>301</v>
      </c>
      <c r="D151" s="17" t="s">
        <v>299</v>
      </c>
      <c r="E151" s="17">
        <v>6.3590900000000004E-4</v>
      </c>
      <c r="F151" s="6" t="s">
        <v>233</v>
      </c>
      <c r="G151" s="6" t="s">
        <v>234</v>
      </c>
      <c r="H151" s="6">
        <v>3</v>
      </c>
    </row>
    <row r="152" spans="1:8" ht="30" x14ac:dyDescent="0.25">
      <c r="A152" s="17" t="s">
        <v>479</v>
      </c>
      <c r="B152" s="17" t="s">
        <v>479</v>
      </c>
      <c r="C152" s="17" t="s">
        <v>280</v>
      </c>
      <c r="D152" s="17" t="s">
        <v>278</v>
      </c>
      <c r="E152" s="17">
        <v>6.2829699999999999E-4</v>
      </c>
      <c r="F152" s="6" t="s">
        <v>233</v>
      </c>
      <c r="G152" s="6" t="s">
        <v>234</v>
      </c>
      <c r="H152" s="6">
        <v>3</v>
      </c>
    </row>
    <row r="153" spans="1:8" ht="30" x14ac:dyDescent="0.25">
      <c r="A153" s="17" t="s">
        <v>480</v>
      </c>
      <c r="B153" s="17" t="s">
        <v>480</v>
      </c>
      <c r="C153" s="17" t="s">
        <v>313</v>
      </c>
      <c r="D153" s="17" t="s">
        <v>311</v>
      </c>
      <c r="E153" s="17">
        <v>4.5576999999999998E-4</v>
      </c>
      <c r="F153" s="6" t="s">
        <v>233</v>
      </c>
      <c r="G153" s="6" t="s">
        <v>234</v>
      </c>
      <c r="H153" s="6">
        <v>3</v>
      </c>
    </row>
    <row r="154" spans="1:8" ht="30" x14ac:dyDescent="0.25">
      <c r="A154" s="6" t="s">
        <v>481</v>
      </c>
      <c r="B154" s="6" t="s">
        <v>481</v>
      </c>
      <c r="C154" s="17" t="s">
        <v>313</v>
      </c>
      <c r="D154" s="17" t="s">
        <v>311</v>
      </c>
      <c r="E154" s="17">
        <v>4.5576999999999998E-4</v>
      </c>
      <c r="F154" s="6" t="s">
        <v>233</v>
      </c>
      <c r="G154" s="6" t="s">
        <v>234</v>
      </c>
      <c r="H154" s="6">
        <v>3</v>
      </c>
    </row>
    <row r="155" spans="1:8" ht="30" x14ac:dyDescent="0.25">
      <c r="A155" s="17" t="s">
        <v>482</v>
      </c>
      <c r="B155" s="17" t="s">
        <v>482</v>
      </c>
      <c r="C155" s="17" t="s">
        <v>313</v>
      </c>
      <c r="D155" s="17" t="s">
        <v>311</v>
      </c>
      <c r="E155" s="17">
        <v>4.5576999999999998E-4</v>
      </c>
      <c r="F155" s="6" t="s">
        <v>233</v>
      </c>
      <c r="G155" s="6" t="s">
        <v>234</v>
      </c>
      <c r="H155" s="6">
        <v>3</v>
      </c>
    </row>
    <row r="156" spans="1:8" ht="30" x14ac:dyDescent="0.25">
      <c r="A156" s="17" t="s">
        <v>483</v>
      </c>
      <c r="B156" s="17" t="s">
        <v>483</v>
      </c>
      <c r="C156" s="17" t="s">
        <v>265</v>
      </c>
      <c r="D156" s="17" t="s">
        <v>263</v>
      </c>
      <c r="E156" s="17">
        <v>3.0449399999999999E-4</v>
      </c>
      <c r="F156" s="6" t="s">
        <v>233</v>
      </c>
      <c r="G156" s="6" t="s">
        <v>234</v>
      </c>
      <c r="H156" s="6">
        <v>3</v>
      </c>
    </row>
    <row r="157" spans="1:8" ht="30" x14ac:dyDescent="0.25">
      <c r="A157" s="17" t="s">
        <v>484</v>
      </c>
      <c r="B157" s="17" t="s">
        <v>484</v>
      </c>
      <c r="C157" s="17" t="s">
        <v>271</v>
      </c>
      <c r="D157" s="17" t="s">
        <v>269</v>
      </c>
      <c r="E157" s="17">
        <v>5.2359699999999999E-4</v>
      </c>
      <c r="F157" s="6" t="s">
        <v>233</v>
      </c>
      <c r="G157" s="6" t="s">
        <v>234</v>
      </c>
      <c r="H157" s="6">
        <v>3</v>
      </c>
    </row>
    <row r="158" spans="1:8" ht="30" x14ac:dyDescent="0.25">
      <c r="A158" s="17" t="s">
        <v>485</v>
      </c>
      <c r="B158" s="17" t="s">
        <v>485</v>
      </c>
      <c r="C158" s="17" t="s">
        <v>271</v>
      </c>
      <c r="D158" s="17" t="s">
        <v>269</v>
      </c>
      <c r="E158" s="17">
        <v>5.2359699999999999E-4</v>
      </c>
      <c r="F158" s="6" t="s">
        <v>233</v>
      </c>
      <c r="G158" s="6" t="s">
        <v>234</v>
      </c>
      <c r="H158" s="6">
        <v>3</v>
      </c>
    </row>
    <row r="159" spans="1:8" ht="30" x14ac:dyDescent="0.25">
      <c r="A159" s="17" t="s">
        <v>486</v>
      </c>
      <c r="B159" s="17" t="s">
        <v>486</v>
      </c>
      <c r="C159" s="17" t="s">
        <v>280</v>
      </c>
      <c r="D159" s="17" t="s">
        <v>278</v>
      </c>
      <c r="E159" s="17">
        <v>6.2829699999999999E-4</v>
      </c>
      <c r="F159" s="6" t="s">
        <v>233</v>
      </c>
      <c r="G159" s="6" t="s">
        <v>234</v>
      </c>
      <c r="H159" s="6">
        <v>3</v>
      </c>
    </row>
    <row r="160" spans="1:8" ht="30" x14ac:dyDescent="0.25">
      <c r="A160" s="17" t="s">
        <v>487</v>
      </c>
      <c r="B160" s="17" t="s">
        <v>487</v>
      </c>
      <c r="C160" s="17" t="s">
        <v>280</v>
      </c>
      <c r="D160" s="17" t="s">
        <v>278</v>
      </c>
      <c r="E160" s="17">
        <v>6.2829699999999999E-4</v>
      </c>
      <c r="F160" s="6" t="s">
        <v>233</v>
      </c>
      <c r="G160" s="6" t="s">
        <v>234</v>
      </c>
      <c r="H160" s="6">
        <v>3</v>
      </c>
    </row>
    <row r="161" spans="1:8" ht="30" x14ac:dyDescent="0.25">
      <c r="A161" s="17" t="s">
        <v>488</v>
      </c>
      <c r="B161" s="17" t="s">
        <v>488</v>
      </c>
      <c r="C161" s="17" t="s">
        <v>280</v>
      </c>
      <c r="D161" s="17" t="s">
        <v>278</v>
      </c>
      <c r="E161" s="17">
        <v>6.2829699999999999E-4</v>
      </c>
      <c r="F161" s="6" t="s">
        <v>233</v>
      </c>
      <c r="G161" s="6" t="s">
        <v>234</v>
      </c>
      <c r="H161" s="6">
        <v>3</v>
      </c>
    </row>
    <row r="162" spans="1:8" ht="30" x14ac:dyDescent="0.25">
      <c r="A162" s="17" t="s">
        <v>489</v>
      </c>
      <c r="B162" s="17" t="s">
        <v>489</v>
      </c>
      <c r="C162" s="17" t="s">
        <v>310</v>
      </c>
      <c r="D162" s="17" t="s">
        <v>308</v>
      </c>
      <c r="E162" s="17">
        <v>5.3341800000000002E-4</v>
      </c>
      <c r="F162" s="6" t="s">
        <v>233</v>
      </c>
      <c r="G162" s="6" t="s">
        <v>234</v>
      </c>
      <c r="H162" s="6">
        <v>3</v>
      </c>
    </row>
    <row r="163" spans="1:8" ht="30" x14ac:dyDescent="0.25">
      <c r="A163" s="17" t="s">
        <v>490</v>
      </c>
      <c r="B163" s="17" t="s">
        <v>490</v>
      </c>
      <c r="C163" s="17" t="s">
        <v>310</v>
      </c>
      <c r="D163" s="17" t="s">
        <v>308</v>
      </c>
      <c r="E163" s="17">
        <v>5.3341800000000002E-4</v>
      </c>
      <c r="F163" s="6" t="s">
        <v>233</v>
      </c>
      <c r="G163" s="6" t="s">
        <v>234</v>
      </c>
      <c r="H163" s="6">
        <v>3</v>
      </c>
    </row>
    <row r="164" spans="1:8" ht="30" x14ac:dyDescent="0.25">
      <c r="A164" s="17" t="s">
        <v>491</v>
      </c>
      <c r="B164" s="17" t="s">
        <v>491</v>
      </c>
      <c r="C164" s="17" t="s">
        <v>310</v>
      </c>
      <c r="D164" s="17" t="s">
        <v>308</v>
      </c>
      <c r="E164" s="17">
        <v>5.3341800000000002E-4</v>
      </c>
      <c r="F164" s="6" t="s">
        <v>233</v>
      </c>
      <c r="G164" s="6" t="s">
        <v>234</v>
      </c>
      <c r="H164" s="6">
        <v>3</v>
      </c>
    </row>
    <row r="165" spans="1:8" ht="30" x14ac:dyDescent="0.25">
      <c r="A165" s="17" t="s">
        <v>492</v>
      </c>
      <c r="B165" s="17" t="s">
        <v>492</v>
      </c>
      <c r="C165" s="17" t="s">
        <v>310</v>
      </c>
      <c r="D165" s="17" t="s">
        <v>308</v>
      </c>
      <c r="E165" s="17">
        <v>5.3341800000000002E-4</v>
      </c>
      <c r="F165" s="6" t="s">
        <v>233</v>
      </c>
      <c r="G165" s="6" t="s">
        <v>234</v>
      </c>
      <c r="H165" s="6">
        <v>3</v>
      </c>
    </row>
    <row r="166" spans="1:8" ht="30" x14ac:dyDescent="0.25">
      <c r="A166" s="17" t="s">
        <v>493</v>
      </c>
      <c r="B166" s="17" t="s">
        <v>493</v>
      </c>
      <c r="C166" s="17" t="s">
        <v>310</v>
      </c>
      <c r="D166" s="17" t="s">
        <v>308</v>
      </c>
      <c r="E166" s="17">
        <v>5.3341800000000002E-4</v>
      </c>
      <c r="F166" s="6" t="s">
        <v>233</v>
      </c>
      <c r="G166" s="6" t="s">
        <v>234</v>
      </c>
      <c r="H166" s="6">
        <v>3</v>
      </c>
    </row>
    <row r="167" spans="1:8" ht="30" x14ac:dyDescent="0.25">
      <c r="A167" s="17" t="s">
        <v>494</v>
      </c>
      <c r="B167" s="17" t="s">
        <v>494</v>
      </c>
      <c r="C167" s="17" t="s">
        <v>256</v>
      </c>
      <c r="D167" s="17" t="s">
        <v>254</v>
      </c>
      <c r="E167" s="17">
        <v>8.1312799999999998E-4</v>
      </c>
      <c r="F167" s="6" t="s">
        <v>233</v>
      </c>
      <c r="G167" s="6" t="s">
        <v>234</v>
      </c>
      <c r="H167" s="6">
        <v>3</v>
      </c>
    </row>
    <row r="168" spans="1:8" ht="30" x14ac:dyDescent="0.25">
      <c r="A168" s="17" t="s">
        <v>495</v>
      </c>
      <c r="B168" s="17" t="s">
        <v>495</v>
      </c>
      <c r="C168" s="17" t="s">
        <v>310</v>
      </c>
      <c r="D168" s="17" t="s">
        <v>308</v>
      </c>
      <c r="E168" s="17">
        <v>5.3341800000000002E-4</v>
      </c>
      <c r="F168" s="6" t="s">
        <v>233</v>
      </c>
      <c r="G168" s="6" t="s">
        <v>234</v>
      </c>
      <c r="H168" s="6">
        <v>3</v>
      </c>
    </row>
    <row r="169" spans="1:8" ht="30" x14ac:dyDescent="0.25">
      <c r="A169" s="17" t="s">
        <v>496</v>
      </c>
      <c r="B169" s="17" t="s">
        <v>496</v>
      </c>
      <c r="C169" s="17" t="s">
        <v>310</v>
      </c>
      <c r="D169" s="17" t="s">
        <v>308</v>
      </c>
      <c r="E169" s="17">
        <v>5.3341800000000002E-4</v>
      </c>
      <c r="F169" s="6" t="s">
        <v>233</v>
      </c>
      <c r="G169" s="6" t="s">
        <v>234</v>
      </c>
      <c r="H169" s="6">
        <v>3</v>
      </c>
    </row>
    <row r="170" spans="1:8" ht="30" x14ac:dyDescent="0.25">
      <c r="A170" s="17" t="s">
        <v>497</v>
      </c>
      <c r="B170" s="17" t="s">
        <v>497</v>
      </c>
      <c r="C170" s="17" t="s">
        <v>310</v>
      </c>
      <c r="D170" s="17" t="s">
        <v>308</v>
      </c>
      <c r="E170" s="17">
        <v>5.3341800000000002E-4</v>
      </c>
      <c r="F170" s="6" t="s">
        <v>233</v>
      </c>
      <c r="G170" s="6" t="s">
        <v>234</v>
      </c>
      <c r="H170" s="6">
        <v>3</v>
      </c>
    </row>
    <row r="171" spans="1:8" ht="30" x14ac:dyDescent="0.25">
      <c r="A171" s="17" t="s">
        <v>498</v>
      </c>
      <c r="B171" s="17" t="s">
        <v>498</v>
      </c>
      <c r="C171" s="17" t="s">
        <v>310</v>
      </c>
      <c r="D171" s="17" t="s">
        <v>308</v>
      </c>
      <c r="E171" s="17">
        <v>5.3341800000000002E-4</v>
      </c>
      <c r="F171" s="6" t="s">
        <v>233</v>
      </c>
      <c r="G171" s="6" t="s">
        <v>234</v>
      </c>
      <c r="H171" s="6">
        <v>3</v>
      </c>
    </row>
    <row r="172" spans="1:8" ht="30" x14ac:dyDescent="0.25">
      <c r="A172" s="17" t="s">
        <v>499</v>
      </c>
      <c r="B172" s="17" t="s">
        <v>499</v>
      </c>
      <c r="C172" s="17" t="s">
        <v>310</v>
      </c>
      <c r="D172" s="17" t="s">
        <v>308</v>
      </c>
      <c r="E172" s="17">
        <v>5.3341800000000002E-4</v>
      </c>
      <c r="F172" s="6" t="s">
        <v>233</v>
      </c>
      <c r="G172" s="6" t="s">
        <v>234</v>
      </c>
      <c r="H172" s="6">
        <v>3</v>
      </c>
    </row>
    <row r="173" spans="1:8" ht="30" x14ac:dyDescent="0.25">
      <c r="A173" s="17" t="s">
        <v>500</v>
      </c>
      <c r="B173" s="17" t="s">
        <v>500</v>
      </c>
      <c r="C173" s="17" t="s">
        <v>310</v>
      </c>
      <c r="D173" s="17" t="s">
        <v>308</v>
      </c>
      <c r="E173" s="17">
        <v>5.3341800000000002E-4</v>
      </c>
      <c r="F173" s="6" t="s">
        <v>233</v>
      </c>
      <c r="G173" s="6" t="s">
        <v>234</v>
      </c>
      <c r="H173" s="6">
        <v>3</v>
      </c>
    </row>
    <row r="174" spans="1:8" ht="30" x14ac:dyDescent="0.25">
      <c r="A174" s="17" t="s">
        <v>501</v>
      </c>
      <c r="B174" s="17" t="s">
        <v>501</v>
      </c>
      <c r="C174" s="17" t="s">
        <v>310</v>
      </c>
      <c r="D174" s="17" t="s">
        <v>308</v>
      </c>
      <c r="E174" s="17">
        <v>5.3341800000000002E-4</v>
      </c>
      <c r="F174" s="6" t="s">
        <v>233</v>
      </c>
      <c r="G174" s="6" t="s">
        <v>234</v>
      </c>
      <c r="H174" s="6">
        <v>3</v>
      </c>
    </row>
    <row r="175" spans="1:8" ht="30" x14ac:dyDescent="0.25">
      <c r="A175" s="17" t="s">
        <v>502</v>
      </c>
      <c r="B175" s="17" t="s">
        <v>502</v>
      </c>
      <c r="C175" s="17" t="s">
        <v>310</v>
      </c>
      <c r="D175" s="17" t="s">
        <v>308</v>
      </c>
      <c r="E175" s="17">
        <v>5.3341800000000002E-4</v>
      </c>
      <c r="F175" s="6" t="s">
        <v>233</v>
      </c>
      <c r="G175" s="6" t="s">
        <v>234</v>
      </c>
      <c r="H175" s="6">
        <v>3</v>
      </c>
    </row>
    <row r="176" spans="1:8" ht="30" x14ac:dyDescent="0.25">
      <c r="A176" s="17" t="s">
        <v>503</v>
      </c>
      <c r="B176" s="17" t="s">
        <v>503</v>
      </c>
      <c r="C176" s="17" t="s">
        <v>310</v>
      </c>
      <c r="D176" s="17" t="s">
        <v>308</v>
      </c>
      <c r="E176" s="17">
        <v>5.3341800000000002E-4</v>
      </c>
      <c r="F176" s="6" t="s">
        <v>233</v>
      </c>
      <c r="G176" s="6" t="s">
        <v>234</v>
      </c>
      <c r="H176" s="6">
        <v>3</v>
      </c>
    </row>
    <row r="177" spans="1:8" ht="30" x14ac:dyDescent="0.25">
      <c r="A177" s="17" t="s">
        <v>504</v>
      </c>
      <c r="B177" s="17" t="s">
        <v>504</v>
      </c>
      <c r="C177" s="17" t="s">
        <v>310</v>
      </c>
      <c r="D177" s="17" t="s">
        <v>308</v>
      </c>
      <c r="E177" s="17">
        <v>5.3341800000000002E-4</v>
      </c>
      <c r="F177" s="6" t="s">
        <v>233</v>
      </c>
      <c r="G177" s="6" t="s">
        <v>234</v>
      </c>
      <c r="H177" s="6">
        <v>3</v>
      </c>
    </row>
    <row r="178" spans="1:8" ht="30" x14ac:dyDescent="0.25">
      <c r="A178" s="17" t="s">
        <v>505</v>
      </c>
      <c r="B178" s="17" t="s">
        <v>505</v>
      </c>
      <c r="C178" s="17" t="s">
        <v>310</v>
      </c>
      <c r="D178" s="17" t="s">
        <v>308</v>
      </c>
      <c r="E178" s="17">
        <v>5.3341800000000002E-4</v>
      </c>
      <c r="F178" s="6" t="s">
        <v>233</v>
      </c>
      <c r="G178" s="6" t="s">
        <v>234</v>
      </c>
      <c r="H178" s="6">
        <v>3</v>
      </c>
    </row>
    <row r="179" spans="1:8" ht="30" x14ac:dyDescent="0.25">
      <c r="A179" s="17" t="s">
        <v>506</v>
      </c>
      <c r="B179" s="17" t="s">
        <v>506</v>
      </c>
      <c r="C179" s="17" t="s">
        <v>310</v>
      </c>
      <c r="D179" s="17" t="s">
        <v>308</v>
      </c>
      <c r="E179" s="17">
        <v>5.3341800000000002E-4</v>
      </c>
      <c r="F179" s="6" t="s">
        <v>233</v>
      </c>
      <c r="G179" s="6" t="s">
        <v>234</v>
      </c>
      <c r="H179" s="6">
        <v>3</v>
      </c>
    </row>
    <row r="180" spans="1:8" ht="30" x14ac:dyDescent="0.25">
      <c r="A180" s="17" t="s">
        <v>507</v>
      </c>
      <c r="B180" s="17" t="s">
        <v>507</v>
      </c>
      <c r="C180" s="17" t="s">
        <v>310</v>
      </c>
      <c r="D180" s="17" t="s">
        <v>308</v>
      </c>
      <c r="E180" s="17">
        <v>5.3341800000000002E-4</v>
      </c>
      <c r="F180" s="6" t="s">
        <v>233</v>
      </c>
      <c r="G180" s="6" t="s">
        <v>234</v>
      </c>
      <c r="H180" s="6">
        <v>3</v>
      </c>
    </row>
    <row r="181" spans="1:8" ht="30" x14ac:dyDescent="0.25">
      <c r="A181" s="17" t="s">
        <v>508</v>
      </c>
      <c r="B181" s="17" t="s">
        <v>508</v>
      </c>
      <c r="C181" s="17" t="s">
        <v>310</v>
      </c>
      <c r="D181" s="17" t="s">
        <v>308</v>
      </c>
      <c r="E181" s="17">
        <v>5.3341800000000002E-4</v>
      </c>
      <c r="F181" s="6" t="s">
        <v>233</v>
      </c>
      <c r="G181" s="6" t="s">
        <v>234</v>
      </c>
      <c r="H181" s="6">
        <v>3</v>
      </c>
    </row>
    <row r="182" spans="1:8" ht="30" x14ac:dyDescent="0.25">
      <c r="A182" s="17" t="s">
        <v>509</v>
      </c>
      <c r="B182" s="17" t="s">
        <v>509</v>
      </c>
      <c r="C182" s="17" t="s">
        <v>310</v>
      </c>
      <c r="D182" s="17" t="s">
        <v>308</v>
      </c>
      <c r="E182" s="17">
        <v>5.3341800000000002E-4</v>
      </c>
      <c r="F182" s="6" t="s">
        <v>233</v>
      </c>
      <c r="G182" s="6" t="s">
        <v>234</v>
      </c>
      <c r="H182" s="6">
        <v>3</v>
      </c>
    </row>
    <row r="183" spans="1:8" ht="30" x14ac:dyDescent="0.25">
      <c r="A183" s="17" t="s">
        <v>510</v>
      </c>
      <c r="B183" s="17" t="s">
        <v>510</v>
      </c>
      <c r="C183" s="17" t="s">
        <v>301</v>
      </c>
      <c r="D183" s="17" t="s">
        <v>299</v>
      </c>
      <c r="E183" s="17">
        <v>6.3590900000000004E-4</v>
      </c>
      <c r="F183" s="6" t="s">
        <v>233</v>
      </c>
      <c r="G183" s="6" t="s">
        <v>234</v>
      </c>
      <c r="H183" s="6">
        <v>3</v>
      </c>
    </row>
    <row r="184" spans="1:8" ht="30" x14ac:dyDescent="0.25">
      <c r="A184" s="17" t="s">
        <v>511</v>
      </c>
      <c r="B184" s="17" t="s">
        <v>511</v>
      </c>
      <c r="C184" s="17" t="s">
        <v>271</v>
      </c>
      <c r="D184" s="17" t="s">
        <v>269</v>
      </c>
      <c r="E184" s="17">
        <v>5.2359699999999999E-4</v>
      </c>
      <c r="F184" s="6" t="s">
        <v>233</v>
      </c>
      <c r="G184" s="6" t="s">
        <v>234</v>
      </c>
      <c r="H184" s="6">
        <v>3</v>
      </c>
    </row>
    <row r="185" spans="1:8" ht="30" x14ac:dyDescent="0.25">
      <c r="A185" s="17" t="s">
        <v>512</v>
      </c>
      <c r="B185" s="17" t="s">
        <v>512</v>
      </c>
      <c r="C185" s="17" t="s">
        <v>271</v>
      </c>
      <c r="D185" s="17" t="s">
        <v>269</v>
      </c>
      <c r="E185" s="17">
        <v>5.2359699999999999E-4</v>
      </c>
      <c r="F185" s="6" t="s">
        <v>233</v>
      </c>
      <c r="G185" s="6" t="s">
        <v>234</v>
      </c>
      <c r="H185" s="6">
        <v>3</v>
      </c>
    </row>
    <row r="186" spans="1:8" ht="30" x14ac:dyDescent="0.25">
      <c r="A186" s="17" t="s">
        <v>513</v>
      </c>
      <c r="B186" s="17" t="s">
        <v>513</v>
      </c>
      <c r="C186" s="17" t="s">
        <v>271</v>
      </c>
      <c r="D186" s="17" t="s">
        <v>269</v>
      </c>
      <c r="E186" s="17">
        <v>5.2359699999999999E-4</v>
      </c>
      <c r="F186" s="6" t="s">
        <v>233</v>
      </c>
      <c r="G186" s="6" t="s">
        <v>234</v>
      </c>
      <c r="H186" s="6">
        <v>3</v>
      </c>
    </row>
    <row r="187" spans="1:8" ht="30" x14ac:dyDescent="0.25">
      <c r="A187" s="17" t="s">
        <v>514</v>
      </c>
      <c r="B187" s="17" t="s">
        <v>514</v>
      </c>
      <c r="C187" s="17" t="s">
        <v>271</v>
      </c>
      <c r="D187" s="17" t="s">
        <v>269</v>
      </c>
      <c r="E187" s="17">
        <v>5.2359699999999999E-4</v>
      </c>
      <c r="F187" s="6" t="s">
        <v>233</v>
      </c>
      <c r="G187" s="6" t="s">
        <v>234</v>
      </c>
      <c r="H187" s="6">
        <v>3</v>
      </c>
    </row>
    <row r="188" spans="1:8" ht="30" x14ac:dyDescent="0.25">
      <c r="A188" s="17" t="s">
        <v>515</v>
      </c>
      <c r="B188" s="17" t="s">
        <v>515</v>
      </c>
      <c r="C188" s="17" t="s">
        <v>301</v>
      </c>
      <c r="D188" s="17" t="s">
        <v>299</v>
      </c>
      <c r="E188" s="17">
        <v>6.3590900000000004E-4</v>
      </c>
      <c r="F188" s="6" t="s">
        <v>233</v>
      </c>
      <c r="G188" s="6" t="s">
        <v>234</v>
      </c>
      <c r="H188" s="6">
        <v>3</v>
      </c>
    </row>
    <row r="189" spans="1:8" ht="30" x14ac:dyDescent="0.25">
      <c r="A189" s="17" t="s">
        <v>516</v>
      </c>
      <c r="B189" s="17" t="s">
        <v>516</v>
      </c>
      <c r="C189" s="17" t="s">
        <v>301</v>
      </c>
      <c r="D189" s="17" t="s">
        <v>299</v>
      </c>
      <c r="E189" s="17">
        <v>6.3590900000000004E-4</v>
      </c>
      <c r="F189" s="6" t="s">
        <v>233</v>
      </c>
      <c r="G189" s="6" t="s">
        <v>234</v>
      </c>
      <c r="H189" s="6">
        <v>3</v>
      </c>
    </row>
    <row r="190" spans="1:8" ht="30" x14ac:dyDescent="0.25">
      <c r="A190" s="17" t="s">
        <v>517</v>
      </c>
      <c r="B190" s="17" t="s">
        <v>517</v>
      </c>
      <c r="C190" s="17" t="s">
        <v>301</v>
      </c>
      <c r="D190" s="17" t="s">
        <v>299</v>
      </c>
      <c r="E190" s="17">
        <v>6.3590900000000004E-4</v>
      </c>
      <c r="F190" s="6" t="s">
        <v>233</v>
      </c>
      <c r="G190" s="6" t="s">
        <v>234</v>
      </c>
      <c r="H190" s="6">
        <v>3</v>
      </c>
    </row>
    <row r="191" spans="1:8" ht="30" x14ac:dyDescent="0.25">
      <c r="A191" s="17" t="s">
        <v>518</v>
      </c>
      <c r="B191" s="17" t="s">
        <v>518</v>
      </c>
      <c r="C191" s="17" t="s">
        <v>301</v>
      </c>
      <c r="D191" s="17" t="s">
        <v>299</v>
      </c>
      <c r="E191" s="17">
        <v>6.3590900000000004E-4</v>
      </c>
      <c r="F191" s="6" t="s">
        <v>233</v>
      </c>
      <c r="G191" s="6" t="s">
        <v>234</v>
      </c>
      <c r="H191" s="6">
        <v>3</v>
      </c>
    </row>
    <row r="192" spans="1:8" ht="30" x14ac:dyDescent="0.25">
      <c r="A192" s="17" t="s">
        <v>519</v>
      </c>
      <c r="B192" s="17" t="s">
        <v>519</v>
      </c>
      <c r="C192" s="17" t="s">
        <v>271</v>
      </c>
      <c r="D192" s="17" t="s">
        <v>269</v>
      </c>
      <c r="E192" s="17">
        <v>5.2359699999999999E-4</v>
      </c>
      <c r="F192" s="6" t="s">
        <v>233</v>
      </c>
      <c r="G192" s="6" t="s">
        <v>234</v>
      </c>
      <c r="H192" s="6">
        <v>3</v>
      </c>
    </row>
    <row r="193" spans="1:8" ht="30" x14ac:dyDescent="0.25">
      <c r="A193" s="17" t="s">
        <v>520</v>
      </c>
      <c r="B193" s="17" t="s">
        <v>520</v>
      </c>
      <c r="C193" s="17" t="s">
        <v>271</v>
      </c>
      <c r="D193" s="17" t="s">
        <v>269</v>
      </c>
      <c r="E193" s="17">
        <v>5.2359699999999999E-4</v>
      </c>
      <c r="F193" s="6" t="s">
        <v>233</v>
      </c>
      <c r="G193" s="6" t="s">
        <v>234</v>
      </c>
      <c r="H193" s="6">
        <v>3</v>
      </c>
    </row>
    <row r="194" spans="1:8" ht="30" x14ac:dyDescent="0.25">
      <c r="A194" s="17" t="s">
        <v>521</v>
      </c>
      <c r="B194" s="17" t="s">
        <v>521</v>
      </c>
      <c r="C194" s="17" t="s">
        <v>265</v>
      </c>
      <c r="D194" s="17" t="s">
        <v>263</v>
      </c>
      <c r="E194" s="17">
        <v>3.0449399999999999E-4</v>
      </c>
      <c r="F194" s="6" t="s">
        <v>233</v>
      </c>
      <c r="G194" s="6" t="s">
        <v>234</v>
      </c>
      <c r="H194" s="6">
        <v>3</v>
      </c>
    </row>
    <row r="195" spans="1:8" ht="30" x14ac:dyDescent="0.25">
      <c r="A195" s="17" t="s">
        <v>522</v>
      </c>
      <c r="B195" s="17" t="s">
        <v>522</v>
      </c>
      <c r="C195" s="17" t="s">
        <v>265</v>
      </c>
      <c r="D195" s="17" t="s">
        <v>263</v>
      </c>
      <c r="E195" s="17">
        <v>3.0449399999999999E-4</v>
      </c>
      <c r="F195" s="6" t="s">
        <v>233</v>
      </c>
      <c r="G195" s="6" t="s">
        <v>234</v>
      </c>
      <c r="H195" s="6">
        <v>3</v>
      </c>
    </row>
    <row r="196" spans="1:8" ht="30" x14ac:dyDescent="0.25">
      <c r="A196" s="17" t="s">
        <v>523</v>
      </c>
      <c r="B196" s="17" t="s">
        <v>523</v>
      </c>
      <c r="C196" s="17" t="s">
        <v>271</v>
      </c>
      <c r="D196" s="17" t="s">
        <v>269</v>
      </c>
      <c r="E196" s="17">
        <v>5.2359699999999999E-4</v>
      </c>
      <c r="F196" s="6" t="s">
        <v>233</v>
      </c>
      <c r="G196" s="6" t="s">
        <v>234</v>
      </c>
      <c r="H196" s="6">
        <v>3</v>
      </c>
    </row>
    <row r="197" spans="1:8" ht="30" x14ac:dyDescent="0.25">
      <c r="A197" s="17" t="s">
        <v>524</v>
      </c>
      <c r="B197" s="17" t="s">
        <v>524</v>
      </c>
      <c r="C197" s="17" t="s">
        <v>271</v>
      </c>
      <c r="D197" s="17" t="s">
        <v>269</v>
      </c>
      <c r="E197" s="17">
        <v>5.2359699999999999E-4</v>
      </c>
      <c r="F197" s="6" t="s">
        <v>233</v>
      </c>
      <c r="G197" s="6" t="s">
        <v>234</v>
      </c>
      <c r="H197" s="6">
        <v>3</v>
      </c>
    </row>
    <row r="198" spans="1:8" ht="30" x14ac:dyDescent="0.25">
      <c r="A198" s="17" t="s">
        <v>525</v>
      </c>
      <c r="B198" s="17" t="s">
        <v>525</v>
      </c>
      <c r="C198" s="17" t="s">
        <v>271</v>
      </c>
      <c r="D198" s="17" t="s">
        <v>269</v>
      </c>
      <c r="E198" s="17">
        <v>5.2359699999999999E-4</v>
      </c>
      <c r="F198" s="6" t="s">
        <v>233</v>
      </c>
      <c r="G198" s="6" t="s">
        <v>234</v>
      </c>
      <c r="H198" s="6">
        <v>3</v>
      </c>
    </row>
    <row r="199" spans="1:8" ht="30" x14ac:dyDescent="0.25">
      <c r="A199" s="17" t="s">
        <v>526</v>
      </c>
      <c r="B199" s="17" t="s">
        <v>526</v>
      </c>
      <c r="C199" s="17" t="s">
        <v>271</v>
      </c>
      <c r="D199" s="17" t="s">
        <v>269</v>
      </c>
      <c r="E199" s="17">
        <v>5.2359699999999999E-4</v>
      </c>
      <c r="F199" s="6" t="s">
        <v>233</v>
      </c>
      <c r="G199" s="6" t="s">
        <v>234</v>
      </c>
      <c r="H199" s="6">
        <v>3</v>
      </c>
    </row>
    <row r="200" spans="1:8" ht="30" x14ac:dyDescent="0.25">
      <c r="A200" s="17" t="s">
        <v>527</v>
      </c>
      <c r="B200" s="17" t="s">
        <v>527</v>
      </c>
      <c r="C200" s="17" t="s">
        <v>280</v>
      </c>
      <c r="D200" s="17" t="s">
        <v>278</v>
      </c>
      <c r="E200" s="17">
        <v>6.2829699999999999E-4</v>
      </c>
      <c r="F200" s="6" t="s">
        <v>233</v>
      </c>
      <c r="G200" s="6" t="s">
        <v>234</v>
      </c>
      <c r="H200" s="6">
        <v>3</v>
      </c>
    </row>
    <row r="201" spans="1:8" ht="30" x14ac:dyDescent="0.25">
      <c r="A201" s="17" t="s">
        <v>528</v>
      </c>
      <c r="B201" s="17" t="s">
        <v>528</v>
      </c>
      <c r="C201" s="17" t="s">
        <v>301</v>
      </c>
      <c r="D201" s="17" t="s">
        <v>299</v>
      </c>
      <c r="E201" s="17">
        <v>6.3590900000000004E-4</v>
      </c>
      <c r="F201" s="6" t="s">
        <v>233</v>
      </c>
      <c r="G201" s="6" t="s">
        <v>234</v>
      </c>
      <c r="H201" s="6">
        <v>3</v>
      </c>
    </row>
    <row r="202" spans="1:8" ht="30" x14ac:dyDescent="0.25">
      <c r="A202" s="17" t="s">
        <v>529</v>
      </c>
      <c r="B202" s="17" t="s">
        <v>529</v>
      </c>
      <c r="C202" s="17" t="s">
        <v>256</v>
      </c>
      <c r="D202" s="17" t="s">
        <v>254</v>
      </c>
      <c r="E202" s="17">
        <v>8.1312799999999998E-4</v>
      </c>
      <c r="F202" s="6" t="s">
        <v>233</v>
      </c>
      <c r="G202" s="6" t="s">
        <v>234</v>
      </c>
      <c r="H202" s="6">
        <v>3</v>
      </c>
    </row>
    <row r="203" spans="1:8" ht="30" x14ac:dyDescent="0.25">
      <c r="A203" s="17" t="s">
        <v>530</v>
      </c>
      <c r="B203" s="17" t="s">
        <v>530</v>
      </c>
      <c r="C203" s="17" t="s">
        <v>256</v>
      </c>
      <c r="D203" s="17" t="s">
        <v>254</v>
      </c>
      <c r="E203" s="17">
        <v>8.1312799999999998E-4</v>
      </c>
      <c r="F203" s="6" t="s">
        <v>233</v>
      </c>
      <c r="G203" s="6" t="s">
        <v>234</v>
      </c>
      <c r="H203" s="6">
        <v>3</v>
      </c>
    </row>
    <row r="204" spans="1:8" ht="30" x14ac:dyDescent="0.25">
      <c r="A204" s="17" t="s">
        <v>531</v>
      </c>
      <c r="B204" s="17" t="s">
        <v>531</v>
      </c>
      <c r="C204" s="17" t="s">
        <v>271</v>
      </c>
      <c r="D204" s="17" t="s">
        <v>269</v>
      </c>
      <c r="E204" s="17">
        <v>5.2359699999999999E-4</v>
      </c>
      <c r="F204" s="6" t="s">
        <v>233</v>
      </c>
      <c r="G204" s="6" t="s">
        <v>234</v>
      </c>
      <c r="H204" s="6">
        <v>3</v>
      </c>
    </row>
    <row r="205" spans="1:8" ht="30" x14ac:dyDescent="0.25">
      <c r="A205" s="17" t="s">
        <v>532</v>
      </c>
      <c r="B205" s="17" t="s">
        <v>532</v>
      </c>
      <c r="C205" s="17" t="s">
        <v>271</v>
      </c>
      <c r="D205" s="17" t="s">
        <v>269</v>
      </c>
      <c r="E205" s="17">
        <v>5.2359699999999999E-4</v>
      </c>
      <c r="F205" s="6" t="s">
        <v>233</v>
      </c>
      <c r="G205" s="6" t="s">
        <v>234</v>
      </c>
      <c r="H205" s="6">
        <v>3</v>
      </c>
    </row>
    <row r="206" spans="1:8" ht="30" x14ac:dyDescent="0.25">
      <c r="A206" s="17" t="s">
        <v>533</v>
      </c>
      <c r="B206" s="17" t="s">
        <v>533</v>
      </c>
      <c r="C206" s="17" t="s">
        <v>265</v>
      </c>
      <c r="D206" s="17" t="s">
        <v>263</v>
      </c>
      <c r="E206" s="17">
        <v>3.0449399999999999E-4</v>
      </c>
      <c r="F206" s="6" t="s">
        <v>233</v>
      </c>
      <c r="G206" s="6" t="s">
        <v>234</v>
      </c>
      <c r="H206" s="6">
        <v>3</v>
      </c>
    </row>
    <row r="207" spans="1:8" ht="30" x14ac:dyDescent="0.25">
      <c r="A207" s="17" t="s">
        <v>534</v>
      </c>
      <c r="B207" s="17" t="s">
        <v>534</v>
      </c>
      <c r="C207" s="17" t="s">
        <v>271</v>
      </c>
      <c r="D207" s="17" t="s">
        <v>269</v>
      </c>
      <c r="E207" s="17">
        <v>5.2359699999999999E-4</v>
      </c>
      <c r="F207" s="6" t="s">
        <v>233</v>
      </c>
      <c r="G207" s="6" t="s">
        <v>234</v>
      </c>
      <c r="H207" s="6">
        <v>3</v>
      </c>
    </row>
    <row r="208" spans="1:8" ht="30" x14ac:dyDescent="0.25">
      <c r="A208" s="17" t="s">
        <v>535</v>
      </c>
      <c r="B208" s="17" t="s">
        <v>535</v>
      </c>
      <c r="C208" s="17" t="s">
        <v>271</v>
      </c>
      <c r="D208" s="17" t="s">
        <v>269</v>
      </c>
      <c r="E208" s="17">
        <v>5.2359699999999999E-4</v>
      </c>
      <c r="F208" s="6" t="s">
        <v>233</v>
      </c>
      <c r="G208" s="6" t="s">
        <v>234</v>
      </c>
      <c r="H208" s="6">
        <v>3</v>
      </c>
    </row>
    <row r="209" spans="1:8" ht="30" x14ac:dyDescent="0.25">
      <c r="A209" s="17" t="s">
        <v>536</v>
      </c>
      <c r="B209" s="17" t="s">
        <v>536</v>
      </c>
      <c r="C209" s="17" t="s">
        <v>271</v>
      </c>
      <c r="D209" s="17" t="s">
        <v>269</v>
      </c>
      <c r="E209" s="17">
        <v>5.2359699999999999E-4</v>
      </c>
      <c r="F209" s="6" t="s">
        <v>233</v>
      </c>
      <c r="G209" s="6" t="s">
        <v>234</v>
      </c>
      <c r="H209" s="6">
        <v>3</v>
      </c>
    </row>
    <row r="210" spans="1:8" ht="30" x14ac:dyDescent="0.25">
      <c r="A210" s="17" t="s">
        <v>537</v>
      </c>
      <c r="B210" s="17" t="s">
        <v>537</v>
      </c>
      <c r="C210" s="17" t="s">
        <v>271</v>
      </c>
      <c r="D210" s="17" t="s">
        <v>269</v>
      </c>
      <c r="E210" s="17">
        <v>5.2359699999999999E-4</v>
      </c>
      <c r="F210" s="6" t="s">
        <v>233</v>
      </c>
      <c r="G210" s="6" t="s">
        <v>234</v>
      </c>
      <c r="H210" s="6">
        <v>3</v>
      </c>
    </row>
    <row r="211" spans="1:8" ht="30" x14ac:dyDescent="0.25">
      <c r="A211" s="17" t="s">
        <v>538</v>
      </c>
      <c r="B211" s="17" t="s">
        <v>538</v>
      </c>
      <c r="C211" s="17" t="s">
        <v>271</v>
      </c>
      <c r="D211" s="17" t="s">
        <v>269</v>
      </c>
      <c r="E211" s="17">
        <v>5.2359699999999999E-4</v>
      </c>
      <c r="F211" s="6" t="s">
        <v>233</v>
      </c>
      <c r="G211" s="6" t="s">
        <v>234</v>
      </c>
      <c r="H211" s="6">
        <v>3</v>
      </c>
    </row>
    <row r="212" spans="1:8" ht="30" x14ac:dyDescent="0.25">
      <c r="A212" s="17" t="s">
        <v>539</v>
      </c>
      <c r="B212" s="17" t="s">
        <v>539</v>
      </c>
      <c r="C212" s="17" t="s">
        <v>271</v>
      </c>
      <c r="D212" s="17" t="s">
        <v>269</v>
      </c>
      <c r="E212" s="17">
        <v>5.2359699999999999E-4</v>
      </c>
      <c r="F212" s="6" t="s">
        <v>233</v>
      </c>
      <c r="G212" s="6" t="s">
        <v>234</v>
      </c>
      <c r="H212" s="6">
        <v>3</v>
      </c>
    </row>
    <row r="213" spans="1:8" ht="30" x14ac:dyDescent="0.25">
      <c r="A213" s="17" t="s">
        <v>540</v>
      </c>
      <c r="B213" s="17" t="s">
        <v>540</v>
      </c>
      <c r="C213" s="17" t="s">
        <v>271</v>
      </c>
      <c r="D213" s="17" t="s">
        <v>269</v>
      </c>
      <c r="E213" s="17">
        <v>5.2359699999999999E-4</v>
      </c>
      <c r="F213" s="6" t="s">
        <v>233</v>
      </c>
      <c r="G213" s="6" t="s">
        <v>234</v>
      </c>
      <c r="H213" s="6">
        <v>3</v>
      </c>
    </row>
    <row r="214" spans="1:8" ht="30" x14ac:dyDescent="0.25">
      <c r="A214" s="17" t="s">
        <v>541</v>
      </c>
      <c r="B214" s="17" t="s">
        <v>541</v>
      </c>
      <c r="C214" s="17" t="s">
        <v>271</v>
      </c>
      <c r="D214" s="17" t="s">
        <v>269</v>
      </c>
      <c r="E214" s="17">
        <v>5.2359699999999999E-4</v>
      </c>
      <c r="F214" s="6" t="s">
        <v>233</v>
      </c>
      <c r="G214" s="6" t="s">
        <v>234</v>
      </c>
      <c r="H214" s="6">
        <v>3</v>
      </c>
    </row>
    <row r="215" spans="1:8" ht="30" x14ac:dyDescent="0.25">
      <c r="A215" s="17" t="s">
        <v>542</v>
      </c>
      <c r="B215" s="17" t="s">
        <v>542</v>
      </c>
      <c r="C215" s="17" t="s">
        <v>256</v>
      </c>
      <c r="D215" s="17" t="s">
        <v>254</v>
      </c>
      <c r="E215" s="17">
        <v>8.1312799999999998E-4</v>
      </c>
      <c r="F215" s="6" t="s">
        <v>233</v>
      </c>
      <c r="G215" s="6" t="s">
        <v>234</v>
      </c>
      <c r="H215" s="6">
        <v>3</v>
      </c>
    </row>
    <row r="216" spans="1:8" ht="30" x14ac:dyDescent="0.25">
      <c r="A216" s="17" t="s">
        <v>543</v>
      </c>
      <c r="B216" s="17" t="s">
        <v>543</v>
      </c>
      <c r="C216" s="17" t="s">
        <v>256</v>
      </c>
      <c r="D216" s="17" t="s">
        <v>254</v>
      </c>
      <c r="E216" s="17">
        <v>8.1312799999999998E-4</v>
      </c>
      <c r="F216" s="6" t="s">
        <v>233</v>
      </c>
      <c r="G216" s="6" t="s">
        <v>234</v>
      </c>
      <c r="H216" s="6">
        <v>3</v>
      </c>
    </row>
    <row r="217" spans="1:8" ht="30" x14ac:dyDescent="0.25">
      <c r="A217" s="17" t="s">
        <v>544</v>
      </c>
      <c r="B217" s="17" t="s">
        <v>544</v>
      </c>
      <c r="C217" s="17" t="s">
        <v>256</v>
      </c>
      <c r="D217" s="17" t="s">
        <v>254</v>
      </c>
      <c r="E217" s="17">
        <v>8.1312799999999998E-4</v>
      </c>
      <c r="F217" s="6" t="s">
        <v>233</v>
      </c>
      <c r="G217" s="6" t="s">
        <v>234</v>
      </c>
      <c r="H217" s="6">
        <v>3</v>
      </c>
    </row>
    <row r="218" spans="1:8" ht="30" x14ac:dyDescent="0.25">
      <c r="A218" s="6" t="s">
        <v>545</v>
      </c>
      <c r="B218" s="6" t="s">
        <v>545</v>
      </c>
      <c r="C218" s="17" t="s">
        <v>280</v>
      </c>
      <c r="D218" s="17" t="s">
        <v>278</v>
      </c>
      <c r="E218" s="17">
        <v>6.2829699999999999E-4</v>
      </c>
      <c r="F218" s="6" t="s">
        <v>233</v>
      </c>
      <c r="G218" s="6" t="s">
        <v>234</v>
      </c>
      <c r="H218" s="6">
        <v>3</v>
      </c>
    </row>
    <row r="219" spans="1:8" ht="30" x14ac:dyDescent="0.25">
      <c r="A219" s="17" t="s">
        <v>546</v>
      </c>
      <c r="B219" s="17" t="s">
        <v>546</v>
      </c>
      <c r="C219" s="17" t="s">
        <v>271</v>
      </c>
      <c r="D219" s="17" t="s">
        <v>269</v>
      </c>
      <c r="E219" s="17">
        <v>5.2359699999999999E-4</v>
      </c>
      <c r="F219" s="6" t="s">
        <v>233</v>
      </c>
      <c r="G219" s="6" t="s">
        <v>234</v>
      </c>
      <c r="H219" s="6">
        <v>3</v>
      </c>
    </row>
    <row r="220" spans="1:8" ht="30" x14ac:dyDescent="0.25">
      <c r="A220" s="17" t="s">
        <v>547</v>
      </c>
      <c r="B220" s="17" t="s">
        <v>547</v>
      </c>
      <c r="C220" s="17" t="s">
        <v>271</v>
      </c>
      <c r="D220" s="17" t="s">
        <v>269</v>
      </c>
      <c r="E220" s="17">
        <v>5.2359699999999999E-4</v>
      </c>
      <c r="F220" s="6" t="s">
        <v>233</v>
      </c>
      <c r="G220" s="6" t="s">
        <v>234</v>
      </c>
      <c r="H220" s="6">
        <v>3</v>
      </c>
    </row>
    <row r="221" spans="1:8" ht="30" x14ac:dyDescent="0.25">
      <c r="A221" s="17" t="s">
        <v>548</v>
      </c>
      <c r="B221" s="17" t="s">
        <v>548</v>
      </c>
      <c r="C221" s="17" t="s">
        <v>271</v>
      </c>
      <c r="D221" s="17" t="s">
        <v>269</v>
      </c>
      <c r="E221" s="17">
        <v>5.2359699999999999E-4</v>
      </c>
      <c r="F221" s="6" t="s">
        <v>233</v>
      </c>
      <c r="G221" s="6" t="s">
        <v>234</v>
      </c>
      <c r="H221" s="6">
        <v>3</v>
      </c>
    </row>
    <row r="222" spans="1:8" ht="30" x14ac:dyDescent="0.25">
      <c r="A222" s="17" t="s">
        <v>549</v>
      </c>
      <c r="B222" s="17" t="s">
        <v>549</v>
      </c>
      <c r="C222" s="17" t="s">
        <v>271</v>
      </c>
      <c r="D222" s="17" t="s">
        <v>269</v>
      </c>
      <c r="E222" s="17">
        <v>5.2359699999999999E-4</v>
      </c>
      <c r="F222" s="6" t="s">
        <v>233</v>
      </c>
      <c r="G222" s="6" t="s">
        <v>234</v>
      </c>
      <c r="H222" s="6">
        <v>3</v>
      </c>
    </row>
    <row r="223" spans="1:8" ht="30" x14ac:dyDescent="0.25">
      <c r="A223" s="6" t="s">
        <v>550</v>
      </c>
      <c r="B223" s="6" t="s">
        <v>550</v>
      </c>
      <c r="C223" s="17" t="s">
        <v>271</v>
      </c>
      <c r="D223" s="17" t="s">
        <v>269</v>
      </c>
      <c r="E223" s="17">
        <v>5.2359699999999999E-4</v>
      </c>
      <c r="F223" s="6" t="s">
        <v>233</v>
      </c>
      <c r="G223" s="6" t="s">
        <v>234</v>
      </c>
      <c r="H223" s="6">
        <v>3</v>
      </c>
    </row>
    <row r="224" spans="1:8" ht="30" x14ac:dyDescent="0.25">
      <c r="A224" s="17" t="s">
        <v>551</v>
      </c>
      <c r="B224" s="17" t="s">
        <v>551</v>
      </c>
      <c r="C224" s="17" t="s">
        <v>271</v>
      </c>
      <c r="D224" s="17" t="s">
        <v>269</v>
      </c>
      <c r="E224" s="17">
        <v>5.2359699999999999E-4</v>
      </c>
      <c r="F224" s="6" t="s">
        <v>233</v>
      </c>
      <c r="G224" s="6" t="s">
        <v>234</v>
      </c>
      <c r="H224" s="6">
        <v>3</v>
      </c>
    </row>
    <row r="225" spans="1:8" ht="30" x14ac:dyDescent="0.25">
      <c r="A225" s="17" t="s">
        <v>552</v>
      </c>
      <c r="B225" s="17" t="s">
        <v>552</v>
      </c>
      <c r="C225" s="17" t="s">
        <v>271</v>
      </c>
      <c r="D225" s="17" t="s">
        <v>269</v>
      </c>
      <c r="E225" s="17">
        <v>5.2359699999999999E-4</v>
      </c>
      <c r="F225" s="6" t="s">
        <v>233</v>
      </c>
      <c r="G225" s="6" t="s">
        <v>234</v>
      </c>
      <c r="H225" s="6">
        <v>3</v>
      </c>
    </row>
    <row r="226" spans="1:8" ht="30" x14ac:dyDescent="0.25">
      <c r="A226" s="17" t="s">
        <v>553</v>
      </c>
      <c r="B226" s="17" t="s">
        <v>553</v>
      </c>
      <c r="C226" s="17" t="s">
        <v>271</v>
      </c>
      <c r="D226" s="17" t="s">
        <v>269</v>
      </c>
      <c r="E226" s="17">
        <v>5.2359699999999999E-4</v>
      </c>
      <c r="F226" s="6" t="s">
        <v>233</v>
      </c>
      <c r="G226" s="6" t="s">
        <v>234</v>
      </c>
      <c r="H226" s="6">
        <v>3</v>
      </c>
    </row>
    <row r="227" spans="1:8" ht="30" x14ac:dyDescent="0.25">
      <c r="A227" s="17" t="s">
        <v>554</v>
      </c>
      <c r="B227" s="17" t="s">
        <v>554</v>
      </c>
      <c r="C227" s="17" t="s">
        <v>271</v>
      </c>
      <c r="D227" s="17" t="s">
        <v>269</v>
      </c>
      <c r="E227" s="17">
        <v>5.2359699999999999E-4</v>
      </c>
      <c r="F227" s="6" t="s">
        <v>233</v>
      </c>
      <c r="G227" s="6" t="s">
        <v>234</v>
      </c>
      <c r="H227" s="6">
        <v>3</v>
      </c>
    </row>
    <row r="228" spans="1:8" ht="30" x14ac:dyDescent="0.25">
      <c r="A228" s="17" t="s">
        <v>555</v>
      </c>
      <c r="B228" s="17" t="s">
        <v>555</v>
      </c>
      <c r="C228" s="17" t="s">
        <v>271</v>
      </c>
      <c r="D228" s="17" t="s">
        <v>269</v>
      </c>
      <c r="E228" s="17">
        <v>5.2359699999999999E-4</v>
      </c>
      <c r="F228" s="6" t="s">
        <v>233</v>
      </c>
      <c r="G228" s="6" t="s">
        <v>234</v>
      </c>
      <c r="H228" s="6">
        <v>3</v>
      </c>
    </row>
    <row r="229" spans="1:8" ht="30" x14ac:dyDescent="0.25">
      <c r="A229" s="17" t="s">
        <v>556</v>
      </c>
      <c r="B229" s="17" t="s">
        <v>556</v>
      </c>
      <c r="C229" s="17" t="s">
        <v>271</v>
      </c>
      <c r="D229" s="17" t="s">
        <v>269</v>
      </c>
      <c r="E229" s="17">
        <v>5.2359699999999999E-4</v>
      </c>
      <c r="F229" s="6" t="s">
        <v>233</v>
      </c>
      <c r="G229" s="6" t="s">
        <v>234</v>
      </c>
      <c r="H229" s="6">
        <v>3</v>
      </c>
    </row>
    <row r="230" spans="1:8" ht="30" x14ac:dyDescent="0.25">
      <c r="A230" s="17" t="s">
        <v>557</v>
      </c>
      <c r="B230" s="17" t="s">
        <v>557</v>
      </c>
      <c r="C230" s="17" t="s">
        <v>271</v>
      </c>
      <c r="D230" s="17" t="s">
        <v>269</v>
      </c>
      <c r="E230" s="17">
        <v>5.2359699999999999E-4</v>
      </c>
      <c r="F230" s="6" t="s">
        <v>233</v>
      </c>
      <c r="G230" s="6" t="s">
        <v>234</v>
      </c>
      <c r="H230" s="6">
        <v>3</v>
      </c>
    </row>
    <row r="231" spans="1:8" ht="30" x14ac:dyDescent="0.25">
      <c r="A231" s="17" t="s">
        <v>558</v>
      </c>
      <c r="B231" s="17" t="s">
        <v>558</v>
      </c>
      <c r="C231" s="17" t="s">
        <v>271</v>
      </c>
      <c r="D231" s="17" t="s">
        <v>269</v>
      </c>
      <c r="E231" s="17">
        <v>5.2359699999999999E-4</v>
      </c>
      <c r="F231" s="6" t="s">
        <v>233</v>
      </c>
      <c r="G231" s="6" t="s">
        <v>234</v>
      </c>
      <c r="H231" s="6">
        <v>3</v>
      </c>
    </row>
    <row r="232" spans="1:8" ht="30" x14ac:dyDescent="0.25">
      <c r="A232" s="17" t="s">
        <v>559</v>
      </c>
      <c r="B232" s="17" t="s">
        <v>559</v>
      </c>
      <c r="C232" s="17" t="s">
        <v>271</v>
      </c>
      <c r="D232" s="17" t="s">
        <v>269</v>
      </c>
      <c r="E232" s="17">
        <v>5.2359699999999999E-4</v>
      </c>
      <c r="F232" s="6" t="s">
        <v>233</v>
      </c>
      <c r="G232" s="6" t="s">
        <v>234</v>
      </c>
      <c r="H232" s="6">
        <v>3</v>
      </c>
    </row>
    <row r="233" spans="1:8" ht="30" x14ac:dyDescent="0.25">
      <c r="A233" s="17" t="s">
        <v>560</v>
      </c>
      <c r="B233" s="17" t="s">
        <v>560</v>
      </c>
      <c r="C233" s="17" t="s">
        <v>271</v>
      </c>
      <c r="D233" s="17" t="s">
        <v>269</v>
      </c>
      <c r="E233" s="17">
        <v>5.2359699999999999E-4</v>
      </c>
      <c r="F233" s="6" t="s">
        <v>233</v>
      </c>
      <c r="G233" s="6" t="s">
        <v>234</v>
      </c>
      <c r="H233" s="6">
        <v>3</v>
      </c>
    </row>
    <row r="234" spans="1:8" ht="30" x14ac:dyDescent="0.25">
      <c r="A234" s="17" t="s">
        <v>561</v>
      </c>
      <c r="B234" s="17" t="s">
        <v>561</v>
      </c>
      <c r="C234" s="17" t="s">
        <v>271</v>
      </c>
      <c r="D234" s="17" t="s">
        <v>269</v>
      </c>
      <c r="E234" s="17">
        <v>5.2359699999999999E-4</v>
      </c>
      <c r="F234" s="6" t="s">
        <v>233</v>
      </c>
      <c r="G234" s="6" t="s">
        <v>234</v>
      </c>
      <c r="H234" s="6">
        <v>3</v>
      </c>
    </row>
    <row r="235" spans="1:8" ht="30" x14ac:dyDescent="0.25">
      <c r="A235" s="17" t="s">
        <v>562</v>
      </c>
      <c r="B235" s="17" t="s">
        <v>562</v>
      </c>
      <c r="C235" s="17" t="s">
        <v>271</v>
      </c>
      <c r="D235" s="17" t="s">
        <v>269</v>
      </c>
      <c r="E235" s="17">
        <v>5.2359699999999999E-4</v>
      </c>
      <c r="F235" s="6" t="s">
        <v>233</v>
      </c>
      <c r="G235" s="6" t="s">
        <v>234</v>
      </c>
      <c r="H235" s="6">
        <v>3</v>
      </c>
    </row>
    <row r="236" spans="1:8" ht="30" x14ac:dyDescent="0.25">
      <c r="A236" s="17" t="s">
        <v>563</v>
      </c>
      <c r="B236" s="17" t="s">
        <v>563</v>
      </c>
      <c r="C236" s="17" t="s">
        <v>271</v>
      </c>
      <c r="D236" s="17" t="s">
        <v>269</v>
      </c>
      <c r="E236" s="17">
        <v>5.2359699999999999E-4</v>
      </c>
      <c r="F236" s="6" t="s">
        <v>233</v>
      </c>
      <c r="G236" s="6" t="s">
        <v>234</v>
      </c>
      <c r="H236" s="6">
        <v>3</v>
      </c>
    </row>
    <row r="237" spans="1:8" ht="30" x14ac:dyDescent="0.25">
      <c r="A237" s="17" t="s">
        <v>564</v>
      </c>
      <c r="B237" s="17" t="s">
        <v>564</v>
      </c>
      <c r="C237" s="17" t="s">
        <v>271</v>
      </c>
      <c r="D237" s="17" t="s">
        <v>269</v>
      </c>
      <c r="E237" s="17">
        <v>5.2359699999999999E-4</v>
      </c>
      <c r="F237" s="6" t="s">
        <v>233</v>
      </c>
      <c r="G237" s="6" t="s">
        <v>234</v>
      </c>
      <c r="H237" s="6">
        <v>3</v>
      </c>
    </row>
    <row r="238" spans="1:8" ht="30" x14ac:dyDescent="0.25">
      <c r="A238" s="17" t="s">
        <v>565</v>
      </c>
      <c r="B238" s="17" t="s">
        <v>565</v>
      </c>
      <c r="C238" s="17" t="s">
        <v>271</v>
      </c>
      <c r="D238" s="17" t="s">
        <v>269</v>
      </c>
      <c r="E238" s="17">
        <v>5.2359699999999999E-4</v>
      </c>
      <c r="F238" s="6" t="s">
        <v>233</v>
      </c>
      <c r="G238" s="6" t="s">
        <v>234</v>
      </c>
      <c r="H238" s="6">
        <v>3</v>
      </c>
    </row>
    <row r="239" spans="1:8" ht="30" x14ac:dyDescent="0.25">
      <c r="A239" s="17" t="s">
        <v>566</v>
      </c>
      <c r="B239" s="17" t="s">
        <v>566</v>
      </c>
      <c r="C239" s="17" t="s">
        <v>271</v>
      </c>
      <c r="D239" s="17" t="s">
        <v>269</v>
      </c>
      <c r="E239" s="17">
        <v>5.2359699999999999E-4</v>
      </c>
      <c r="F239" s="6" t="s">
        <v>233</v>
      </c>
      <c r="G239" s="6" t="s">
        <v>234</v>
      </c>
      <c r="H239" s="6">
        <v>3</v>
      </c>
    </row>
    <row r="240" spans="1:8" ht="30" x14ac:dyDescent="0.25">
      <c r="A240" s="17" t="s">
        <v>567</v>
      </c>
      <c r="B240" s="17" t="s">
        <v>567</v>
      </c>
      <c r="C240" s="17" t="s">
        <v>271</v>
      </c>
      <c r="D240" s="17" t="s">
        <v>269</v>
      </c>
      <c r="E240" s="17">
        <v>5.2359699999999999E-4</v>
      </c>
      <c r="F240" s="6" t="s">
        <v>233</v>
      </c>
      <c r="G240" s="6" t="s">
        <v>234</v>
      </c>
      <c r="H240" s="6">
        <v>3</v>
      </c>
    </row>
    <row r="241" spans="1:8" ht="30" x14ac:dyDescent="0.25">
      <c r="A241" s="17" t="s">
        <v>568</v>
      </c>
      <c r="B241" s="17" t="s">
        <v>568</v>
      </c>
      <c r="C241" s="17" t="s">
        <v>271</v>
      </c>
      <c r="D241" s="17" t="s">
        <v>269</v>
      </c>
      <c r="E241" s="17">
        <v>5.2359699999999999E-4</v>
      </c>
      <c r="F241" s="6" t="s">
        <v>233</v>
      </c>
      <c r="G241" s="6" t="s">
        <v>234</v>
      </c>
      <c r="H241" s="6">
        <v>3</v>
      </c>
    </row>
    <row r="242" spans="1:8" ht="30" x14ac:dyDescent="0.25">
      <c r="A242" s="17" t="s">
        <v>569</v>
      </c>
      <c r="B242" s="17" t="s">
        <v>569</v>
      </c>
      <c r="C242" s="17" t="s">
        <v>271</v>
      </c>
      <c r="D242" s="17" t="s">
        <v>269</v>
      </c>
      <c r="E242" s="17">
        <v>5.2359699999999999E-4</v>
      </c>
      <c r="F242" s="6" t="s">
        <v>233</v>
      </c>
      <c r="G242" s="6" t="s">
        <v>234</v>
      </c>
      <c r="H242" s="6">
        <v>3</v>
      </c>
    </row>
    <row r="243" spans="1:8" ht="30" x14ac:dyDescent="0.25">
      <c r="A243" s="17" t="s">
        <v>570</v>
      </c>
      <c r="B243" s="17" t="s">
        <v>570</v>
      </c>
      <c r="C243" s="17" t="s">
        <v>271</v>
      </c>
      <c r="D243" s="17" t="s">
        <v>269</v>
      </c>
      <c r="E243" s="17">
        <v>5.2359699999999999E-4</v>
      </c>
      <c r="F243" s="6" t="s">
        <v>233</v>
      </c>
      <c r="G243" s="6" t="s">
        <v>234</v>
      </c>
      <c r="H243" s="6">
        <v>3</v>
      </c>
    </row>
    <row r="244" spans="1:8" ht="30" x14ac:dyDescent="0.25">
      <c r="A244" s="17" t="s">
        <v>571</v>
      </c>
      <c r="B244" s="17" t="s">
        <v>571</v>
      </c>
      <c r="C244" s="17" t="s">
        <v>271</v>
      </c>
      <c r="D244" s="17" t="s">
        <v>269</v>
      </c>
      <c r="E244" s="17">
        <v>5.2359699999999999E-4</v>
      </c>
      <c r="F244" s="6" t="s">
        <v>233</v>
      </c>
      <c r="G244" s="6" t="s">
        <v>234</v>
      </c>
      <c r="H244" s="6">
        <v>3</v>
      </c>
    </row>
    <row r="245" spans="1:8" ht="30" x14ac:dyDescent="0.25">
      <c r="A245" s="17" t="s">
        <v>572</v>
      </c>
      <c r="B245" s="17" t="s">
        <v>572</v>
      </c>
      <c r="C245" s="17" t="s">
        <v>271</v>
      </c>
      <c r="D245" s="17" t="s">
        <v>269</v>
      </c>
      <c r="E245" s="17">
        <v>5.2359699999999999E-4</v>
      </c>
      <c r="F245" s="6" t="s">
        <v>233</v>
      </c>
      <c r="G245" s="6" t="s">
        <v>234</v>
      </c>
      <c r="H245" s="6">
        <v>3</v>
      </c>
    </row>
    <row r="246" spans="1:8" ht="30" x14ac:dyDescent="0.25">
      <c r="A246" s="17" t="s">
        <v>573</v>
      </c>
      <c r="B246" s="17" t="s">
        <v>573</v>
      </c>
      <c r="C246" s="17" t="s">
        <v>271</v>
      </c>
      <c r="D246" s="17" t="s">
        <v>269</v>
      </c>
      <c r="E246" s="17">
        <v>5.2359699999999999E-4</v>
      </c>
      <c r="F246" s="6" t="s">
        <v>233</v>
      </c>
      <c r="G246" s="6" t="s">
        <v>234</v>
      </c>
      <c r="H246" s="6">
        <v>3</v>
      </c>
    </row>
    <row r="247" spans="1:8" ht="30" x14ac:dyDescent="0.25">
      <c r="A247" s="17" t="s">
        <v>574</v>
      </c>
      <c r="B247" s="17" t="s">
        <v>574</v>
      </c>
      <c r="C247" s="17" t="s">
        <v>271</v>
      </c>
      <c r="D247" s="17" t="s">
        <v>269</v>
      </c>
      <c r="E247" s="17">
        <v>5.2359699999999999E-4</v>
      </c>
      <c r="F247" s="6" t="s">
        <v>233</v>
      </c>
      <c r="G247" s="6" t="s">
        <v>234</v>
      </c>
      <c r="H247" s="6">
        <v>3</v>
      </c>
    </row>
    <row r="248" spans="1:8" ht="30" x14ac:dyDescent="0.25">
      <c r="A248" s="17" t="s">
        <v>575</v>
      </c>
      <c r="B248" s="17" t="s">
        <v>575</v>
      </c>
      <c r="C248" s="17" t="s">
        <v>271</v>
      </c>
      <c r="D248" s="17" t="s">
        <v>269</v>
      </c>
      <c r="E248" s="17">
        <v>5.2359699999999999E-4</v>
      </c>
      <c r="F248" s="6" t="s">
        <v>233</v>
      </c>
      <c r="G248" s="6" t="s">
        <v>234</v>
      </c>
      <c r="H248" s="6">
        <v>3</v>
      </c>
    </row>
    <row r="249" spans="1:8" ht="30" x14ac:dyDescent="0.25">
      <c r="A249" s="17" t="s">
        <v>576</v>
      </c>
      <c r="B249" s="17" t="s">
        <v>576</v>
      </c>
      <c r="C249" s="17" t="s">
        <v>271</v>
      </c>
      <c r="D249" s="17" t="s">
        <v>269</v>
      </c>
      <c r="E249" s="17">
        <v>5.2359699999999999E-4</v>
      </c>
      <c r="F249" s="6" t="s">
        <v>233</v>
      </c>
      <c r="G249" s="6" t="s">
        <v>234</v>
      </c>
      <c r="H249" s="6">
        <v>3</v>
      </c>
    </row>
    <row r="250" spans="1:8" ht="30" x14ac:dyDescent="0.25">
      <c r="A250" s="17" t="s">
        <v>577</v>
      </c>
      <c r="B250" s="17" t="s">
        <v>577</v>
      </c>
      <c r="C250" s="17" t="s">
        <v>271</v>
      </c>
      <c r="D250" s="17" t="s">
        <v>269</v>
      </c>
      <c r="E250" s="17">
        <v>5.2359699999999999E-4</v>
      </c>
      <c r="F250" s="6" t="s">
        <v>233</v>
      </c>
      <c r="G250" s="6" t="s">
        <v>234</v>
      </c>
      <c r="H250" s="6">
        <v>3</v>
      </c>
    </row>
    <row r="251" spans="1:8" ht="30" x14ac:dyDescent="0.25">
      <c r="A251" s="17" t="s">
        <v>578</v>
      </c>
      <c r="B251" s="17" t="s">
        <v>578</v>
      </c>
      <c r="C251" s="17" t="s">
        <v>271</v>
      </c>
      <c r="D251" s="17" t="s">
        <v>269</v>
      </c>
      <c r="E251" s="17">
        <v>5.2359699999999999E-4</v>
      </c>
      <c r="F251" s="6" t="s">
        <v>233</v>
      </c>
      <c r="G251" s="6" t="s">
        <v>234</v>
      </c>
      <c r="H251" s="6">
        <v>3</v>
      </c>
    </row>
    <row r="252" spans="1:8" ht="30" x14ac:dyDescent="0.25">
      <c r="A252" s="17" t="s">
        <v>579</v>
      </c>
      <c r="B252" s="17" t="s">
        <v>579</v>
      </c>
      <c r="C252" s="17" t="s">
        <v>271</v>
      </c>
      <c r="D252" s="17" t="s">
        <v>269</v>
      </c>
      <c r="E252" s="17">
        <v>5.2359699999999999E-4</v>
      </c>
      <c r="F252" s="6" t="s">
        <v>233</v>
      </c>
      <c r="G252" s="6" t="s">
        <v>234</v>
      </c>
      <c r="H252" s="6">
        <v>3</v>
      </c>
    </row>
    <row r="253" spans="1:8" ht="30" x14ac:dyDescent="0.25">
      <c r="A253" s="17" t="s">
        <v>580</v>
      </c>
      <c r="B253" s="17" t="s">
        <v>580</v>
      </c>
      <c r="C253" s="17" t="s">
        <v>271</v>
      </c>
      <c r="D253" s="17" t="s">
        <v>269</v>
      </c>
      <c r="E253" s="17">
        <v>5.2359699999999999E-4</v>
      </c>
      <c r="F253" s="6" t="s">
        <v>233</v>
      </c>
      <c r="G253" s="6" t="s">
        <v>234</v>
      </c>
      <c r="H253" s="6">
        <v>3</v>
      </c>
    </row>
    <row r="254" spans="1:8" ht="30" x14ac:dyDescent="0.25">
      <c r="A254" s="17" t="s">
        <v>581</v>
      </c>
      <c r="B254" s="17" t="s">
        <v>581</v>
      </c>
      <c r="C254" s="17" t="s">
        <v>271</v>
      </c>
      <c r="D254" s="17" t="s">
        <v>269</v>
      </c>
      <c r="E254" s="17">
        <v>5.2359699999999999E-4</v>
      </c>
      <c r="F254" s="6" t="s">
        <v>233</v>
      </c>
      <c r="G254" s="6" t="s">
        <v>234</v>
      </c>
      <c r="H254" s="6">
        <v>3</v>
      </c>
    </row>
    <row r="255" spans="1:8" ht="30" x14ac:dyDescent="0.25">
      <c r="A255" s="17" t="s">
        <v>582</v>
      </c>
      <c r="B255" s="17" t="s">
        <v>582</v>
      </c>
      <c r="C255" s="17" t="s">
        <v>313</v>
      </c>
      <c r="D255" s="17" t="s">
        <v>311</v>
      </c>
      <c r="E255" s="17">
        <v>4.5576999999999998E-4</v>
      </c>
      <c r="F255" s="6" t="s">
        <v>233</v>
      </c>
      <c r="G255" s="6" t="s">
        <v>234</v>
      </c>
      <c r="H255" s="6">
        <v>3</v>
      </c>
    </row>
    <row r="256" spans="1:8" ht="30" x14ac:dyDescent="0.25">
      <c r="A256" s="17" t="s">
        <v>583</v>
      </c>
      <c r="B256" s="17" t="s">
        <v>583</v>
      </c>
      <c r="C256" s="17" t="s">
        <v>271</v>
      </c>
      <c r="D256" s="17" t="s">
        <v>269</v>
      </c>
      <c r="E256" s="17">
        <v>5.2359699999999999E-4</v>
      </c>
      <c r="F256" s="6" t="s">
        <v>233</v>
      </c>
      <c r="G256" s="6" t="s">
        <v>234</v>
      </c>
      <c r="H256" s="6">
        <v>3</v>
      </c>
    </row>
    <row r="257" spans="1:8" ht="30" x14ac:dyDescent="0.25">
      <c r="A257" s="17" t="s">
        <v>584</v>
      </c>
      <c r="B257" s="17" t="s">
        <v>584</v>
      </c>
      <c r="C257" s="17" t="s">
        <v>271</v>
      </c>
      <c r="D257" s="17" t="s">
        <v>269</v>
      </c>
      <c r="E257" s="17">
        <v>5.2359699999999999E-4</v>
      </c>
      <c r="F257" s="6" t="s">
        <v>233</v>
      </c>
      <c r="G257" s="6" t="s">
        <v>234</v>
      </c>
      <c r="H257" s="6">
        <v>3</v>
      </c>
    </row>
    <row r="258" spans="1:8" ht="30" x14ac:dyDescent="0.25">
      <c r="A258" s="17" t="s">
        <v>585</v>
      </c>
      <c r="B258" s="17" t="s">
        <v>585</v>
      </c>
      <c r="C258" s="17" t="s">
        <v>271</v>
      </c>
      <c r="D258" s="17" t="s">
        <v>269</v>
      </c>
      <c r="E258" s="17">
        <v>5.2359699999999999E-4</v>
      </c>
      <c r="F258" s="6" t="s">
        <v>233</v>
      </c>
      <c r="G258" s="6" t="s">
        <v>234</v>
      </c>
      <c r="H258" s="6">
        <v>3</v>
      </c>
    </row>
    <row r="259" spans="1:8" ht="30" x14ac:dyDescent="0.25">
      <c r="A259" s="17" t="s">
        <v>586</v>
      </c>
      <c r="B259" s="17" t="s">
        <v>586</v>
      </c>
      <c r="C259" s="17" t="s">
        <v>271</v>
      </c>
      <c r="D259" s="17" t="s">
        <v>269</v>
      </c>
      <c r="E259" s="17">
        <v>5.2359699999999999E-4</v>
      </c>
      <c r="F259" s="6" t="s">
        <v>233</v>
      </c>
      <c r="G259" s="6" t="s">
        <v>234</v>
      </c>
      <c r="H259" s="6">
        <v>3</v>
      </c>
    </row>
    <row r="260" spans="1:8" ht="30" x14ac:dyDescent="0.25">
      <c r="A260" s="17" t="s">
        <v>587</v>
      </c>
      <c r="B260" s="17" t="s">
        <v>587</v>
      </c>
      <c r="C260" s="17" t="s">
        <v>271</v>
      </c>
      <c r="D260" s="17" t="s">
        <v>269</v>
      </c>
      <c r="E260" s="17">
        <v>5.2359699999999999E-4</v>
      </c>
      <c r="F260" s="6" t="s">
        <v>233</v>
      </c>
      <c r="G260" s="6" t="s">
        <v>234</v>
      </c>
      <c r="H260" s="6">
        <v>3</v>
      </c>
    </row>
    <row r="261" spans="1:8" ht="30" x14ac:dyDescent="0.25">
      <c r="A261" s="17" t="s">
        <v>588</v>
      </c>
      <c r="B261" s="17" t="s">
        <v>588</v>
      </c>
      <c r="C261" s="17" t="s">
        <v>271</v>
      </c>
      <c r="D261" s="17" t="s">
        <v>269</v>
      </c>
      <c r="E261" s="17">
        <v>5.2359699999999999E-4</v>
      </c>
      <c r="F261" s="6" t="s">
        <v>233</v>
      </c>
      <c r="G261" s="6" t="s">
        <v>234</v>
      </c>
      <c r="H261" s="6">
        <v>3</v>
      </c>
    </row>
    <row r="262" spans="1:8" ht="30" x14ac:dyDescent="0.25">
      <c r="A262" s="17" t="s">
        <v>589</v>
      </c>
      <c r="B262" s="17" t="s">
        <v>589</v>
      </c>
      <c r="C262" s="17" t="s">
        <v>271</v>
      </c>
      <c r="D262" s="17" t="s">
        <v>269</v>
      </c>
      <c r="E262" s="17">
        <v>5.2359699999999999E-4</v>
      </c>
      <c r="F262" s="6" t="s">
        <v>233</v>
      </c>
      <c r="G262" s="6" t="s">
        <v>234</v>
      </c>
      <c r="H262" s="6">
        <v>3</v>
      </c>
    </row>
    <row r="263" spans="1:8" ht="30" x14ac:dyDescent="0.25">
      <c r="A263" s="17" t="s">
        <v>590</v>
      </c>
      <c r="B263" s="17" t="s">
        <v>590</v>
      </c>
      <c r="C263" s="17" t="s">
        <v>271</v>
      </c>
      <c r="D263" s="17" t="s">
        <v>269</v>
      </c>
      <c r="E263" s="17">
        <v>5.2359699999999999E-4</v>
      </c>
      <c r="F263" s="6" t="s">
        <v>233</v>
      </c>
      <c r="G263" s="6" t="s">
        <v>234</v>
      </c>
      <c r="H263" s="6">
        <v>3</v>
      </c>
    </row>
    <row r="264" spans="1:8" ht="30" x14ac:dyDescent="0.25">
      <c r="A264" s="17" t="s">
        <v>591</v>
      </c>
      <c r="B264" s="17" t="s">
        <v>591</v>
      </c>
      <c r="C264" s="17" t="s">
        <v>271</v>
      </c>
      <c r="D264" s="17" t="s">
        <v>269</v>
      </c>
      <c r="E264" s="17">
        <v>5.2359699999999999E-4</v>
      </c>
      <c r="F264" s="6" t="s">
        <v>233</v>
      </c>
      <c r="G264" s="6" t="s">
        <v>234</v>
      </c>
      <c r="H264" s="6">
        <v>3</v>
      </c>
    </row>
    <row r="265" spans="1:8" ht="30" x14ac:dyDescent="0.25">
      <c r="A265" s="17" t="s">
        <v>592</v>
      </c>
      <c r="B265" s="17" t="s">
        <v>592</v>
      </c>
      <c r="C265" s="17" t="s">
        <v>271</v>
      </c>
      <c r="D265" s="17" t="s">
        <v>269</v>
      </c>
      <c r="E265" s="17">
        <v>5.2359699999999999E-4</v>
      </c>
      <c r="F265" s="6" t="s">
        <v>233</v>
      </c>
      <c r="G265" s="6" t="s">
        <v>234</v>
      </c>
      <c r="H265" s="6">
        <v>3</v>
      </c>
    </row>
    <row r="266" spans="1:8" ht="30" x14ac:dyDescent="0.25">
      <c r="A266" s="17" t="s">
        <v>593</v>
      </c>
      <c r="B266" s="17" t="s">
        <v>593</v>
      </c>
      <c r="C266" s="17" t="s">
        <v>271</v>
      </c>
      <c r="D266" s="17" t="s">
        <v>269</v>
      </c>
      <c r="E266" s="17">
        <v>5.2359699999999999E-4</v>
      </c>
      <c r="F266" s="6" t="s">
        <v>233</v>
      </c>
      <c r="G266" s="6" t="s">
        <v>234</v>
      </c>
      <c r="H266" s="6">
        <v>3</v>
      </c>
    </row>
    <row r="267" spans="1:8" ht="30" x14ac:dyDescent="0.25">
      <c r="A267" s="17" t="s">
        <v>594</v>
      </c>
      <c r="B267" s="17" t="s">
        <v>594</v>
      </c>
      <c r="C267" s="17" t="s">
        <v>271</v>
      </c>
      <c r="D267" s="17" t="s">
        <v>269</v>
      </c>
      <c r="E267" s="17">
        <v>5.2359699999999999E-4</v>
      </c>
      <c r="F267" s="6" t="s">
        <v>233</v>
      </c>
      <c r="G267" s="6" t="s">
        <v>234</v>
      </c>
      <c r="H267" s="6">
        <v>3</v>
      </c>
    </row>
    <row r="268" spans="1:8" ht="30" x14ac:dyDescent="0.25">
      <c r="A268" s="17" t="s">
        <v>595</v>
      </c>
      <c r="B268" s="17" t="s">
        <v>595</v>
      </c>
      <c r="C268" s="17" t="s">
        <v>271</v>
      </c>
      <c r="D268" s="17" t="s">
        <v>269</v>
      </c>
      <c r="E268" s="17">
        <v>5.2359699999999999E-4</v>
      </c>
      <c r="F268" s="6" t="s">
        <v>233</v>
      </c>
      <c r="G268" s="6" t="s">
        <v>234</v>
      </c>
      <c r="H268" s="6">
        <v>3</v>
      </c>
    </row>
    <row r="269" spans="1:8" ht="30" x14ac:dyDescent="0.25">
      <c r="A269" s="17" t="s">
        <v>596</v>
      </c>
      <c r="B269" s="17" t="s">
        <v>596</v>
      </c>
      <c r="C269" s="17" t="s">
        <v>271</v>
      </c>
      <c r="D269" s="17" t="s">
        <v>269</v>
      </c>
      <c r="E269" s="17">
        <v>5.2359699999999999E-4</v>
      </c>
      <c r="F269" s="6" t="s">
        <v>233</v>
      </c>
      <c r="G269" s="6" t="s">
        <v>234</v>
      </c>
      <c r="H269" s="6">
        <v>3</v>
      </c>
    </row>
    <row r="270" spans="1:8" ht="30" x14ac:dyDescent="0.25">
      <c r="A270" s="17" t="s">
        <v>597</v>
      </c>
      <c r="B270" s="17" t="s">
        <v>597</v>
      </c>
      <c r="C270" s="17" t="s">
        <v>271</v>
      </c>
      <c r="D270" s="17" t="s">
        <v>269</v>
      </c>
      <c r="E270" s="17">
        <v>5.2359699999999999E-4</v>
      </c>
      <c r="F270" s="6" t="s">
        <v>233</v>
      </c>
      <c r="G270" s="6" t="s">
        <v>234</v>
      </c>
      <c r="H270" s="6">
        <v>3</v>
      </c>
    </row>
    <row r="271" spans="1:8" ht="30" x14ac:dyDescent="0.25">
      <c r="A271" s="17" t="s">
        <v>598</v>
      </c>
      <c r="B271" s="17" t="s">
        <v>598</v>
      </c>
      <c r="C271" s="17" t="s">
        <v>271</v>
      </c>
      <c r="D271" s="17" t="s">
        <v>269</v>
      </c>
      <c r="E271" s="17">
        <v>5.2359699999999999E-4</v>
      </c>
      <c r="F271" s="6" t="s">
        <v>233</v>
      </c>
      <c r="G271" s="6" t="s">
        <v>234</v>
      </c>
      <c r="H271" s="6">
        <v>3</v>
      </c>
    </row>
    <row r="272" spans="1:8" ht="30" x14ac:dyDescent="0.25">
      <c r="A272" s="17" t="s">
        <v>599</v>
      </c>
      <c r="B272" s="17" t="s">
        <v>599</v>
      </c>
      <c r="C272" s="17" t="s">
        <v>271</v>
      </c>
      <c r="D272" s="17" t="s">
        <v>269</v>
      </c>
      <c r="E272" s="17">
        <v>5.2359699999999999E-4</v>
      </c>
      <c r="F272" s="6" t="s">
        <v>233</v>
      </c>
      <c r="G272" s="6" t="s">
        <v>234</v>
      </c>
      <c r="H272" s="6">
        <v>3</v>
      </c>
    </row>
    <row r="273" spans="1:8" ht="30" x14ac:dyDescent="0.25">
      <c r="A273" s="17" t="s">
        <v>600</v>
      </c>
      <c r="B273" s="17" t="s">
        <v>600</v>
      </c>
      <c r="C273" s="17" t="s">
        <v>271</v>
      </c>
      <c r="D273" s="17" t="s">
        <v>269</v>
      </c>
      <c r="E273" s="17">
        <v>5.2359699999999999E-4</v>
      </c>
      <c r="F273" s="6" t="s">
        <v>233</v>
      </c>
      <c r="G273" s="6" t="s">
        <v>234</v>
      </c>
      <c r="H273" s="6">
        <v>3</v>
      </c>
    </row>
    <row r="274" spans="1:8" ht="30" x14ac:dyDescent="0.25">
      <c r="A274" s="17" t="s">
        <v>601</v>
      </c>
      <c r="B274" s="17" t="s">
        <v>601</v>
      </c>
      <c r="C274" s="17" t="s">
        <v>271</v>
      </c>
      <c r="D274" s="17" t="s">
        <v>269</v>
      </c>
      <c r="E274" s="17">
        <v>5.2359699999999999E-4</v>
      </c>
      <c r="F274" s="6" t="s">
        <v>233</v>
      </c>
      <c r="G274" s="6" t="s">
        <v>234</v>
      </c>
      <c r="H274" s="6">
        <v>3</v>
      </c>
    </row>
    <row r="275" spans="1:8" ht="30" x14ac:dyDescent="0.25">
      <c r="A275" s="17" t="s">
        <v>602</v>
      </c>
      <c r="B275" s="17" t="s">
        <v>602</v>
      </c>
      <c r="C275" s="17" t="s">
        <v>271</v>
      </c>
      <c r="D275" s="17" t="s">
        <v>269</v>
      </c>
      <c r="E275" s="17">
        <v>5.2359699999999999E-4</v>
      </c>
      <c r="F275" s="6" t="s">
        <v>233</v>
      </c>
      <c r="G275" s="6" t="s">
        <v>234</v>
      </c>
      <c r="H275" s="6">
        <v>3</v>
      </c>
    </row>
    <row r="276" spans="1:8" ht="30" x14ac:dyDescent="0.25">
      <c r="A276" s="17" t="s">
        <v>603</v>
      </c>
      <c r="B276" s="17" t="s">
        <v>603</v>
      </c>
      <c r="C276" s="17" t="s">
        <v>271</v>
      </c>
      <c r="D276" s="17" t="s">
        <v>269</v>
      </c>
      <c r="E276" s="17">
        <v>5.2359699999999999E-4</v>
      </c>
      <c r="F276" s="6" t="s">
        <v>233</v>
      </c>
      <c r="G276" s="6" t="s">
        <v>234</v>
      </c>
      <c r="H276" s="6">
        <v>3</v>
      </c>
    </row>
    <row r="277" spans="1:8" ht="30" x14ac:dyDescent="0.25">
      <c r="A277" s="17" t="s">
        <v>604</v>
      </c>
      <c r="B277" s="17" t="s">
        <v>604</v>
      </c>
      <c r="C277" s="17" t="s">
        <v>271</v>
      </c>
      <c r="D277" s="17" t="s">
        <v>269</v>
      </c>
      <c r="E277" s="17">
        <v>5.2359699999999999E-4</v>
      </c>
      <c r="F277" s="6" t="s">
        <v>233</v>
      </c>
      <c r="G277" s="6" t="s">
        <v>234</v>
      </c>
      <c r="H277" s="6">
        <v>3</v>
      </c>
    </row>
    <row r="278" spans="1:8" ht="30" x14ac:dyDescent="0.25">
      <c r="A278" s="17" t="s">
        <v>605</v>
      </c>
      <c r="B278" s="17" t="s">
        <v>605</v>
      </c>
      <c r="C278" s="17" t="s">
        <v>280</v>
      </c>
      <c r="D278" s="17" t="s">
        <v>278</v>
      </c>
      <c r="E278" s="17">
        <v>6.2829699999999999E-4</v>
      </c>
      <c r="F278" s="6" t="s">
        <v>233</v>
      </c>
      <c r="G278" s="6" t="s">
        <v>234</v>
      </c>
      <c r="H278" s="6">
        <v>3</v>
      </c>
    </row>
    <row r="279" spans="1:8" ht="30" x14ac:dyDescent="0.25">
      <c r="A279" s="17" t="s">
        <v>606</v>
      </c>
      <c r="B279" s="17" t="s">
        <v>606</v>
      </c>
      <c r="C279" s="17" t="s">
        <v>280</v>
      </c>
      <c r="D279" s="17" t="s">
        <v>278</v>
      </c>
      <c r="E279" s="17">
        <v>6.2829699999999999E-4</v>
      </c>
      <c r="F279" s="6" t="s">
        <v>233</v>
      </c>
      <c r="G279" s="6" t="s">
        <v>234</v>
      </c>
      <c r="H279" s="6">
        <v>3</v>
      </c>
    </row>
    <row r="280" spans="1:8" ht="30" x14ac:dyDescent="0.25">
      <c r="A280" s="6" t="s">
        <v>607</v>
      </c>
      <c r="B280" s="6" t="s">
        <v>607</v>
      </c>
      <c r="C280" s="17" t="s">
        <v>280</v>
      </c>
      <c r="D280" s="17" t="s">
        <v>278</v>
      </c>
      <c r="E280" s="17">
        <v>6.2829699999999999E-4</v>
      </c>
      <c r="F280" s="6" t="s">
        <v>233</v>
      </c>
      <c r="G280" s="6" t="s">
        <v>234</v>
      </c>
      <c r="H280" s="6">
        <v>3</v>
      </c>
    </row>
    <row r="281" spans="1:8" ht="30" x14ac:dyDescent="0.25">
      <c r="A281" s="17" t="s">
        <v>608</v>
      </c>
      <c r="B281" s="17" t="s">
        <v>608</v>
      </c>
      <c r="C281" s="17" t="s">
        <v>265</v>
      </c>
      <c r="D281" s="17" t="s">
        <v>263</v>
      </c>
      <c r="E281" s="17">
        <v>3.0448999999999998E-4</v>
      </c>
      <c r="F281" s="6" t="s">
        <v>233</v>
      </c>
      <c r="G281" s="6" t="s">
        <v>234</v>
      </c>
      <c r="H281" s="6">
        <v>3</v>
      </c>
    </row>
    <row r="282" spans="1:8" ht="30" x14ac:dyDescent="0.25">
      <c r="A282" s="6" t="s">
        <v>609</v>
      </c>
      <c r="B282" s="6" t="s">
        <v>609</v>
      </c>
      <c r="C282" s="17" t="s">
        <v>271</v>
      </c>
      <c r="D282" s="17" t="s">
        <v>269</v>
      </c>
      <c r="E282" s="17">
        <v>5.2359699999999999E-4</v>
      </c>
      <c r="F282" s="6" t="s">
        <v>233</v>
      </c>
      <c r="G282" s="6" t="s">
        <v>234</v>
      </c>
      <c r="H282" s="6">
        <v>3</v>
      </c>
    </row>
    <row r="283" spans="1:8" ht="30" x14ac:dyDescent="0.25">
      <c r="A283" s="17" t="s">
        <v>610</v>
      </c>
      <c r="B283" s="17" t="s">
        <v>610</v>
      </c>
      <c r="C283" s="17" t="s">
        <v>310</v>
      </c>
      <c r="D283" s="17" t="s">
        <v>308</v>
      </c>
      <c r="E283" s="17">
        <v>5.3341800000000002E-4</v>
      </c>
      <c r="F283" s="6" t="s">
        <v>233</v>
      </c>
      <c r="G283" s="6" t="s">
        <v>234</v>
      </c>
      <c r="H283" s="6">
        <v>3</v>
      </c>
    </row>
    <row r="284" spans="1:8" ht="30" x14ac:dyDescent="0.25">
      <c r="A284" s="6" t="s">
        <v>611</v>
      </c>
      <c r="B284" s="6" t="s">
        <v>611</v>
      </c>
      <c r="C284" s="17" t="s">
        <v>244</v>
      </c>
      <c r="D284" s="17" t="s">
        <v>242</v>
      </c>
      <c r="E284" s="17">
        <v>5.4284299999999999E-4</v>
      </c>
      <c r="F284" s="6" t="s">
        <v>233</v>
      </c>
      <c r="G284" s="6" t="s">
        <v>234</v>
      </c>
      <c r="H284" s="6">
        <v>3</v>
      </c>
    </row>
    <row r="285" spans="1:8" ht="30" x14ac:dyDescent="0.25">
      <c r="A285" s="17" t="s">
        <v>612</v>
      </c>
      <c r="B285" s="17" t="s">
        <v>612</v>
      </c>
      <c r="C285" s="17" t="s">
        <v>271</v>
      </c>
      <c r="D285" s="17" t="s">
        <v>269</v>
      </c>
      <c r="E285" s="17">
        <v>5.2359699999999999E-4</v>
      </c>
      <c r="F285" s="6" t="s">
        <v>233</v>
      </c>
      <c r="G285" s="6" t="s">
        <v>234</v>
      </c>
      <c r="H285" s="6">
        <v>3</v>
      </c>
    </row>
    <row r="286" spans="1:8" ht="30" x14ac:dyDescent="0.25">
      <c r="A286" s="17" t="s">
        <v>613</v>
      </c>
      <c r="B286" s="17" t="s">
        <v>613</v>
      </c>
      <c r="C286" s="17" t="s">
        <v>280</v>
      </c>
      <c r="D286" s="17" t="s">
        <v>278</v>
      </c>
      <c r="E286" s="17">
        <v>6.2829699999999999E-4</v>
      </c>
      <c r="F286" s="6" t="s">
        <v>233</v>
      </c>
      <c r="G286" s="6" t="s">
        <v>234</v>
      </c>
      <c r="H286" s="6">
        <v>3</v>
      </c>
    </row>
    <row r="287" spans="1:8" ht="30" x14ac:dyDescent="0.25">
      <c r="A287" s="17" t="s">
        <v>614</v>
      </c>
      <c r="B287" s="17" t="s">
        <v>614</v>
      </c>
      <c r="C287" s="17" t="s">
        <v>271</v>
      </c>
      <c r="D287" s="17" t="s">
        <v>269</v>
      </c>
      <c r="E287" s="17">
        <v>5.2359699999999999E-4</v>
      </c>
      <c r="F287" s="6" t="s">
        <v>233</v>
      </c>
      <c r="G287" s="6" t="s">
        <v>234</v>
      </c>
      <c r="H287" s="6">
        <v>3</v>
      </c>
    </row>
    <row r="288" spans="1:8" ht="30" x14ac:dyDescent="0.25">
      <c r="A288" s="17" t="s">
        <v>615</v>
      </c>
      <c r="B288" s="17" t="s">
        <v>615</v>
      </c>
      <c r="C288" s="17" t="s">
        <v>280</v>
      </c>
      <c r="D288" s="17" t="s">
        <v>278</v>
      </c>
      <c r="E288" s="17">
        <v>6.2829699999999999E-4</v>
      </c>
      <c r="F288" s="6" t="s">
        <v>233</v>
      </c>
      <c r="G288" s="6" t="s">
        <v>234</v>
      </c>
      <c r="H288" s="6">
        <v>3</v>
      </c>
    </row>
    <row r="289" spans="1:8" ht="30" x14ac:dyDescent="0.25">
      <c r="A289" s="6" t="s">
        <v>616</v>
      </c>
      <c r="B289" s="6" t="s">
        <v>616</v>
      </c>
      <c r="C289" s="17" t="s">
        <v>265</v>
      </c>
      <c r="D289" s="17" t="s">
        <v>263</v>
      </c>
      <c r="E289" s="17">
        <v>3.0449399999999999E-4</v>
      </c>
      <c r="F289" s="6" t="s">
        <v>233</v>
      </c>
      <c r="G289" s="6" t="s">
        <v>234</v>
      </c>
      <c r="H289" s="6">
        <v>3</v>
      </c>
    </row>
    <row r="290" spans="1:8" ht="30" x14ac:dyDescent="0.25">
      <c r="A290" s="17" t="s">
        <v>617</v>
      </c>
      <c r="B290" s="17" t="s">
        <v>617</v>
      </c>
      <c r="C290" s="17" t="s">
        <v>271</v>
      </c>
      <c r="D290" s="17" t="s">
        <v>269</v>
      </c>
      <c r="E290" s="17">
        <v>5.2359699999999999E-4</v>
      </c>
      <c r="F290" s="6" t="s">
        <v>233</v>
      </c>
      <c r="G290" s="6" t="s">
        <v>234</v>
      </c>
      <c r="H290" s="6">
        <v>3</v>
      </c>
    </row>
    <row r="291" spans="1:8" ht="30" x14ac:dyDescent="0.25">
      <c r="A291" s="6" t="s">
        <v>618</v>
      </c>
      <c r="B291" s="6" t="s">
        <v>618</v>
      </c>
      <c r="C291" s="17" t="s">
        <v>271</v>
      </c>
      <c r="D291" s="17" t="s">
        <v>269</v>
      </c>
      <c r="E291" s="17">
        <v>5.2359699999999999E-4</v>
      </c>
      <c r="F291" s="6" t="s">
        <v>233</v>
      </c>
      <c r="G291" s="6" t="s">
        <v>234</v>
      </c>
      <c r="H291" s="6">
        <v>3</v>
      </c>
    </row>
    <row r="292" spans="1:8" ht="30" x14ac:dyDescent="0.25">
      <c r="A292" s="6" t="s">
        <v>619</v>
      </c>
      <c r="B292" s="6" t="s">
        <v>619</v>
      </c>
      <c r="C292" s="17" t="s">
        <v>280</v>
      </c>
      <c r="D292" s="17" t="s">
        <v>278</v>
      </c>
      <c r="E292" s="17">
        <v>6.2829699999999999E-4</v>
      </c>
      <c r="F292" s="6" t="s">
        <v>233</v>
      </c>
      <c r="G292" s="6" t="s">
        <v>234</v>
      </c>
      <c r="H292" s="6">
        <v>3</v>
      </c>
    </row>
    <row r="293" spans="1:8" ht="30" x14ac:dyDescent="0.25">
      <c r="A293" s="6" t="s">
        <v>620</v>
      </c>
      <c r="B293" s="6" t="s">
        <v>620</v>
      </c>
      <c r="C293" s="17" t="s">
        <v>244</v>
      </c>
      <c r="D293" s="17" t="s">
        <v>242</v>
      </c>
      <c r="E293" s="17">
        <v>5.4284299999999999E-4</v>
      </c>
      <c r="F293" s="6" t="s">
        <v>233</v>
      </c>
      <c r="G293" s="6" t="s">
        <v>234</v>
      </c>
      <c r="H293" s="6">
        <v>3</v>
      </c>
    </row>
    <row r="294" spans="1:8" ht="30" x14ac:dyDescent="0.25">
      <c r="A294" s="17" t="s">
        <v>621</v>
      </c>
      <c r="B294" s="17" t="s">
        <v>621</v>
      </c>
      <c r="C294" s="17" t="s">
        <v>256</v>
      </c>
      <c r="D294" s="17" t="s">
        <v>254</v>
      </c>
      <c r="E294" s="17">
        <v>8.1312799999999998E-4</v>
      </c>
      <c r="F294" s="6" t="s">
        <v>233</v>
      </c>
      <c r="G294" s="6" t="s">
        <v>234</v>
      </c>
      <c r="H294" s="6">
        <v>3</v>
      </c>
    </row>
    <row r="295" spans="1:8" ht="30" x14ac:dyDescent="0.25">
      <c r="A295" s="17" t="s">
        <v>622</v>
      </c>
      <c r="B295" s="17" t="s">
        <v>622</v>
      </c>
      <c r="C295" s="17" t="s">
        <v>346</v>
      </c>
      <c r="D295" s="17" t="s">
        <v>347</v>
      </c>
      <c r="E295" s="17">
        <v>2.10657E-4</v>
      </c>
      <c r="F295" s="6" t="s">
        <v>233</v>
      </c>
      <c r="G295" s="6" t="s">
        <v>234</v>
      </c>
      <c r="H295" s="6">
        <v>3</v>
      </c>
    </row>
    <row r="296" spans="1:8" ht="30" x14ac:dyDescent="0.25">
      <c r="A296" s="17" t="s">
        <v>623</v>
      </c>
      <c r="B296" s="17" t="s">
        <v>623</v>
      </c>
      <c r="C296" s="17" t="s">
        <v>280</v>
      </c>
      <c r="D296" s="17" t="s">
        <v>278</v>
      </c>
      <c r="E296" s="17">
        <v>6.2829699999999999E-4</v>
      </c>
      <c r="F296" s="6" t="s">
        <v>233</v>
      </c>
      <c r="G296" s="6" t="s">
        <v>234</v>
      </c>
      <c r="H296" s="6">
        <v>3</v>
      </c>
    </row>
    <row r="297" spans="1:8" ht="30" x14ac:dyDescent="0.25">
      <c r="A297" s="17" t="s">
        <v>624</v>
      </c>
      <c r="B297" s="17" t="s">
        <v>624</v>
      </c>
      <c r="C297" s="17" t="s">
        <v>271</v>
      </c>
      <c r="D297" s="17" t="s">
        <v>269</v>
      </c>
      <c r="E297" s="17">
        <v>5.2359699999999999E-4</v>
      </c>
      <c r="F297" s="6" t="s">
        <v>233</v>
      </c>
      <c r="G297" s="6" t="s">
        <v>234</v>
      </c>
      <c r="H297" s="6">
        <v>3</v>
      </c>
    </row>
    <row r="298" spans="1:8" ht="30" x14ac:dyDescent="0.25">
      <c r="A298" s="17" t="s">
        <v>625</v>
      </c>
      <c r="B298" s="17" t="s">
        <v>625</v>
      </c>
      <c r="C298" s="17" t="s">
        <v>280</v>
      </c>
      <c r="D298" s="17" t="s">
        <v>278</v>
      </c>
      <c r="E298" s="17">
        <v>6.2829699999999999E-4</v>
      </c>
      <c r="F298" s="6" t="s">
        <v>233</v>
      </c>
      <c r="G298" s="6" t="s">
        <v>234</v>
      </c>
      <c r="H298" s="6">
        <v>3</v>
      </c>
    </row>
    <row r="299" spans="1:8" ht="30" x14ac:dyDescent="0.25">
      <c r="A299" s="17" t="s">
        <v>626</v>
      </c>
      <c r="B299" s="17" t="s">
        <v>626</v>
      </c>
      <c r="C299" s="17" t="s">
        <v>265</v>
      </c>
      <c r="D299" s="17" t="s">
        <v>263</v>
      </c>
      <c r="E299" s="17">
        <v>3.0449399999999999E-4</v>
      </c>
      <c r="F299" s="6" t="s">
        <v>233</v>
      </c>
      <c r="G299" s="6" t="s">
        <v>234</v>
      </c>
      <c r="H299" s="6">
        <v>3</v>
      </c>
    </row>
    <row r="300" spans="1:8" ht="30" x14ac:dyDescent="0.25">
      <c r="A300" s="17" t="s">
        <v>627</v>
      </c>
      <c r="B300" s="17" t="s">
        <v>627</v>
      </c>
      <c r="C300" s="17" t="s">
        <v>271</v>
      </c>
      <c r="D300" s="17" t="s">
        <v>269</v>
      </c>
      <c r="E300" s="17">
        <v>5.2359699999999999E-4</v>
      </c>
      <c r="F300" s="6" t="s">
        <v>233</v>
      </c>
      <c r="G300" s="6" t="s">
        <v>234</v>
      </c>
      <c r="H300" s="6">
        <v>3</v>
      </c>
    </row>
    <row r="301" spans="1:8" ht="30" x14ac:dyDescent="0.25">
      <c r="A301" s="17" t="s">
        <v>628</v>
      </c>
      <c r="B301" s="17" t="s">
        <v>628</v>
      </c>
      <c r="C301" s="17" t="s">
        <v>268</v>
      </c>
      <c r="D301" s="17" t="s">
        <v>266</v>
      </c>
      <c r="E301" s="17">
        <v>5.4511299999999996E-4</v>
      </c>
      <c r="F301" s="6" t="s">
        <v>233</v>
      </c>
      <c r="G301" s="6" t="s">
        <v>234</v>
      </c>
      <c r="H301" s="6">
        <v>3</v>
      </c>
    </row>
    <row r="302" spans="1:8" ht="30" x14ac:dyDescent="0.25">
      <c r="A302" s="17" t="s">
        <v>629</v>
      </c>
      <c r="B302" s="17" t="s">
        <v>629</v>
      </c>
      <c r="C302" s="17" t="s">
        <v>271</v>
      </c>
      <c r="D302" s="17" t="s">
        <v>269</v>
      </c>
      <c r="E302" s="17">
        <v>5.2359699999999999E-4</v>
      </c>
      <c r="F302" s="6" t="s">
        <v>233</v>
      </c>
      <c r="G302" s="6" t="s">
        <v>234</v>
      </c>
      <c r="H302" s="6">
        <v>3</v>
      </c>
    </row>
    <row r="303" spans="1:8" ht="30" x14ac:dyDescent="0.25">
      <c r="A303" s="17" t="s">
        <v>630</v>
      </c>
      <c r="B303" s="17" t="s">
        <v>630</v>
      </c>
      <c r="C303" s="17" t="s">
        <v>271</v>
      </c>
      <c r="D303" s="17" t="s">
        <v>269</v>
      </c>
      <c r="E303" s="17">
        <v>5.2359699999999999E-4</v>
      </c>
      <c r="F303" s="6" t="s">
        <v>233</v>
      </c>
      <c r="G303" s="6" t="s">
        <v>234</v>
      </c>
      <c r="H303" s="6">
        <v>3</v>
      </c>
    </row>
    <row r="304" spans="1:8" ht="30" x14ac:dyDescent="0.25">
      <c r="A304" s="6" t="s">
        <v>631</v>
      </c>
      <c r="B304" s="6" t="s">
        <v>631</v>
      </c>
      <c r="C304" s="17" t="s">
        <v>280</v>
      </c>
      <c r="D304" s="17" t="s">
        <v>278</v>
      </c>
      <c r="E304" s="17">
        <v>6.2829699999999999E-4</v>
      </c>
      <c r="F304" s="6" t="s">
        <v>233</v>
      </c>
      <c r="G304" s="6" t="s">
        <v>234</v>
      </c>
      <c r="H304" s="6">
        <v>3</v>
      </c>
    </row>
    <row r="305" spans="1:8" ht="30" x14ac:dyDescent="0.25">
      <c r="A305" s="17" t="s">
        <v>632</v>
      </c>
      <c r="B305" s="17" t="s">
        <v>632</v>
      </c>
      <c r="C305" s="17" t="s">
        <v>280</v>
      </c>
      <c r="D305" s="17" t="s">
        <v>278</v>
      </c>
      <c r="E305" s="17">
        <v>6.2829699999999999E-4</v>
      </c>
      <c r="F305" s="6" t="s">
        <v>233</v>
      </c>
      <c r="G305" s="6" t="s">
        <v>234</v>
      </c>
      <c r="H305" s="6">
        <v>3</v>
      </c>
    </row>
    <row r="306" spans="1:8" ht="30" x14ac:dyDescent="0.25">
      <c r="A306" s="17" t="s">
        <v>633</v>
      </c>
      <c r="B306" s="17" t="s">
        <v>633</v>
      </c>
      <c r="C306" s="17" t="s">
        <v>280</v>
      </c>
      <c r="D306" s="17" t="s">
        <v>278</v>
      </c>
      <c r="E306" s="17">
        <v>6.2829699999999999E-4</v>
      </c>
      <c r="F306" s="6" t="s">
        <v>233</v>
      </c>
      <c r="G306" s="6" t="s">
        <v>234</v>
      </c>
      <c r="H306" s="6">
        <v>3</v>
      </c>
    </row>
    <row r="307" spans="1:8" ht="30" x14ac:dyDescent="0.25">
      <c r="A307" s="17" t="s">
        <v>634</v>
      </c>
      <c r="B307" s="17" t="s">
        <v>634</v>
      </c>
      <c r="C307" s="17" t="s">
        <v>280</v>
      </c>
      <c r="D307" s="17" t="s">
        <v>278</v>
      </c>
      <c r="E307" s="17">
        <v>6.2829699999999999E-4</v>
      </c>
      <c r="F307" s="6" t="s">
        <v>233</v>
      </c>
      <c r="G307" s="6" t="s">
        <v>234</v>
      </c>
      <c r="H307" s="6">
        <v>3</v>
      </c>
    </row>
    <row r="308" spans="1:8" ht="30" x14ac:dyDescent="0.25">
      <c r="A308" s="17" t="s">
        <v>635</v>
      </c>
      <c r="B308" s="17" t="s">
        <v>635</v>
      </c>
      <c r="C308" s="17" t="s">
        <v>274</v>
      </c>
      <c r="D308" s="17" t="s">
        <v>272</v>
      </c>
      <c r="E308" s="17">
        <v>6.1713999999999996E-4</v>
      </c>
      <c r="F308" s="6" t="s">
        <v>233</v>
      </c>
      <c r="G308" s="6" t="s">
        <v>234</v>
      </c>
      <c r="H308" s="6">
        <v>3</v>
      </c>
    </row>
    <row r="309" spans="1:8" ht="30" x14ac:dyDescent="0.25">
      <c r="A309" s="17" t="s">
        <v>636</v>
      </c>
      <c r="B309" s="17" t="s">
        <v>636</v>
      </c>
      <c r="C309" s="17" t="s">
        <v>295</v>
      </c>
      <c r="D309" s="17" t="s">
        <v>293</v>
      </c>
      <c r="E309" s="17">
        <v>4.8170899999999998E-4</v>
      </c>
      <c r="F309" s="6" t="s">
        <v>233</v>
      </c>
      <c r="G309" s="6" t="s">
        <v>234</v>
      </c>
      <c r="H309" s="6">
        <v>3</v>
      </c>
    </row>
    <row r="310" spans="1:8" ht="30" x14ac:dyDescent="0.25">
      <c r="A310" s="17" t="s">
        <v>637</v>
      </c>
      <c r="B310" s="17" t="s">
        <v>637</v>
      </c>
      <c r="C310" s="17" t="s">
        <v>295</v>
      </c>
      <c r="D310" s="17" t="s">
        <v>293</v>
      </c>
      <c r="E310" s="17">
        <v>4.8170899999999998E-4</v>
      </c>
      <c r="F310" s="6" t="s">
        <v>233</v>
      </c>
      <c r="G310" s="6" t="s">
        <v>234</v>
      </c>
      <c r="H310" s="6">
        <v>3</v>
      </c>
    </row>
    <row r="311" spans="1:8" ht="30" x14ac:dyDescent="0.25">
      <c r="A311" s="17" t="s">
        <v>638</v>
      </c>
      <c r="B311" s="17" t="s">
        <v>638</v>
      </c>
      <c r="C311" s="17" t="s">
        <v>274</v>
      </c>
      <c r="D311" s="17" t="s">
        <v>272</v>
      </c>
      <c r="E311" s="17">
        <v>6.1713999999999996E-4</v>
      </c>
      <c r="F311" s="6" t="s">
        <v>233</v>
      </c>
      <c r="G311" s="6" t="s">
        <v>234</v>
      </c>
      <c r="H311" s="6">
        <v>3</v>
      </c>
    </row>
    <row r="312" spans="1:8" ht="30" x14ac:dyDescent="0.25">
      <c r="A312" s="17" t="s">
        <v>639</v>
      </c>
      <c r="B312" s="17" t="s">
        <v>639</v>
      </c>
      <c r="C312" s="17" t="s">
        <v>274</v>
      </c>
      <c r="D312" s="17" t="s">
        <v>272</v>
      </c>
      <c r="E312" s="17">
        <v>6.1713999999999996E-4</v>
      </c>
      <c r="F312" s="6" t="s">
        <v>233</v>
      </c>
      <c r="G312" s="6" t="s">
        <v>234</v>
      </c>
      <c r="H312" s="6">
        <v>3</v>
      </c>
    </row>
    <row r="313" spans="1:8" ht="30" x14ac:dyDescent="0.25">
      <c r="A313" s="17" t="s">
        <v>640</v>
      </c>
      <c r="B313" s="17" t="s">
        <v>640</v>
      </c>
      <c r="C313" s="17" t="s">
        <v>274</v>
      </c>
      <c r="D313" s="17" t="s">
        <v>272</v>
      </c>
      <c r="E313" s="17">
        <v>6.1713999999999996E-4</v>
      </c>
      <c r="F313" s="6" t="s">
        <v>233</v>
      </c>
      <c r="G313" s="6" t="s">
        <v>234</v>
      </c>
      <c r="H313" s="6">
        <v>3</v>
      </c>
    </row>
    <row r="314" spans="1:8" ht="30" x14ac:dyDescent="0.25">
      <c r="A314" s="17" t="s">
        <v>641</v>
      </c>
      <c r="B314" s="17" t="s">
        <v>641</v>
      </c>
      <c r="C314" s="17" t="s">
        <v>295</v>
      </c>
      <c r="D314" s="17" t="s">
        <v>293</v>
      </c>
      <c r="E314" s="17">
        <v>4.8170899999999998E-4</v>
      </c>
      <c r="F314" s="6" t="s">
        <v>233</v>
      </c>
      <c r="G314" s="6" t="s">
        <v>234</v>
      </c>
      <c r="H314" s="6">
        <v>3</v>
      </c>
    </row>
    <row r="315" spans="1:8" ht="30" x14ac:dyDescent="0.25">
      <c r="A315" s="17" t="s">
        <v>642</v>
      </c>
      <c r="B315" s="17" t="s">
        <v>642</v>
      </c>
      <c r="C315" s="17" t="s">
        <v>295</v>
      </c>
      <c r="D315" s="17" t="s">
        <v>293</v>
      </c>
      <c r="E315" s="17">
        <v>4.8170899999999998E-4</v>
      </c>
      <c r="F315" s="6" t="s">
        <v>233</v>
      </c>
      <c r="G315" s="6" t="s">
        <v>234</v>
      </c>
      <c r="H315" s="6">
        <v>3</v>
      </c>
    </row>
    <row r="316" spans="1:8" ht="30" x14ac:dyDescent="0.25">
      <c r="A316" s="17" t="s">
        <v>643</v>
      </c>
      <c r="B316" s="17" t="s">
        <v>643</v>
      </c>
      <c r="C316" s="17" t="s">
        <v>295</v>
      </c>
      <c r="D316" s="17" t="s">
        <v>293</v>
      </c>
      <c r="E316" s="17">
        <v>4.8170899999999998E-4</v>
      </c>
      <c r="F316" s="6" t="s">
        <v>233</v>
      </c>
      <c r="G316" s="6" t="s">
        <v>234</v>
      </c>
      <c r="H316" s="6">
        <v>3</v>
      </c>
    </row>
    <row r="317" spans="1:8" ht="30" x14ac:dyDescent="0.25">
      <c r="A317" s="17" t="s">
        <v>644</v>
      </c>
      <c r="B317" s="17" t="s">
        <v>644</v>
      </c>
      <c r="C317" s="17" t="s">
        <v>274</v>
      </c>
      <c r="D317" s="17" t="s">
        <v>272</v>
      </c>
      <c r="E317" s="17">
        <v>6.1713999999999996E-4</v>
      </c>
      <c r="F317" s="6" t="s">
        <v>233</v>
      </c>
      <c r="G317" s="6" t="s">
        <v>234</v>
      </c>
      <c r="H317" s="6">
        <v>3</v>
      </c>
    </row>
    <row r="318" spans="1:8" ht="30" x14ac:dyDescent="0.25">
      <c r="A318" s="17" t="s">
        <v>645</v>
      </c>
      <c r="B318" s="17" t="s">
        <v>645</v>
      </c>
      <c r="C318" s="17" t="s">
        <v>274</v>
      </c>
      <c r="D318" s="17" t="s">
        <v>272</v>
      </c>
      <c r="E318" s="17">
        <v>6.1713999999999996E-4</v>
      </c>
      <c r="F318" s="6" t="s">
        <v>233</v>
      </c>
      <c r="G318" s="6" t="s">
        <v>234</v>
      </c>
      <c r="H318" s="6">
        <v>3</v>
      </c>
    </row>
    <row r="319" spans="1:8" ht="30" x14ac:dyDescent="0.25">
      <c r="A319" s="17" t="s">
        <v>646</v>
      </c>
      <c r="B319" s="17" t="s">
        <v>646</v>
      </c>
      <c r="C319" s="17" t="s">
        <v>274</v>
      </c>
      <c r="D319" s="17" t="s">
        <v>272</v>
      </c>
      <c r="E319" s="17">
        <v>6.1713999999999996E-4</v>
      </c>
      <c r="F319" s="6" t="s">
        <v>233</v>
      </c>
      <c r="G319" s="6" t="s">
        <v>234</v>
      </c>
      <c r="H319" s="6">
        <v>3</v>
      </c>
    </row>
    <row r="320" spans="1:8" ht="30" x14ac:dyDescent="0.25">
      <c r="A320" s="17" t="s">
        <v>647</v>
      </c>
      <c r="B320" s="17" t="s">
        <v>647</v>
      </c>
      <c r="C320" s="17" t="s">
        <v>274</v>
      </c>
      <c r="D320" s="17" t="s">
        <v>272</v>
      </c>
      <c r="E320" s="17">
        <v>6.1713999999999996E-4</v>
      </c>
      <c r="F320" s="6" t="s">
        <v>233</v>
      </c>
      <c r="G320" s="6" t="s">
        <v>234</v>
      </c>
      <c r="H320" s="6">
        <v>3</v>
      </c>
    </row>
    <row r="321" spans="1:8" ht="30" x14ac:dyDescent="0.25">
      <c r="A321" s="17" t="s">
        <v>648</v>
      </c>
      <c r="B321" s="17" t="s">
        <v>648</v>
      </c>
      <c r="C321" s="17" t="s">
        <v>274</v>
      </c>
      <c r="D321" s="17" t="s">
        <v>272</v>
      </c>
      <c r="E321" s="17">
        <v>6.1713999999999996E-4</v>
      </c>
      <c r="F321" s="6" t="s">
        <v>233</v>
      </c>
      <c r="G321" s="6" t="s">
        <v>234</v>
      </c>
      <c r="H321" s="6">
        <v>3</v>
      </c>
    </row>
    <row r="322" spans="1:8" ht="30" x14ac:dyDescent="0.25">
      <c r="A322" s="17" t="s">
        <v>649</v>
      </c>
      <c r="B322" s="17" t="s">
        <v>649</v>
      </c>
      <c r="C322" s="17" t="s">
        <v>256</v>
      </c>
      <c r="D322" s="17" t="s">
        <v>254</v>
      </c>
      <c r="E322" s="17">
        <v>8.1312799999999998E-4</v>
      </c>
      <c r="F322" s="6" t="s">
        <v>233</v>
      </c>
      <c r="G322" s="6" t="s">
        <v>234</v>
      </c>
      <c r="H322" s="6">
        <v>3</v>
      </c>
    </row>
    <row r="323" spans="1:8" ht="30" x14ac:dyDescent="0.25">
      <c r="A323" s="17" t="s">
        <v>650</v>
      </c>
      <c r="B323" s="17" t="s">
        <v>650</v>
      </c>
      <c r="C323" s="17" t="s">
        <v>295</v>
      </c>
      <c r="D323" s="17" t="s">
        <v>293</v>
      </c>
      <c r="E323" s="17">
        <v>4.8170899999999998E-4</v>
      </c>
      <c r="F323" s="6" t="s">
        <v>233</v>
      </c>
      <c r="G323" s="6" t="s">
        <v>234</v>
      </c>
      <c r="H323" s="6">
        <v>3</v>
      </c>
    </row>
    <row r="324" spans="1:8" ht="30" x14ac:dyDescent="0.25">
      <c r="A324" s="17" t="s">
        <v>651</v>
      </c>
      <c r="B324" s="17" t="s">
        <v>651</v>
      </c>
      <c r="C324" s="17" t="s">
        <v>274</v>
      </c>
      <c r="D324" s="17" t="s">
        <v>272</v>
      </c>
      <c r="E324" s="17">
        <v>6.1713999999999996E-4</v>
      </c>
      <c r="F324" s="6" t="s">
        <v>233</v>
      </c>
      <c r="G324" s="6" t="s">
        <v>234</v>
      </c>
      <c r="H324" s="6">
        <v>3</v>
      </c>
    </row>
    <row r="325" spans="1:8" ht="30" x14ac:dyDescent="0.25">
      <c r="A325" s="17" t="s">
        <v>652</v>
      </c>
      <c r="B325" s="17" t="s">
        <v>652</v>
      </c>
      <c r="C325" s="17" t="s">
        <v>274</v>
      </c>
      <c r="D325" s="17" t="s">
        <v>272</v>
      </c>
      <c r="E325" s="17">
        <v>6.1713999999999996E-4</v>
      </c>
      <c r="F325" s="6" t="s">
        <v>233</v>
      </c>
      <c r="G325" s="6" t="s">
        <v>234</v>
      </c>
      <c r="H325" s="6">
        <v>3</v>
      </c>
    </row>
    <row r="326" spans="1:8" ht="30" x14ac:dyDescent="0.25">
      <c r="A326" s="17" t="s">
        <v>653</v>
      </c>
      <c r="B326" s="17" t="s">
        <v>653</v>
      </c>
      <c r="C326" s="17" t="s">
        <v>310</v>
      </c>
      <c r="D326" s="17" t="s">
        <v>308</v>
      </c>
      <c r="E326" s="17">
        <v>5.3341800000000002E-4</v>
      </c>
      <c r="F326" s="6" t="s">
        <v>233</v>
      </c>
      <c r="G326" s="6" t="s">
        <v>234</v>
      </c>
      <c r="H326" s="6">
        <v>3</v>
      </c>
    </row>
    <row r="327" spans="1:8" ht="30" x14ac:dyDescent="0.25">
      <c r="A327" s="17" t="s">
        <v>654</v>
      </c>
      <c r="B327" s="17" t="s">
        <v>654</v>
      </c>
      <c r="C327" s="17" t="s">
        <v>271</v>
      </c>
      <c r="D327" s="17" t="s">
        <v>269</v>
      </c>
      <c r="E327" s="17">
        <v>5.2359699999999999E-4</v>
      </c>
      <c r="F327" s="6" t="s">
        <v>233</v>
      </c>
      <c r="G327" s="6" t="s">
        <v>234</v>
      </c>
      <c r="H327" s="6">
        <v>3</v>
      </c>
    </row>
    <row r="328" spans="1:8" ht="30" x14ac:dyDescent="0.25">
      <c r="A328" s="17" t="s">
        <v>655</v>
      </c>
      <c r="B328" s="17" t="s">
        <v>655</v>
      </c>
      <c r="C328" s="17" t="s">
        <v>271</v>
      </c>
      <c r="D328" s="17" t="s">
        <v>269</v>
      </c>
      <c r="E328" s="17">
        <v>5.2359699999999999E-4</v>
      </c>
      <c r="F328" s="6" t="s">
        <v>233</v>
      </c>
      <c r="G328" s="6" t="s">
        <v>234</v>
      </c>
      <c r="H328" s="6">
        <v>3</v>
      </c>
    </row>
    <row r="329" spans="1:8" ht="30" x14ac:dyDescent="0.25">
      <c r="A329" s="17" t="s">
        <v>656</v>
      </c>
      <c r="B329" s="17" t="s">
        <v>656</v>
      </c>
      <c r="C329" s="17" t="s">
        <v>238</v>
      </c>
      <c r="D329" s="17" t="s">
        <v>235</v>
      </c>
      <c r="E329" s="17">
        <v>1.022263E-3</v>
      </c>
      <c r="F329" s="6" t="s">
        <v>233</v>
      </c>
      <c r="G329" s="6" t="s">
        <v>234</v>
      </c>
      <c r="H329" s="6">
        <v>3</v>
      </c>
    </row>
    <row r="330" spans="1:8" ht="30" x14ac:dyDescent="0.25">
      <c r="A330" s="17" t="s">
        <v>657</v>
      </c>
      <c r="B330" s="17" t="s">
        <v>657</v>
      </c>
      <c r="C330" s="17" t="s">
        <v>265</v>
      </c>
      <c r="D330" s="17" t="s">
        <v>263</v>
      </c>
      <c r="E330" s="17">
        <v>3.0449399999999999E-4</v>
      </c>
      <c r="F330" s="6" t="s">
        <v>233</v>
      </c>
      <c r="G330" s="6" t="s">
        <v>234</v>
      </c>
      <c r="H330" s="6">
        <v>3</v>
      </c>
    </row>
    <row r="331" spans="1:8" ht="30" x14ac:dyDescent="0.25">
      <c r="A331" s="17" t="s">
        <v>658</v>
      </c>
      <c r="B331" s="17" t="s">
        <v>658</v>
      </c>
      <c r="C331" s="17" t="s">
        <v>265</v>
      </c>
      <c r="D331" s="17" t="s">
        <v>263</v>
      </c>
      <c r="E331" s="17">
        <v>3.0449399999999999E-4</v>
      </c>
      <c r="F331" s="6" t="s">
        <v>233</v>
      </c>
      <c r="G331" s="6" t="s">
        <v>234</v>
      </c>
      <c r="H331" s="6">
        <v>3</v>
      </c>
    </row>
    <row r="332" spans="1:8" ht="30" x14ac:dyDescent="0.25">
      <c r="A332" s="17" t="s">
        <v>659</v>
      </c>
      <c r="B332" s="17" t="s">
        <v>659</v>
      </c>
      <c r="C332" s="17" t="s">
        <v>256</v>
      </c>
      <c r="D332" s="17" t="s">
        <v>254</v>
      </c>
      <c r="E332" s="17">
        <v>8.1312799999999998E-4</v>
      </c>
      <c r="F332" s="6" t="s">
        <v>233</v>
      </c>
      <c r="G332" s="6" t="s">
        <v>234</v>
      </c>
      <c r="H332" s="6">
        <v>3</v>
      </c>
    </row>
    <row r="333" spans="1:8" ht="30" x14ac:dyDescent="0.25">
      <c r="A333" s="17" t="s">
        <v>660</v>
      </c>
      <c r="B333" s="17" t="s">
        <v>660</v>
      </c>
      <c r="C333" s="17" t="s">
        <v>280</v>
      </c>
      <c r="D333" s="17" t="s">
        <v>278</v>
      </c>
      <c r="E333" s="17">
        <v>6.2829699999999999E-4</v>
      </c>
      <c r="F333" s="6" t="s">
        <v>233</v>
      </c>
      <c r="G333" s="6" t="s">
        <v>234</v>
      </c>
      <c r="H333" s="6">
        <v>3</v>
      </c>
    </row>
    <row r="334" spans="1:8" ht="30" x14ac:dyDescent="0.25">
      <c r="A334" s="17" t="s">
        <v>661</v>
      </c>
      <c r="B334" s="17" t="s">
        <v>661</v>
      </c>
      <c r="C334" s="17" t="s">
        <v>256</v>
      </c>
      <c r="D334" s="17" t="s">
        <v>254</v>
      </c>
      <c r="E334" s="17">
        <v>8.1312799999999998E-4</v>
      </c>
      <c r="F334" s="6" t="s">
        <v>233</v>
      </c>
      <c r="G334" s="6" t="s">
        <v>234</v>
      </c>
      <c r="H334" s="6">
        <v>3</v>
      </c>
    </row>
    <row r="335" spans="1:8" ht="30" x14ac:dyDescent="0.25">
      <c r="A335" s="17" t="s">
        <v>662</v>
      </c>
      <c r="B335" s="17" t="s">
        <v>662</v>
      </c>
      <c r="C335" s="17" t="s">
        <v>256</v>
      </c>
      <c r="D335" s="17" t="s">
        <v>254</v>
      </c>
      <c r="E335" s="17">
        <v>8.1312799999999998E-4</v>
      </c>
      <c r="F335" s="6" t="s">
        <v>233</v>
      </c>
      <c r="G335" s="6" t="s">
        <v>234</v>
      </c>
      <c r="H335" s="6">
        <v>3</v>
      </c>
    </row>
    <row r="336" spans="1:8" ht="30" x14ac:dyDescent="0.25">
      <c r="A336" s="17" t="s">
        <v>663</v>
      </c>
      <c r="B336" s="17" t="s">
        <v>663</v>
      </c>
      <c r="C336" s="17" t="s">
        <v>256</v>
      </c>
      <c r="D336" s="17" t="s">
        <v>254</v>
      </c>
      <c r="E336" s="17">
        <v>8.1312799999999998E-4</v>
      </c>
      <c r="F336" s="6" t="s">
        <v>233</v>
      </c>
      <c r="G336" s="6" t="s">
        <v>234</v>
      </c>
      <c r="H336" s="6">
        <v>3</v>
      </c>
    </row>
    <row r="337" spans="1:8" ht="30" x14ac:dyDescent="0.25">
      <c r="A337" s="17" t="s">
        <v>664</v>
      </c>
      <c r="B337" s="17" t="s">
        <v>664</v>
      </c>
      <c r="C337" s="17" t="s">
        <v>271</v>
      </c>
      <c r="D337" s="17" t="s">
        <v>269</v>
      </c>
      <c r="E337" s="17">
        <v>5.2359699999999999E-4</v>
      </c>
      <c r="F337" s="6" t="s">
        <v>233</v>
      </c>
      <c r="G337" s="6" t="s">
        <v>234</v>
      </c>
      <c r="H337" s="6">
        <v>3</v>
      </c>
    </row>
    <row r="338" spans="1:8" ht="30" x14ac:dyDescent="0.25">
      <c r="A338" s="17" t="s">
        <v>665</v>
      </c>
      <c r="B338" s="17" t="s">
        <v>665</v>
      </c>
      <c r="C338" s="17" t="s">
        <v>280</v>
      </c>
      <c r="D338" s="17" t="s">
        <v>278</v>
      </c>
      <c r="E338" s="17">
        <v>6.2829699999999999E-4</v>
      </c>
      <c r="F338" s="6" t="s">
        <v>233</v>
      </c>
      <c r="G338" s="6" t="s">
        <v>234</v>
      </c>
      <c r="H338" s="6">
        <v>3</v>
      </c>
    </row>
    <row r="339" spans="1:8" ht="30" x14ac:dyDescent="0.25">
      <c r="A339" s="17" t="s">
        <v>666</v>
      </c>
      <c r="B339" s="17" t="s">
        <v>666</v>
      </c>
      <c r="C339" s="17" t="s">
        <v>313</v>
      </c>
      <c r="D339" s="17" t="s">
        <v>311</v>
      </c>
      <c r="E339" s="17">
        <v>4.5576999999999998E-4</v>
      </c>
      <c r="F339" s="6" t="s">
        <v>233</v>
      </c>
      <c r="G339" s="6" t="s">
        <v>234</v>
      </c>
      <c r="H339" s="6">
        <v>3</v>
      </c>
    </row>
    <row r="340" spans="1:8" ht="30" x14ac:dyDescent="0.25">
      <c r="A340" s="17" t="s">
        <v>667</v>
      </c>
      <c r="B340" s="17" t="s">
        <v>667</v>
      </c>
      <c r="C340" s="17" t="s">
        <v>256</v>
      </c>
      <c r="D340" s="17" t="s">
        <v>254</v>
      </c>
      <c r="E340" s="17">
        <v>8.1312799999999998E-4</v>
      </c>
      <c r="F340" s="6" t="s">
        <v>233</v>
      </c>
      <c r="G340" s="6" t="s">
        <v>234</v>
      </c>
      <c r="H340" s="6">
        <v>3</v>
      </c>
    </row>
    <row r="341" spans="1:8" ht="30" x14ac:dyDescent="0.25">
      <c r="A341" s="17" t="s">
        <v>668</v>
      </c>
      <c r="B341" s="17" t="s">
        <v>668</v>
      </c>
      <c r="C341" s="17" t="s">
        <v>265</v>
      </c>
      <c r="D341" s="17" t="s">
        <v>263</v>
      </c>
      <c r="E341" s="17">
        <v>3.0449399999999999E-4</v>
      </c>
      <c r="F341" s="6" t="s">
        <v>233</v>
      </c>
      <c r="G341" s="6" t="s">
        <v>234</v>
      </c>
      <c r="H341" s="6">
        <v>3</v>
      </c>
    </row>
    <row r="342" spans="1:8" ht="30" x14ac:dyDescent="0.25">
      <c r="A342" s="17" t="s">
        <v>669</v>
      </c>
      <c r="B342" s="17" t="s">
        <v>669</v>
      </c>
      <c r="C342" s="17" t="s">
        <v>301</v>
      </c>
      <c r="D342" s="17" t="s">
        <v>299</v>
      </c>
      <c r="E342" s="17">
        <v>6.3590900000000004E-4</v>
      </c>
      <c r="F342" s="6" t="s">
        <v>233</v>
      </c>
      <c r="G342" s="6" t="s">
        <v>234</v>
      </c>
      <c r="H342" s="6">
        <v>3</v>
      </c>
    </row>
    <row r="343" spans="1:8" ht="30" x14ac:dyDescent="0.25">
      <c r="A343" s="17" t="s">
        <v>670</v>
      </c>
      <c r="B343" s="17" t="s">
        <v>670</v>
      </c>
      <c r="C343" s="17" t="s">
        <v>271</v>
      </c>
      <c r="D343" s="17" t="s">
        <v>269</v>
      </c>
      <c r="E343" s="17">
        <v>5.2359699999999999E-4</v>
      </c>
      <c r="F343" s="6" t="s">
        <v>233</v>
      </c>
      <c r="G343" s="6" t="s">
        <v>234</v>
      </c>
      <c r="H343" s="6">
        <v>3</v>
      </c>
    </row>
    <row r="344" spans="1:8" ht="30" x14ac:dyDescent="0.25">
      <c r="A344" s="17" t="s">
        <v>671</v>
      </c>
      <c r="B344" s="17" t="s">
        <v>671</v>
      </c>
      <c r="C344" s="17" t="s">
        <v>313</v>
      </c>
      <c r="D344" s="17" t="s">
        <v>311</v>
      </c>
      <c r="E344" s="17">
        <v>4.5576999999999998E-4</v>
      </c>
      <c r="F344" s="6" t="s">
        <v>233</v>
      </c>
      <c r="G344" s="6" t="s">
        <v>234</v>
      </c>
      <c r="H344" s="6">
        <v>3</v>
      </c>
    </row>
    <row r="345" spans="1:8" ht="30" x14ac:dyDescent="0.25">
      <c r="A345" s="17" t="s">
        <v>672</v>
      </c>
      <c r="B345" s="17" t="s">
        <v>672</v>
      </c>
      <c r="C345" s="17" t="s">
        <v>310</v>
      </c>
      <c r="D345" s="17" t="s">
        <v>308</v>
      </c>
      <c r="E345" s="17">
        <v>5.3341800000000002E-4</v>
      </c>
      <c r="F345" s="6" t="s">
        <v>233</v>
      </c>
      <c r="G345" s="6" t="s">
        <v>234</v>
      </c>
      <c r="H345" s="6">
        <v>3</v>
      </c>
    </row>
    <row r="346" spans="1:8" ht="30" x14ac:dyDescent="0.25">
      <c r="A346" s="17" t="s">
        <v>673</v>
      </c>
      <c r="B346" s="17" t="s">
        <v>673</v>
      </c>
      <c r="C346" s="17" t="s">
        <v>346</v>
      </c>
      <c r="D346" s="17" t="s">
        <v>347</v>
      </c>
      <c r="E346" s="17">
        <v>2.10657E-4</v>
      </c>
      <c r="F346" s="6" t="s">
        <v>233</v>
      </c>
      <c r="G346" s="6" t="s">
        <v>234</v>
      </c>
      <c r="H346" s="6">
        <v>3</v>
      </c>
    </row>
    <row r="347" spans="1:8" ht="30" x14ac:dyDescent="0.25">
      <c r="A347" s="17" t="s">
        <v>674</v>
      </c>
      <c r="B347" s="17" t="s">
        <v>674</v>
      </c>
      <c r="C347" s="17" t="s">
        <v>274</v>
      </c>
      <c r="D347" s="17" t="s">
        <v>272</v>
      </c>
      <c r="E347" s="17">
        <v>6.1713999999999996E-4</v>
      </c>
      <c r="F347" s="6" t="s">
        <v>233</v>
      </c>
      <c r="G347" s="6" t="s">
        <v>234</v>
      </c>
      <c r="H347" s="6">
        <v>3</v>
      </c>
    </row>
    <row r="348" spans="1:8" ht="30" x14ac:dyDescent="0.25">
      <c r="A348" s="17" t="s">
        <v>675</v>
      </c>
      <c r="B348" s="17" t="s">
        <v>675</v>
      </c>
      <c r="C348" s="17" t="s">
        <v>274</v>
      </c>
      <c r="D348" s="17" t="s">
        <v>272</v>
      </c>
      <c r="E348" s="17">
        <v>6.1713999999999996E-4</v>
      </c>
      <c r="F348" s="6" t="s">
        <v>233</v>
      </c>
      <c r="G348" s="6" t="s">
        <v>234</v>
      </c>
      <c r="H348" s="6">
        <v>3</v>
      </c>
    </row>
    <row r="349" spans="1:8" ht="30" x14ac:dyDescent="0.25">
      <c r="A349" s="17" t="s">
        <v>673</v>
      </c>
      <c r="B349" s="17" t="s">
        <v>673</v>
      </c>
      <c r="C349" s="17" t="s">
        <v>346</v>
      </c>
      <c r="D349" s="17" t="s">
        <v>347</v>
      </c>
      <c r="E349" s="17">
        <v>2.10657E-4</v>
      </c>
      <c r="F349" s="6" t="s">
        <v>233</v>
      </c>
      <c r="G349" s="6" t="s">
        <v>234</v>
      </c>
      <c r="H349" s="6">
        <v>3</v>
      </c>
    </row>
    <row r="350" spans="1:8" ht="30" x14ac:dyDescent="0.25">
      <c r="A350" s="17" t="s">
        <v>673</v>
      </c>
      <c r="B350" s="17" t="s">
        <v>673</v>
      </c>
      <c r="C350" s="17" t="s">
        <v>346</v>
      </c>
      <c r="D350" s="17" t="s">
        <v>347</v>
      </c>
      <c r="E350" s="17">
        <v>2.10657E-4</v>
      </c>
      <c r="F350" s="6" t="s">
        <v>233</v>
      </c>
      <c r="G350" s="6" t="s">
        <v>234</v>
      </c>
      <c r="H350" s="6">
        <v>3</v>
      </c>
    </row>
    <row r="351" spans="1:8" ht="30" x14ac:dyDescent="0.25">
      <c r="A351" s="17" t="s">
        <v>676</v>
      </c>
      <c r="B351" s="17" t="s">
        <v>676</v>
      </c>
      <c r="C351" s="17" t="s">
        <v>295</v>
      </c>
      <c r="D351" s="17" t="s">
        <v>293</v>
      </c>
      <c r="E351" s="17">
        <v>4.8170899999999998E-4</v>
      </c>
      <c r="F351" s="6" t="s">
        <v>233</v>
      </c>
      <c r="G351" s="6" t="s">
        <v>234</v>
      </c>
      <c r="H351" s="6">
        <v>3</v>
      </c>
    </row>
    <row r="352" spans="1:8" ht="30" x14ac:dyDescent="0.25">
      <c r="A352" s="17" t="s">
        <v>677</v>
      </c>
      <c r="B352" s="17" t="s">
        <v>677</v>
      </c>
      <c r="C352" s="17" t="s">
        <v>295</v>
      </c>
      <c r="D352" s="17" t="s">
        <v>293</v>
      </c>
      <c r="E352" s="17">
        <v>4.8170899999999998E-4</v>
      </c>
      <c r="F352" s="6" t="s">
        <v>233</v>
      </c>
      <c r="G352" s="6" t="s">
        <v>234</v>
      </c>
      <c r="H352" s="6">
        <v>3</v>
      </c>
    </row>
    <row r="353" spans="1:8" ht="30" x14ac:dyDescent="0.25">
      <c r="A353" s="17" t="s">
        <v>678</v>
      </c>
      <c r="B353" s="17" t="s">
        <v>678</v>
      </c>
      <c r="C353" s="17" t="s">
        <v>274</v>
      </c>
      <c r="D353" s="17" t="s">
        <v>272</v>
      </c>
      <c r="E353" s="17">
        <v>6.1713999999999996E-4</v>
      </c>
      <c r="F353" s="6" t="s">
        <v>233</v>
      </c>
      <c r="G353" s="6" t="s">
        <v>234</v>
      </c>
      <c r="H353" s="6">
        <v>3</v>
      </c>
    </row>
    <row r="354" spans="1:8" ht="30" x14ac:dyDescent="0.25">
      <c r="A354" s="17" t="s">
        <v>679</v>
      </c>
      <c r="B354" s="17" t="s">
        <v>679</v>
      </c>
      <c r="C354" s="17" t="s">
        <v>346</v>
      </c>
      <c r="D354" s="17" t="s">
        <v>347</v>
      </c>
      <c r="E354" s="17">
        <v>2.10657E-4</v>
      </c>
      <c r="F354" s="6" t="s">
        <v>233</v>
      </c>
      <c r="G354" s="6" t="s">
        <v>234</v>
      </c>
      <c r="H354" s="6">
        <v>3</v>
      </c>
    </row>
    <row r="355" spans="1:8" ht="30" x14ac:dyDescent="0.25">
      <c r="A355" s="17" t="s">
        <v>680</v>
      </c>
      <c r="B355" s="17" t="s">
        <v>680</v>
      </c>
      <c r="C355" s="17" t="s">
        <v>465</v>
      </c>
      <c r="D355" s="17" t="s">
        <v>466</v>
      </c>
      <c r="E355" s="17">
        <v>2.2128299999999999E-4</v>
      </c>
      <c r="F355" s="6" t="s">
        <v>233</v>
      </c>
      <c r="G355" s="6" t="s">
        <v>234</v>
      </c>
      <c r="H355" s="6">
        <v>3</v>
      </c>
    </row>
    <row r="356" spans="1:8" ht="45" x14ac:dyDescent="0.25">
      <c r="A356" s="17" t="s">
        <v>681</v>
      </c>
      <c r="B356" s="17" t="s">
        <v>681</v>
      </c>
      <c r="C356" s="17" t="s">
        <v>465</v>
      </c>
      <c r="D356" s="17" t="s">
        <v>466</v>
      </c>
      <c r="E356" s="17">
        <v>2.2128299999999999E-4</v>
      </c>
      <c r="F356" s="6" t="s">
        <v>233</v>
      </c>
      <c r="G356" s="6" t="s">
        <v>234</v>
      </c>
      <c r="H356" s="6">
        <v>3</v>
      </c>
    </row>
    <row r="357" spans="1:8" ht="30" x14ac:dyDescent="0.25">
      <c r="A357" s="17" t="s">
        <v>673</v>
      </c>
      <c r="B357" s="17" t="s">
        <v>673</v>
      </c>
      <c r="C357" s="17" t="s">
        <v>346</v>
      </c>
      <c r="D357" s="17" t="s">
        <v>347</v>
      </c>
      <c r="E357" s="17">
        <v>2.10657E-4</v>
      </c>
      <c r="F357" s="6" t="s">
        <v>233</v>
      </c>
      <c r="G357" s="6" t="s">
        <v>234</v>
      </c>
      <c r="H357" s="6">
        <v>3</v>
      </c>
    </row>
    <row r="358" spans="1:8" ht="30" x14ac:dyDescent="0.25">
      <c r="A358" s="17" t="s">
        <v>682</v>
      </c>
      <c r="B358" s="17" t="s">
        <v>682</v>
      </c>
      <c r="C358" s="17" t="s">
        <v>274</v>
      </c>
      <c r="D358" s="17" t="s">
        <v>272</v>
      </c>
      <c r="E358" s="17">
        <v>6.1713999999999996E-4</v>
      </c>
      <c r="F358" s="6" t="s">
        <v>233</v>
      </c>
      <c r="G358" s="6" t="s">
        <v>234</v>
      </c>
      <c r="H358" s="6">
        <v>3</v>
      </c>
    </row>
    <row r="359" spans="1:8" ht="30" x14ac:dyDescent="0.25">
      <c r="A359" s="17" t="s">
        <v>683</v>
      </c>
      <c r="B359" s="17" t="s">
        <v>683</v>
      </c>
      <c r="C359" s="17" t="s">
        <v>274</v>
      </c>
      <c r="D359" s="17" t="s">
        <v>272</v>
      </c>
      <c r="E359" s="17">
        <v>6.1713999999999996E-4</v>
      </c>
      <c r="F359" s="6" t="s">
        <v>233</v>
      </c>
      <c r="G359" s="6" t="s">
        <v>234</v>
      </c>
      <c r="H359" s="6">
        <v>3</v>
      </c>
    </row>
    <row r="360" spans="1:8" ht="30" x14ac:dyDescent="0.25">
      <c r="A360" s="17" t="s">
        <v>684</v>
      </c>
      <c r="B360" s="17" t="s">
        <v>684</v>
      </c>
      <c r="C360" s="17" t="s">
        <v>295</v>
      </c>
      <c r="D360" s="17" t="s">
        <v>293</v>
      </c>
      <c r="E360" s="17">
        <v>4.8170899999999998E-4</v>
      </c>
      <c r="F360" s="6" t="s">
        <v>233</v>
      </c>
      <c r="G360" s="6" t="s">
        <v>234</v>
      </c>
      <c r="H360" s="6">
        <v>3</v>
      </c>
    </row>
    <row r="361" spans="1:8" ht="30" x14ac:dyDescent="0.25">
      <c r="A361" s="17" t="s">
        <v>673</v>
      </c>
      <c r="B361" s="17" t="s">
        <v>673</v>
      </c>
      <c r="C361" s="17" t="s">
        <v>346</v>
      </c>
      <c r="D361" s="17" t="s">
        <v>347</v>
      </c>
      <c r="E361" s="17">
        <v>2.10657E-4</v>
      </c>
      <c r="F361" s="6" t="s">
        <v>233</v>
      </c>
      <c r="G361" s="6" t="s">
        <v>234</v>
      </c>
      <c r="H361" s="6">
        <v>3</v>
      </c>
    </row>
    <row r="362" spans="1:8" ht="30" x14ac:dyDescent="0.25">
      <c r="A362" s="17" t="s">
        <v>673</v>
      </c>
      <c r="B362" s="17" t="s">
        <v>673</v>
      </c>
      <c r="C362" s="17" t="s">
        <v>346</v>
      </c>
      <c r="D362" s="17" t="s">
        <v>347</v>
      </c>
      <c r="E362" s="17">
        <v>2.10657E-4</v>
      </c>
      <c r="F362" s="6" t="s">
        <v>233</v>
      </c>
      <c r="G362" s="6" t="s">
        <v>234</v>
      </c>
      <c r="H362" s="6">
        <v>3</v>
      </c>
    </row>
    <row r="363" spans="1:8" ht="30" x14ac:dyDescent="0.25">
      <c r="A363" s="17" t="s">
        <v>685</v>
      </c>
      <c r="B363" s="17" t="s">
        <v>685</v>
      </c>
      <c r="C363" s="17" t="s">
        <v>274</v>
      </c>
      <c r="D363" s="17" t="s">
        <v>272</v>
      </c>
      <c r="E363" s="17">
        <v>6.1713999999999996E-4</v>
      </c>
      <c r="F363" s="6" t="s">
        <v>233</v>
      </c>
      <c r="G363" s="6" t="s">
        <v>234</v>
      </c>
      <c r="H363" s="6">
        <v>3</v>
      </c>
    </row>
    <row r="364" spans="1:8" ht="45" x14ac:dyDescent="0.25">
      <c r="A364" s="17" t="s">
        <v>686</v>
      </c>
      <c r="B364" s="17" t="s">
        <v>686</v>
      </c>
      <c r="C364" s="17" t="s">
        <v>295</v>
      </c>
      <c r="D364" s="17" t="s">
        <v>293</v>
      </c>
      <c r="E364" s="17">
        <v>4.8170899999999998E-4</v>
      </c>
      <c r="F364" s="6" t="s">
        <v>233</v>
      </c>
      <c r="G364" s="6" t="s">
        <v>234</v>
      </c>
      <c r="H364" s="6">
        <v>3</v>
      </c>
    </row>
    <row r="365" spans="1:8" ht="30" x14ac:dyDescent="0.25">
      <c r="A365" s="17" t="s">
        <v>687</v>
      </c>
      <c r="B365" s="17" t="s">
        <v>687</v>
      </c>
      <c r="C365" s="17" t="s">
        <v>274</v>
      </c>
      <c r="D365" s="17" t="s">
        <v>272</v>
      </c>
      <c r="E365" s="17">
        <v>6.1713999999999996E-4</v>
      </c>
      <c r="F365" s="6" t="s">
        <v>233</v>
      </c>
      <c r="G365" s="6" t="s">
        <v>234</v>
      </c>
      <c r="H365" s="6">
        <v>3</v>
      </c>
    </row>
    <row r="366" spans="1:8" ht="30" x14ac:dyDescent="0.25">
      <c r="A366" s="17" t="s">
        <v>688</v>
      </c>
      <c r="B366" s="17" t="s">
        <v>688</v>
      </c>
      <c r="C366" s="17" t="s">
        <v>310</v>
      </c>
      <c r="D366" s="17" t="s">
        <v>308</v>
      </c>
      <c r="E366" s="17">
        <v>5.3341800000000002E-4</v>
      </c>
      <c r="F366" s="6" t="s">
        <v>233</v>
      </c>
      <c r="G366" s="6" t="s">
        <v>234</v>
      </c>
      <c r="H366" s="6">
        <v>3</v>
      </c>
    </row>
    <row r="367" spans="1:8" ht="30" x14ac:dyDescent="0.25">
      <c r="A367" s="17" t="s">
        <v>689</v>
      </c>
      <c r="B367" s="17" t="s">
        <v>689</v>
      </c>
      <c r="C367" s="17" t="s">
        <v>310</v>
      </c>
      <c r="D367" s="17" t="s">
        <v>308</v>
      </c>
      <c r="E367" s="17">
        <v>5.3341800000000002E-4</v>
      </c>
      <c r="F367" s="6" t="s">
        <v>233</v>
      </c>
      <c r="G367" s="6" t="s">
        <v>234</v>
      </c>
      <c r="H367" s="6">
        <v>3</v>
      </c>
    </row>
    <row r="368" spans="1:8" ht="30" x14ac:dyDescent="0.25">
      <c r="A368" s="17" t="s">
        <v>690</v>
      </c>
      <c r="B368" s="17" t="s">
        <v>690</v>
      </c>
      <c r="C368" s="17" t="s">
        <v>310</v>
      </c>
      <c r="D368" s="17" t="s">
        <v>308</v>
      </c>
      <c r="E368" s="17">
        <v>5.3341800000000002E-4</v>
      </c>
      <c r="F368" s="6" t="s">
        <v>233</v>
      </c>
      <c r="G368" s="6" t="s">
        <v>234</v>
      </c>
      <c r="H368" s="6">
        <v>3</v>
      </c>
    </row>
    <row r="369" spans="1:8" ht="30" x14ac:dyDescent="0.25">
      <c r="A369" s="17" t="s">
        <v>691</v>
      </c>
      <c r="B369" s="17" t="s">
        <v>691</v>
      </c>
      <c r="C369" s="17" t="s">
        <v>310</v>
      </c>
      <c r="D369" s="17" t="s">
        <v>308</v>
      </c>
      <c r="E369" s="17">
        <v>5.3341800000000002E-4</v>
      </c>
      <c r="F369" s="6" t="s">
        <v>233</v>
      </c>
      <c r="G369" s="6" t="s">
        <v>234</v>
      </c>
      <c r="H369" s="6">
        <v>3</v>
      </c>
    </row>
    <row r="370" spans="1:8" ht="30" x14ac:dyDescent="0.25">
      <c r="A370" s="17" t="s">
        <v>692</v>
      </c>
      <c r="B370" s="17" t="s">
        <v>692</v>
      </c>
      <c r="C370" s="17" t="s">
        <v>271</v>
      </c>
      <c r="D370" s="17" t="s">
        <v>269</v>
      </c>
      <c r="E370" s="17">
        <v>5.2359699999999999E-4</v>
      </c>
      <c r="F370" s="6" t="s">
        <v>233</v>
      </c>
      <c r="G370" s="6" t="s">
        <v>234</v>
      </c>
      <c r="H370" s="6">
        <v>3</v>
      </c>
    </row>
    <row r="371" spans="1:8" ht="30" x14ac:dyDescent="0.25">
      <c r="A371" s="17" t="s">
        <v>693</v>
      </c>
      <c r="B371" s="17" t="s">
        <v>693</v>
      </c>
      <c r="C371" s="17" t="s">
        <v>271</v>
      </c>
      <c r="D371" s="17" t="s">
        <v>269</v>
      </c>
      <c r="E371" s="17">
        <v>5.2359699999999999E-4</v>
      </c>
      <c r="F371" s="6" t="s">
        <v>233</v>
      </c>
      <c r="G371" s="6" t="s">
        <v>234</v>
      </c>
      <c r="H371" s="6">
        <v>3</v>
      </c>
    </row>
    <row r="372" spans="1:8" ht="30" x14ac:dyDescent="0.25">
      <c r="A372" s="17" t="s">
        <v>694</v>
      </c>
      <c r="B372" s="17" t="s">
        <v>694</v>
      </c>
      <c r="C372" s="17" t="s">
        <v>283</v>
      </c>
      <c r="D372" s="17" t="s">
        <v>281</v>
      </c>
      <c r="E372" s="17">
        <v>5.4019300000000001E-4</v>
      </c>
      <c r="F372" s="6" t="s">
        <v>233</v>
      </c>
      <c r="G372" s="6" t="s">
        <v>234</v>
      </c>
      <c r="H372" s="6">
        <v>3</v>
      </c>
    </row>
    <row r="373" spans="1:8" ht="30" x14ac:dyDescent="0.25">
      <c r="A373" s="17" t="s">
        <v>694</v>
      </c>
      <c r="B373" s="17" t="s">
        <v>694</v>
      </c>
      <c r="C373" s="17" t="s">
        <v>283</v>
      </c>
      <c r="D373" s="17" t="s">
        <v>281</v>
      </c>
      <c r="E373" s="17">
        <v>5.4019300000000001E-4</v>
      </c>
      <c r="F373" s="6" t="s">
        <v>233</v>
      </c>
      <c r="G373" s="6" t="s">
        <v>234</v>
      </c>
      <c r="H373" s="6">
        <v>3</v>
      </c>
    </row>
    <row r="374" spans="1:8" ht="30" x14ac:dyDescent="0.25">
      <c r="A374" s="17" t="s">
        <v>694</v>
      </c>
      <c r="B374" s="17" t="s">
        <v>694</v>
      </c>
      <c r="C374" s="17" t="s">
        <v>283</v>
      </c>
      <c r="D374" s="17" t="s">
        <v>281</v>
      </c>
      <c r="E374" s="17">
        <v>5.4019300000000001E-4</v>
      </c>
      <c r="F374" s="6" t="s">
        <v>233</v>
      </c>
      <c r="G374" s="6" t="s">
        <v>234</v>
      </c>
      <c r="H374" s="6">
        <v>3</v>
      </c>
    </row>
    <row r="375" spans="1:8" ht="30" x14ac:dyDescent="0.25">
      <c r="A375" s="17" t="s">
        <v>694</v>
      </c>
      <c r="B375" s="17" t="s">
        <v>694</v>
      </c>
      <c r="C375" s="17" t="s">
        <v>283</v>
      </c>
      <c r="D375" s="17" t="s">
        <v>281</v>
      </c>
      <c r="E375" s="17">
        <v>5.4019300000000001E-4</v>
      </c>
      <c r="F375" s="6" t="s">
        <v>233</v>
      </c>
      <c r="G375" s="6" t="s">
        <v>234</v>
      </c>
      <c r="H375" s="6">
        <v>3</v>
      </c>
    </row>
    <row r="376" spans="1:8" ht="30" x14ac:dyDescent="0.25">
      <c r="A376" s="17" t="s">
        <v>694</v>
      </c>
      <c r="B376" s="17" t="s">
        <v>694</v>
      </c>
      <c r="C376" s="17" t="s">
        <v>283</v>
      </c>
      <c r="D376" s="17" t="s">
        <v>281</v>
      </c>
      <c r="E376" s="17">
        <v>5.4019300000000001E-4</v>
      </c>
      <c r="F376" s="6" t="s">
        <v>233</v>
      </c>
      <c r="G376" s="6" t="s">
        <v>234</v>
      </c>
      <c r="H376" s="6">
        <v>3</v>
      </c>
    </row>
    <row r="377" spans="1:8" ht="30" x14ac:dyDescent="0.25">
      <c r="A377" s="17" t="s">
        <v>695</v>
      </c>
      <c r="B377" s="17" t="s">
        <v>695</v>
      </c>
      <c r="C377" s="17" t="s">
        <v>262</v>
      </c>
      <c r="D377" s="17" t="s">
        <v>260</v>
      </c>
      <c r="E377" s="17">
        <v>8.4137000000000003E-4</v>
      </c>
      <c r="F377" s="6" t="s">
        <v>233</v>
      </c>
      <c r="G377" s="6" t="s">
        <v>234</v>
      </c>
      <c r="H377" s="6">
        <v>3</v>
      </c>
    </row>
    <row r="378" spans="1:8" ht="30" x14ac:dyDescent="0.25">
      <c r="A378" s="17" t="s">
        <v>696</v>
      </c>
      <c r="B378" s="17" t="s">
        <v>696</v>
      </c>
      <c r="C378" s="17" t="s">
        <v>241</v>
      </c>
      <c r="D378" s="17" t="s">
        <v>239</v>
      </c>
      <c r="E378" s="17">
        <v>4.9712300000000003E-4</v>
      </c>
      <c r="F378" s="6" t="s">
        <v>233</v>
      </c>
      <c r="G378" s="6" t="s">
        <v>234</v>
      </c>
      <c r="H378" s="6">
        <v>3</v>
      </c>
    </row>
    <row r="379" spans="1:8" ht="30" x14ac:dyDescent="0.25">
      <c r="A379" s="17" t="s">
        <v>697</v>
      </c>
      <c r="B379" s="17" t="s">
        <v>697</v>
      </c>
      <c r="C379" s="17" t="s">
        <v>301</v>
      </c>
      <c r="D379" s="17" t="s">
        <v>299</v>
      </c>
      <c r="E379" s="17">
        <v>6.3590900000000004E-4</v>
      </c>
      <c r="F379" s="6" t="s">
        <v>233</v>
      </c>
      <c r="G379" s="6" t="s">
        <v>234</v>
      </c>
      <c r="H379" s="6">
        <v>3</v>
      </c>
    </row>
    <row r="380" spans="1:8" ht="30" x14ac:dyDescent="0.25">
      <c r="A380" s="17" t="s">
        <v>698</v>
      </c>
      <c r="B380" s="17" t="s">
        <v>698</v>
      </c>
      <c r="C380" s="17" t="s">
        <v>301</v>
      </c>
      <c r="D380" s="17" t="s">
        <v>299</v>
      </c>
      <c r="E380" s="17">
        <v>6.3590900000000004E-4</v>
      </c>
      <c r="F380" s="6" t="s">
        <v>233</v>
      </c>
      <c r="G380" s="6" t="s">
        <v>234</v>
      </c>
      <c r="H380" s="6">
        <v>3</v>
      </c>
    </row>
    <row r="381" spans="1:8" ht="30" x14ac:dyDescent="0.25">
      <c r="A381" s="17" t="s">
        <v>699</v>
      </c>
      <c r="B381" s="17" t="s">
        <v>699</v>
      </c>
      <c r="C381" s="17" t="s">
        <v>301</v>
      </c>
      <c r="D381" s="17" t="s">
        <v>299</v>
      </c>
      <c r="E381" s="17">
        <v>6.3590900000000004E-4</v>
      </c>
      <c r="F381" s="6" t="s">
        <v>233</v>
      </c>
      <c r="G381" s="6" t="s">
        <v>234</v>
      </c>
      <c r="H381" s="6">
        <v>3</v>
      </c>
    </row>
    <row r="382" spans="1:8" ht="30" x14ac:dyDescent="0.25">
      <c r="A382" s="17" t="s">
        <v>700</v>
      </c>
      <c r="B382" s="17" t="s">
        <v>700</v>
      </c>
      <c r="C382" s="17" t="s">
        <v>301</v>
      </c>
      <c r="D382" s="17" t="s">
        <v>299</v>
      </c>
      <c r="E382" s="17">
        <v>6.3590900000000004E-4</v>
      </c>
      <c r="F382" s="6" t="s">
        <v>233</v>
      </c>
      <c r="G382" s="6" t="s">
        <v>234</v>
      </c>
      <c r="H382" s="6">
        <v>3</v>
      </c>
    </row>
    <row r="383" spans="1:8" ht="30" x14ac:dyDescent="0.25">
      <c r="A383" s="17" t="s">
        <v>701</v>
      </c>
      <c r="B383" s="17" t="s">
        <v>701</v>
      </c>
      <c r="C383" s="17" t="s">
        <v>271</v>
      </c>
      <c r="D383" s="17" t="s">
        <v>269</v>
      </c>
      <c r="E383" s="17">
        <v>5.2359699999999999E-4</v>
      </c>
      <c r="F383" s="6" t="s">
        <v>233</v>
      </c>
      <c r="G383" s="6" t="s">
        <v>234</v>
      </c>
      <c r="H383" s="6">
        <v>3</v>
      </c>
    </row>
    <row r="384" spans="1:8" ht="30" x14ac:dyDescent="0.25">
      <c r="A384" s="17" t="s">
        <v>702</v>
      </c>
      <c r="B384" s="17" t="s">
        <v>702</v>
      </c>
      <c r="C384" s="17" t="s">
        <v>271</v>
      </c>
      <c r="D384" s="17" t="s">
        <v>269</v>
      </c>
      <c r="E384" s="17">
        <v>5.2359699999999999E-4</v>
      </c>
      <c r="F384" s="6" t="s">
        <v>233</v>
      </c>
      <c r="G384" s="6" t="s">
        <v>234</v>
      </c>
      <c r="H384" s="6">
        <v>3</v>
      </c>
    </row>
    <row r="385" spans="1:8" ht="30" x14ac:dyDescent="0.25">
      <c r="A385" s="17" t="s">
        <v>703</v>
      </c>
      <c r="B385" s="17" t="s">
        <v>703</v>
      </c>
      <c r="C385" s="17" t="s">
        <v>271</v>
      </c>
      <c r="D385" s="17" t="s">
        <v>269</v>
      </c>
      <c r="E385" s="17">
        <v>5.2359699999999999E-4</v>
      </c>
      <c r="F385" s="6" t="s">
        <v>233</v>
      </c>
      <c r="G385" s="6" t="s">
        <v>234</v>
      </c>
      <c r="H385" s="6">
        <v>3</v>
      </c>
    </row>
    <row r="386" spans="1:8" ht="30" x14ac:dyDescent="0.25">
      <c r="A386" s="17" t="s">
        <v>704</v>
      </c>
      <c r="B386" s="17" t="s">
        <v>704</v>
      </c>
      <c r="C386" s="17" t="s">
        <v>271</v>
      </c>
      <c r="D386" s="17" t="s">
        <v>269</v>
      </c>
      <c r="E386" s="17">
        <v>5.2359699999999999E-4</v>
      </c>
      <c r="F386" s="6" t="s">
        <v>233</v>
      </c>
      <c r="G386" s="6" t="s">
        <v>234</v>
      </c>
      <c r="H386" s="6">
        <v>3</v>
      </c>
    </row>
    <row r="387" spans="1:8" ht="30" x14ac:dyDescent="0.25">
      <c r="A387" s="17" t="s">
        <v>705</v>
      </c>
      <c r="B387" s="17" t="s">
        <v>705</v>
      </c>
      <c r="C387" s="17" t="s">
        <v>310</v>
      </c>
      <c r="D387" s="17" t="s">
        <v>308</v>
      </c>
      <c r="E387" s="17">
        <v>5.3341800000000002E-4</v>
      </c>
      <c r="F387" s="6" t="s">
        <v>233</v>
      </c>
      <c r="G387" s="6" t="s">
        <v>234</v>
      </c>
      <c r="H387" s="6">
        <v>3</v>
      </c>
    </row>
    <row r="388" spans="1:8" ht="30" x14ac:dyDescent="0.25">
      <c r="A388" s="17" t="s">
        <v>706</v>
      </c>
      <c r="B388" s="17" t="s">
        <v>706</v>
      </c>
      <c r="C388" s="17" t="s">
        <v>310</v>
      </c>
      <c r="D388" s="17" t="s">
        <v>308</v>
      </c>
      <c r="E388" s="17">
        <v>5.3341800000000002E-4</v>
      </c>
      <c r="F388" s="6" t="s">
        <v>233</v>
      </c>
      <c r="G388" s="6" t="s">
        <v>234</v>
      </c>
      <c r="H388" s="6">
        <v>3</v>
      </c>
    </row>
    <row r="389" spans="1:8" ht="30" x14ac:dyDescent="0.25">
      <c r="A389" s="17" t="s">
        <v>707</v>
      </c>
      <c r="B389" s="17" t="s">
        <v>707</v>
      </c>
      <c r="C389" s="17" t="s">
        <v>310</v>
      </c>
      <c r="D389" s="17" t="s">
        <v>308</v>
      </c>
      <c r="E389" s="17">
        <v>5.3341800000000002E-4</v>
      </c>
      <c r="F389" s="6" t="s">
        <v>233</v>
      </c>
      <c r="G389" s="6" t="s">
        <v>234</v>
      </c>
      <c r="H389" s="6">
        <v>3</v>
      </c>
    </row>
    <row r="390" spans="1:8" ht="30" x14ac:dyDescent="0.25">
      <c r="A390" s="17" t="s">
        <v>708</v>
      </c>
      <c r="B390" s="17" t="s">
        <v>708</v>
      </c>
      <c r="C390" s="17" t="s">
        <v>310</v>
      </c>
      <c r="D390" s="17" t="s">
        <v>308</v>
      </c>
      <c r="E390" s="17">
        <v>5.3341800000000002E-4</v>
      </c>
      <c r="F390" s="6" t="s">
        <v>233</v>
      </c>
      <c r="G390" s="6" t="s">
        <v>234</v>
      </c>
      <c r="H390" s="6">
        <v>3</v>
      </c>
    </row>
    <row r="391" spans="1:8" ht="30" x14ac:dyDescent="0.25">
      <c r="A391" s="17" t="s">
        <v>709</v>
      </c>
      <c r="B391" s="17" t="s">
        <v>709</v>
      </c>
      <c r="C391" s="17" t="s">
        <v>310</v>
      </c>
      <c r="D391" s="17" t="s">
        <v>308</v>
      </c>
      <c r="E391" s="17">
        <v>5.3341800000000002E-4</v>
      </c>
      <c r="F391" s="6" t="s">
        <v>233</v>
      </c>
      <c r="G391" s="6" t="s">
        <v>234</v>
      </c>
      <c r="H391" s="6">
        <v>3</v>
      </c>
    </row>
    <row r="392" spans="1:8" ht="30" x14ac:dyDescent="0.25">
      <c r="A392" s="17" t="s">
        <v>710</v>
      </c>
      <c r="B392" s="17" t="s">
        <v>710</v>
      </c>
      <c r="C392" s="17" t="s">
        <v>310</v>
      </c>
      <c r="D392" s="17" t="s">
        <v>308</v>
      </c>
      <c r="E392" s="17">
        <v>5.3341800000000002E-4</v>
      </c>
      <c r="F392" s="6" t="s">
        <v>233</v>
      </c>
      <c r="G392" s="6" t="s">
        <v>234</v>
      </c>
      <c r="H392" s="6">
        <v>3</v>
      </c>
    </row>
    <row r="393" spans="1:8" ht="30" x14ac:dyDescent="0.25">
      <c r="A393" s="17" t="s">
        <v>711</v>
      </c>
      <c r="B393" s="17" t="s">
        <v>711</v>
      </c>
      <c r="C393" s="17" t="s">
        <v>310</v>
      </c>
      <c r="D393" s="17" t="s">
        <v>308</v>
      </c>
      <c r="E393" s="17">
        <v>5.3341800000000002E-4</v>
      </c>
      <c r="F393" s="6" t="s">
        <v>233</v>
      </c>
      <c r="G393" s="6" t="s">
        <v>234</v>
      </c>
      <c r="H393" s="6">
        <v>3</v>
      </c>
    </row>
    <row r="394" spans="1:8" ht="30" x14ac:dyDescent="0.25">
      <c r="A394" s="17" t="s">
        <v>712</v>
      </c>
      <c r="B394" s="17" t="s">
        <v>712</v>
      </c>
      <c r="C394" s="17" t="s">
        <v>310</v>
      </c>
      <c r="D394" s="17" t="s">
        <v>308</v>
      </c>
      <c r="E394" s="17">
        <v>5.3341800000000002E-4</v>
      </c>
      <c r="F394" s="6" t="s">
        <v>233</v>
      </c>
      <c r="G394" s="6" t="s">
        <v>234</v>
      </c>
      <c r="H394" s="6">
        <v>3</v>
      </c>
    </row>
    <row r="395" spans="1:8" ht="30" x14ac:dyDescent="0.25">
      <c r="A395" s="17" t="s">
        <v>713</v>
      </c>
      <c r="B395" s="17" t="s">
        <v>713</v>
      </c>
      <c r="C395" s="17" t="s">
        <v>310</v>
      </c>
      <c r="D395" s="17" t="s">
        <v>308</v>
      </c>
      <c r="E395" s="17">
        <v>5.3341800000000002E-4</v>
      </c>
      <c r="F395" s="6" t="s">
        <v>233</v>
      </c>
      <c r="G395" s="6" t="s">
        <v>234</v>
      </c>
      <c r="H395" s="6">
        <v>3</v>
      </c>
    </row>
    <row r="396" spans="1:8" ht="30" x14ac:dyDescent="0.25">
      <c r="A396" s="17" t="s">
        <v>714</v>
      </c>
      <c r="B396" s="17" t="s">
        <v>714</v>
      </c>
      <c r="C396" s="17" t="s">
        <v>310</v>
      </c>
      <c r="D396" s="17" t="s">
        <v>308</v>
      </c>
      <c r="E396" s="17">
        <v>5.3341800000000002E-4</v>
      </c>
      <c r="F396" s="6" t="s">
        <v>233</v>
      </c>
      <c r="G396" s="6" t="s">
        <v>234</v>
      </c>
      <c r="H396" s="6">
        <v>3</v>
      </c>
    </row>
    <row r="397" spans="1:8" ht="30" x14ac:dyDescent="0.25">
      <c r="A397" s="17" t="s">
        <v>715</v>
      </c>
      <c r="B397" s="17" t="s">
        <v>715</v>
      </c>
      <c r="C397" s="17" t="s">
        <v>310</v>
      </c>
      <c r="D397" s="17" t="s">
        <v>308</v>
      </c>
      <c r="E397" s="17">
        <v>5.3341800000000002E-4</v>
      </c>
      <c r="F397" s="6" t="s">
        <v>233</v>
      </c>
      <c r="G397" s="6" t="s">
        <v>234</v>
      </c>
      <c r="H397" s="6">
        <v>3</v>
      </c>
    </row>
    <row r="398" spans="1:8" ht="30" x14ac:dyDescent="0.25">
      <c r="A398" s="17" t="s">
        <v>716</v>
      </c>
      <c r="B398" s="17" t="s">
        <v>716</v>
      </c>
      <c r="C398" s="17" t="s">
        <v>310</v>
      </c>
      <c r="D398" s="17" t="s">
        <v>308</v>
      </c>
      <c r="E398" s="17">
        <v>5.3341800000000002E-4</v>
      </c>
      <c r="F398" s="6" t="s">
        <v>233</v>
      </c>
      <c r="G398" s="6" t="s">
        <v>234</v>
      </c>
      <c r="H398" s="6">
        <v>3</v>
      </c>
    </row>
    <row r="399" spans="1:8" ht="30" x14ac:dyDescent="0.25">
      <c r="A399" s="17" t="s">
        <v>717</v>
      </c>
      <c r="B399" s="17" t="s">
        <v>717</v>
      </c>
      <c r="C399" s="17" t="s">
        <v>310</v>
      </c>
      <c r="D399" s="17" t="s">
        <v>308</v>
      </c>
      <c r="E399" s="17">
        <v>5.3341800000000002E-4</v>
      </c>
      <c r="F399" s="6" t="s">
        <v>233</v>
      </c>
      <c r="G399" s="6" t="s">
        <v>234</v>
      </c>
      <c r="H399" s="6">
        <v>3</v>
      </c>
    </row>
    <row r="400" spans="1:8" ht="30" x14ac:dyDescent="0.25">
      <c r="A400" s="17" t="s">
        <v>718</v>
      </c>
      <c r="B400" s="17" t="s">
        <v>718</v>
      </c>
      <c r="C400" s="17" t="s">
        <v>310</v>
      </c>
      <c r="D400" s="17" t="s">
        <v>308</v>
      </c>
      <c r="E400" s="17">
        <v>5.3341800000000002E-4</v>
      </c>
      <c r="F400" s="6" t="s">
        <v>233</v>
      </c>
      <c r="G400" s="6" t="s">
        <v>234</v>
      </c>
      <c r="H400" s="6">
        <v>3</v>
      </c>
    </row>
    <row r="401" spans="1:8" ht="30" x14ac:dyDescent="0.25">
      <c r="A401" s="17" t="s">
        <v>719</v>
      </c>
      <c r="B401" s="17" t="s">
        <v>719</v>
      </c>
      <c r="C401" s="17" t="s">
        <v>310</v>
      </c>
      <c r="D401" s="17" t="s">
        <v>308</v>
      </c>
      <c r="E401" s="17">
        <v>5.3341800000000002E-4</v>
      </c>
      <c r="F401" s="6" t="s">
        <v>233</v>
      </c>
      <c r="G401" s="6" t="s">
        <v>234</v>
      </c>
      <c r="H401" s="6">
        <v>3</v>
      </c>
    </row>
    <row r="402" spans="1:8" x14ac:dyDescent="0.25">
      <c r="A402" s="6"/>
      <c r="B402" s="6"/>
      <c r="C402" s="6"/>
      <c r="D402" s="6"/>
      <c r="E402" s="6"/>
      <c r="F402" s="6"/>
      <c r="G402" s="6"/>
      <c r="H402" s="6">
        <v>3</v>
      </c>
    </row>
    <row r="403" spans="1:8" ht="30" x14ac:dyDescent="0.25">
      <c r="A403" s="17" t="s">
        <v>720</v>
      </c>
      <c r="B403" s="17" t="s">
        <v>720</v>
      </c>
      <c r="C403" s="17" t="s">
        <v>721</v>
      </c>
      <c r="D403" s="17" t="s">
        <v>722</v>
      </c>
      <c r="E403" s="17">
        <v>1.24993E-4</v>
      </c>
      <c r="F403" s="6" t="s">
        <v>233</v>
      </c>
      <c r="G403" s="6" t="s">
        <v>234</v>
      </c>
      <c r="H403" s="6">
        <v>3</v>
      </c>
    </row>
    <row r="404" spans="1:8" ht="30" x14ac:dyDescent="0.25">
      <c r="A404" s="17" t="s">
        <v>723</v>
      </c>
      <c r="B404" s="17" t="s">
        <v>723</v>
      </c>
      <c r="C404" s="17" t="s">
        <v>465</v>
      </c>
      <c r="D404" s="17" t="s">
        <v>466</v>
      </c>
      <c r="E404" s="17">
        <v>2.2128299999999999E-4</v>
      </c>
      <c r="F404" s="6" t="s">
        <v>233</v>
      </c>
      <c r="G404" s="6" t="s">
        <v>234</v>
      </c>
      <c r="H404" s="6">
        <v>3</v>
      </c>
    </row>
    <row r="405" spans="1:8" ht="30" x14ac:dyDescent="0.25">
      <c r="A405" s="17" t="s">
        <v>724</v>
      </c>
      <c r="B405" s="17" t="s">
        <v>724</v>
      </c>
      <c r="C405" s="17" t="s">
        <v>346</v>
      </c>
      <c r="D405" s="17" t="s">
        <v>347</v>
      </c>
      <c r="E405" s="17">
        <v>2.10657E-4</v>
      </c>
      <c r="F405" s="6" t="s">
        <v>233</v>
      </c>
      <c r="G405" s="6" t="s">
        <v>234</v>
      </c>
      <c r="H405" s="6">
        <v>3</v>
      </c>
    </row>
    <row r="406" spans="1:8" ht="30" x14ac:dyDescent="0.25">
      <c r="A406" s="17" t="s">
        <v>725</v>
      </c>
      <c r="B406" s="17" t="s">
        <v>725</v>
      </c>
      <c r="C406" s="17" t="s">
        <v>346</v>
      </c>
      <c r="D406" s="17" t="s">
        <v>347</v>
      </c>
      <c r="E406" s="17">
        <v>2.10657E-4</v>
      </c>
      <c r="F406" s="6" t="s">
        <v>233</v>
      </c>
      <c r="G406" s="6" t="s">
        <v>234</v>
      </c>
      <c r="H406" s="6">
        <v>3</v>
      </c>
    </row>
    <row r="407" spans="1:8" ht="30" x14ac:dyDescent="0.25">
      <c r="A407" s="17" t="s">
        <v>230</v>
      </c>
      <c r="B407" s="17" t="s">
        <v>230</v>
      </c>
      <c r="C407" s="17" t="s">
        <v>726</v>
      </c>
      <c r="D407" s="17" t="s">
        <v>727</v>
      </c>
      <c r="E407" s="17">
        <v>1.3494000000000001E-4</v>
      </c>
      <c r="F407" s="6" t="s">
        <v>233</v>
      </c>
      <c r="G407" s="6" t="s">
        <v>234</v>
      </c>
      <c r="H407" s="6">
        <v>3</v>
      </c>
    </row>
    <row r="408" spans="1:8" ht="30" x14ac:dyDescent="0.25">
      <c r="A408" s="17" t="s">
        <v>728</v>
      </c>
      <c r="B408" s="17" t="s">
        <v>728</v>
      </c>
      <c r="C408" s="17" t="s">
        <v>729</v>
      </c>
      <c r="D408" s="17" t="s">
        <v>730</v>
      </c>
      <c r="E408" s="17">
        <v>1.8648100000000001E-4</v>
      </c>
      <c r="F408" s="6" t="s">
        <v>233</v>
      </c>
      <c r="G408" s="6" t="s">
        <v>234</v>
      </c>
      <c r="H408" s="6">
        <v>3</v>
      </c>
    </row>
    <row r="409" spans="1:8" ht="30" x14ac:dyDescent="0.25">
      <c r="A409" s="17" t="s">
        <v>731</v>
      </c>
      <c r="B409" s="17" t="s">
        <v>731</v>
      </c>
      <c r="C409" s="17" t="s">
        <v>732</v>
      </c>
      <c r="D409" s="17" t="s">
        <v>733</v>
      </c>
      <c r="E409" s="17">
        <v>1.9325700000000001E-4</v>
      </c>
      <c r="F409" s="6" t="s">
        <v>233</v>
      </c>
      <c r="G409" s="6" t="s">
        <v>234</v>
      </c>
      <c r="H409" s="6">
        <v>3</v>
      </c>
    </row>
    <row r="410" spans="1:8" ht="30" x14ac:dyDescent="0.25">
      <c r="A410" s="17" t="s">
        <v>734</v>
      </c>
      <c r="B410" s="17" t="s">
        <v>734</v>
      </c>
      <c r="C410" s="17" t="s">
        <v>346</v>
      </c>
      <c r="D410" s="17" t="s">
        <v>347</v>
      </c>
      <c r="E410" s="17">
        <v>2.10657E-4</v>
      </c>
      <c r="F410" s="6" t="s">
        <v>233</v>
      </c>
      <c r="G410" s="6" t="s">
        <v>234</v>
      </c>
      <c r="H410" s="6">
        <v>3</v>
      </c>
    </row>
    <row r="411" spans="1:8" ht="30" x14ac:dyDescent="0.25">
      <c r="A411" s="17" t="s">
        <v>735</v>
      </c>
      <c r="B411" s="17" t="s">
        <v>735</v>
      </c>
      <c r="C411" s="17" t="s">
        <v>465</v>
      </c>
      <c r="D411" s="17" t="s">
        <v>466</v>
      </c>
      <c r="E411" s="17">
        <v>2.2128299999999999E-4</v>
      </c>
      <c r="F411" s="6" t="s">
        <v>233</v>
      </c>
      <c r="G411" s="6" t="s">
        <v>234</v>
      </c>
      <c r="H411" s="6">
        <v>3</v>
      </c>
    </row>
    <row r="412" spans="1:8" ht="30" x14ac:dyDescent="0.25">
      <c r="A412" s="17" t="s">
        <v>736</v>
      </c>
      <c r="B412" s="17" t="s">
        <v>736</v>
      </c>
      <c r="C412" s="17" t="s">
        <v>737</v>
      </c>
      <c r="D412" s="17" t="s">
        <v>738</v>
      </c>
      <c r="E412" s="17">
        <v>1.81306E-4</v>
      </c>
      <c r="F412" s="6" t="s">
        <v>233</v>
      </c>
      <c r="G412" s="6" t="s">
        <v>234</v>
      </c>
      <c r="H412" s="6">
        <v>3</v>
      </c>
    </row>
    <row r="413" spans="1:8" ht="30" x14ac:dyDescent="0.25">
      <c r="A413" s="17" t="s">
        <v>739</v>
      </c>
      <c r="B413" s="17" t="s">
        <v>739</v>
      </c>
      <c r="C413" s="17" t="s">
        <v>346</v>
      </c>
      <c r="D413" s="17" t="s">
        <v>347</v>
      </c>
      <c r="E413" s="17">
        <v>2.10657E-4</v>
      </c>
      <c r="F413" s="6" t="s">
        <v>233</v>
      </c>
      <c r="G413" s="6" t="s">
        <v>234</v>
      </c>
      <c r="H413" s="6">
        <v>3</v>
      </c>
    </row>
    <row r="414" spans="1:8" ht="30" x14ac:dyDescent="0.25">
      <c r="A414" s="17" t="s">
        <v>740</v>
      </c>
      <c r="B414" s="17" t="s">
        <v>740</v>
      </c>
      <c r="C414" s="17" t="s">
        <v>346</v>
      </c>
      <c r="D414" s="17" t="s">
        <v>347</v>
      </c>
      <c r="E414" s="17">
        <v>2.10657E-4</v>
      </c>
      <c r="F414" s="6" t="s">
        <v>233</v>
      </c>
      <c r="G414" s="6" t="s">
        <v>234</v>
      </c>
      <c r="H414" s="6">
        <v>3</v>
      </c>
    </row>
    <row r="415" spans="1:8" ht="30" x14ac:dyDescent="0.25">
      <c r="A415" s="17" t="s">
        <v>741</v>
      </c>
      <c r="B415" s="17" t="s">
        <v>741</v>
      </c>
      <c r="C415" s="17" t="s">
        <v>346</v>
      </c>
      <c r="D415" s="17" t="s">
        <v>347</v>
      </c>
      <c r="E415" s="17">
        <v>2.10657E-4</v>
      </c>
      <c r="F415" s="6" t="s">
        <v>233</v>
      </c>
      <c r="G415" s="6" t="s">
        <v>234</v>
      </c>
      <c r="H415" s="6">
        <v>3</v>
      </c>
    </row>
    <row r="416" spans="1:8" ht="30" x14ac:dyDescent="0.25">
      <c r="A416" s="17" t="s">
        <v>742</v>
      </c>
      <c r="B416" s="17" t="s">
        <v>742</v>
      </c>
      <c r="C416" s="17" t="s">
        <v>743</v>
      </c>
      <c r="D416" s="17" t="s">
        <v>744</v>
      </c>
      <c r="E416" s="17">
        <v>3.813E-4</v>
      </c>
      <c r="F416" s="6" t="s">
        <v>233</v>
      </c>
      <c r="G416" s="6" t="s">
        <v>234</v>
      </c>
      <c r="H416" s="6">
        <v>3</v>
      </c>
    </row>
    <row r="417" spans="1:8" ht="30" x14ac:dyDescent="0.25">
      <c r="A417" s="17" t="s">
        <v>745</v>
      </c>
      <c r="B417" s="17" t="s">
        <v>745</v>
      </c>
      <c r="C417" s="17" t="s">
        <v>746</v>
      </c>
      <c r="D417" s="17" t="s">
        <v>747</v>
      </c>
      <c r="E417" s="17">
        <v>2.4671799999999999E-4</v>
      </c>
      <c r="F417" s="6" t="s">
        <v>233</v>
      </c>
      <c r="G417" s="6" t="s">
        <v>234</v>
      </c>
      <c r="H417" s="6">
        <v>3</v>
      </c>
    </row>
    <row r="418" spans="1:8" ht="30" x14ac:dyDescent="0.25">
      <c r="A418" s="17" t="s">
        <v>748</v>
      </c>
      <c r="B418" s="17" t="s">
        <v>748</v>
      </c>
      <c r="C418" s="17" t="s">
        <v>737</v>
      </c>
      <c r="D418" s="17" t="s">
        <v>738</v>
      </c>
      <c r="E418" s="17">
        <v>1.81306E-4</v>
      </c>
      <c r="F418" s="6" t="s">
        <v>233</v>
      </c>
      <c r="G418" s="6" t="s">
        <v>234</v>
      </c>
      <c r="H418" s="6">
        <v>3</v>
      </c>
    </row>
    <row r="419" spans="1:8" ht="30" x14ac:dyDescent="0.25">
      <c r="A419" s="17" t="s">
        <v>749</v>
      </c>
      <c r="B419" s="17" t="s">
        <v>749</v>
      </c>
      <c r="C419" s="17" t="s">
        <v>743</v>
      </c>
      <c r="D419" s="17" t="s">
        <v>744</v>
      </c>
      <c r="E419" s="17">
        <v>3.813E-4</v>
      </c>
      <c r="F419" s="6" t="s">
        <v>233</v>
      </c>
      <c r="G419" s="6" t="s">
        <v>234</v>
      </c>
      <c r="H419" s="6">
        <v>3</v>
      </c>
    </row>
    <row r="420" spans="1:8" ht="30" x14ac:dyDescent="0.25">
      <c r="A420" s="17" t="s">
        <v>750</v>
      </c>
      <c r="B420" s="17" t="s">
        <v>750</v>
      </c>
      <c r="C420" s="17" t="s">
        <v>346</v>
      </c>
      <c r="D420" s="17" t="s">
        <v>347</v>
      </c>
      <c r="E420" s="17">
        <v>2.10657E-4</v>
      </c>
      <c r="F420" s="6" t="s">
        <v>233</v>
      </c>
      <c r="G420" s="6" t="s">
        <v>234</v>
      </c>
      <c r="H420" s="6">
        <v>3</v>
      </c>
    </row>
    <row r="421" spans="1:8" ht="30" x14ac:dyDescent="0.25">
      <c r="A421" s="17" t="s">
        <v>751</v>
      </c>
      <c r="B421" s="17" t="s">
        <v>751</v>
      </c>
      <c r="C421" s="17" t="s">
        <v>346</v>
      </c>
      <c r="D421" s="17" t="s">
        <v>347</v>
      </c>
      <c r="E421" s="17">
        <v>2.10657E-4</v>
      </c>
      <c r="F421" s="6" t="s">
        <v>233</v>
      </c>
      <c r="G421" s="6" t="s">
        <v>234</v>
      </c>
      <c r="H421" s="6">
        <v>3</v>
      </c>
    </row>
    <row r="422" spans="1:8" ht="30" x14ac:dyDescent="0.25">
      <c r="A422" s="17" t="s">
        <v>752</v>
      </c>
      <c r="B422" s="17" t="s">
        <v>752</v>
      </c>
      <c r="C422" s="17" t="s">
        <v>721</v>
      </c>
      <c r="D422" s="17" t="s">
        <v>722</v>
      </c>
      <c r="E422" s="17">
        <v>1.24993E-4</v>
      </c>
      <c r="F422" s="6" t="s">
        <v>233</v>
      </c>
      <c r="G422" s="6" t="s">
        <v>234</v>
      </c>
      <c r="H422" s="6">
        <v>3</v>
      </c>
    </row>
    <row r="423" spans="1:8" ht="30" x14ac:dyDescent="0.25">
      <c r="A423" s="17" t="s">
        <v>753</v>
      </c>
      <c r="B423" s="17" t="s">
        <v>753</v>
      </c>
      <c r="C423" s="17" t="s">
        <v>346</v>
      </c>
      <c r="D423" s="17" t="s">
        <v>347</v>
      </c>
      <c r="E423" s="17">
        <v>2.10657E-4</v>
      </c>
      <c r="F423" s="6" t="s">
        <v>233</v>
      </c>
      <c r="G423" s="6" t="s">
        <v>234</v>
      </c>
      <c r="H423" s="6">
        <v>3</v>
      </c>
    </row>
    <row r="424" spans="1:8" ht="30" x14ac:dyDescent="0.25">
      <c r="A424" s="17" t="s">
        <v>754</v>
      </c>
      <c r="B424" s="17" t="s">
        <v>754</v>
      </c>
      <c r="C424" s="17" t="s">
        <v>346</v>
      </c>
      <c r="D424" s="17" t="s">
        <v>347</v>
      </c>
      <c r="E424" s="17">
        <v>2.10657E-4</v>
      </c>
      <c r="F424" s="6" t="s">
        <v>233</v>
      </c>
      <c r="G424" s="6" t="s">
        <v>234</v>
      </c>
      <c r="H424" s="6">
        <v>3</v>
      </c>
    </row>
    <row r="425" spans="1:8" ht="30" x14ac:dyDescent="0.25">
      <c r="A425" s="17" t="s">
        <v>755</v>
      </c>
      <c r="B425" s="17" t="s">
        <v>755</v>
      </c>
      <c r="C425" s="17" t="s">
        <v>346</v>
      </c>
      <c r="D425" s="17" t="s">
        <v>347</v>
      </c>
      <c r="E425" s="17">
        <v>2.10657E-4</v>
      </c>
      <c r="F425" s="6" t="s">
        <v>233</v>
      </c>
      <c r="G425" s="6" t="s">
        <v>234</v>
      </c>
      <c r="H425" s="6">
        <v>3</v>
      </c>
    </row>
    <row r="426" spans="1:8" ht="30" x14ac:dyDescent="0.25">
      <c r="A426" s="17" t="s">
        <v>756</v>
      </c>
      <c r="B426" s="17" t="s">
        <v>756</v>
      </c>
      <c r="C426" s="17" t="s">
        <v>346</v>
      </c>
      <c r="D426" s="17" t="s">
        <v>347</v>
      </c>
      <c r="E426" s="17">
        <v>2.10657E-4</v>
      </c>
      <c r="F426" s="6" t="s">
        <v>233</v>
      </c>
      <c r="G426" s="6" t="s">
        <v>234</v>
      </c>
      <c r="H426" s="6">
        <v>3</v>
      </c>
    </row>
    <row r="427" spans="1:8" ht="30" x14ac:dyDescent="0.25">
      <c r="A427" s="17" t="s">
        <v>757</v>
      </c>
      <c r="B427" s="17" t="s">
        <v>757</v>
      </c>
      <c r="C427" s="17" t="s">
        <v>346</v>
      </c>
      <c r="D427" s="17" t="s">
        <v>347</v>
      </c>
      <c r="E427" s="17">
        <v>2.10657E-4</v>
      </c>
      <c r="F427" s="6" t="s">
        <v>233</v>
      </c>
      <c r="G427" s="6" t="s">
        <v>234</v>
      </c>
      <c r="H427" s="6">
        <v>3</v>
      </c>
    </row>
    <row r="428" spans="1:8" ht="30" x14ac:dyDescent="0.25">
      <c r="A428" s="17" t="s">
        <v>758</v>
      </c>
      <c r="B428" s="17" t="s">
        <v>758</v>
      </c>
      <c r="C428" s="17" t="s">
        <v>465</v>
      </c>
      <c r="D428" s="17" t="s">
        <v>466</v>
      </c>
      <c r="E428" s="17">
        <v>2.2128299999999999E-4</v>
      </c>
      <c r="F428" s="6" t="s">
        <v>233</v>
      </c>
      <c r="G428" s="6" t="s">
        <v>234</v>
      </c>
      <c r="H428" s="6">
        <v>3</v>
      </c>
    </row>
    <row r="429" spans="1:8" ht="30" x14ac:dyDescent="0.25">
      <c r="A429" s="17" t="s">
        <v>759</v>
      </c>
      <c r="B429" s="17" t="s">
        <v>759</v>
      </c>
      <c r="C429" s="17" t="s">
        <v>346</v>
      </c>
      <c r="D429" s="17" t="s">
        <v>347</v>
      </c>
      <c r="E429" s="17">
        <v>2.10657E-4</v>
      </c>
      <c r="F429" s="6" t="s">
        <v>233</v>
      </c>
      <c r="G429" s="6" t="s">
        <v>234</v>
      </c>
      <c r="H429" s="6">
        <v>3</v>
      </c>
    </row>
    <row r="430" spans="1:8" ht="30" x14ac:dyDescent="0.25">
      <c r="A430" s="17" t="s">
        <v>760</v>
      </c>
      <c r="B430" s="17" t="s">
        <v>760</v>
      </c>
      <c r="C430" s="17" t="s">
        <v>732</v>
      </c>
      <c r="D430" s="17" t="s">
        <v>761</v>
      </c>
      <c r="E430" s="17">
        <v>1.9325700000000001E-4</v>
      </c>
      <c r="F430" s="6" t="s">
        <v>233</v>
      </c>
      <c r="G430" s="6" t="s">
        <v>234</v>
      </c>
      <c r="H430" s="6">
        <v>3</v>
      </c>
    </row>
    <row r="431" spans="1:8" ht="30" x14ac:dyDescent="0.25">
      <c r="A431" s="17" t="s">
        <v>762</v>
      </c>
      <c r="B431" s="17" t="s">
        <v>762</v>
      </c>
      <c r="C431" s="17" t="s">
        <v>743</v>
      </c>
      <c r="D431" s="17" t="s">
        <v>744</v>
      </c>
      <c r="E431" s="17">
        <v>3.813E-4</v>
      </c>
      <c r="F431" s="6" t="s">
        <v>233</v>
      </c>
      <c r="G431" s="6" t="s">
        <v>234</v>
      </c>
      <c r="H431" s="6">
        <v>3</v>
      </c>
    </row>
    <row r="432" spans="1:8" ht="30" x14ac:dyDescent="0.25">
      <c r="A432" s="17" t="s">
        <v>763</v>
      </c>
      <c r="B432" s="17" t="s">
        <v>763</v>
      </c>
      <c r="C432" s="17" t="s">
        <v>407</v>
      </c>
      <c r="D432" s="17" t="s">
        <v>408</v>
      </c>
      <c r="E432" s="17">
        <v>1.6713599999999999E-4</v>
      </c>
      <c r="F432" s="6" t="s">
        <v>233</v>
      </c>
      <c r="G432" s="6" t="s">
        <v>234</v>
      </c>
      <c r="H432" s="6">
        <v>3</v>
      </c>
    </row>
    <row r="433" spans="1:8" ht="30" x14ac:dyDescent="0.25">
      <c r="A433" s="17" t="s">
        <v>764</v>
      </c>
      <c r="B433" s="17" t="s">
        <v>764</v>
      </c>
      <c r="C433" s="17" t="s">
        <v>346</v>
      </c>
      <c r="D433" s="17" t="s">
        <v>347</v>
      </c>
      <c r="E433" s="17">
        <v>2.10657E-4</v>
      </c>
      <c r="F433" s="6" t="s">
        <v>233</v>
      </c>
      <c r="G433" s="6" t="s">
        <v>234</v>
      </c>
      <c r="H433" s="6">
        <v>3</v>
      </c>
    </row>
    <row r="434" spans="1:8" ht="30" x14ac:dyDescent="0.25">
      <c r="A434" s="17" t="s">
        <v>765</v>
      </c>
      <c r="B434" s="17" t="s">
        <v>765</v>
      </c>
      <c r="C434" s="17" t="s">
        <v>743</v>
      </c>
      <c r="D434" s="17" t="s">
        <v>744</v>
      </c>
      <c r="E434" s="17">
        <v>3.813E-4</v>
      </c>
      <c r="F434" s="6" t="s">
        <v>233</v>
      </c>
      <c r="G434" s="6" t="s">
        <v>234</v>
      </c>
      <c r="H434" s="6">
        <v>3</v>
      </c>
    </row>
    <row r="435" spans="1:8" ht="30" x14ac:dyDescent="0.25">
      <c r="A435" s="17" t="s">
        <v>766</v>
      </c>
      <c r="B435" s="17" t="s">
        <v>766</v>
      </c>
      <c r="C435" s="17" t="s">
        <v>250</v>
      </c>
      <c r="D435" s="17" t="s">
        <v>248</v>
      </c>
      <c r="E435" s="17">
        <v>4.3868599999999998E-4</v>
      </c>
      <c r="F435" s="6" t="s">
        <v>233</v>
      </c>
      <c r="G435" s="6" t="s">
        <v>234</v>
      </c>
      <c r="H435" s="6">
        <v>3</v>
      </c>
    </row>
    <row r="436" spans="1:8" ht="30" x14ac:dyDescent="0.25">
      <c r="A436" s="17" t="s">
        <v>767</v>
      </c>
      <c r="B436" s="17" t="s">
        <v>767</v>
      </c>
      <c r="C436" s="17" t="s">
        <v>256</v>
      </c>
      <c r="D436" s="17" t="s">
        <v>254</v>
      </c>
      <c r="E436" s="17">
        <v>8.1312799999999998E-4</v>
      </c>
      <c r="F436" s="6" t="s">
        <v>233</v>
      </c>
      <c r="G436" s="6" t="s">
        <v>234</v>
      </c>
      <c r="H436" s="6">
        <v>3</v>
      </c>
    </row>
    <row r="437" spans="1:8" ht="30" x14ac:dyDescent="0.25">
      <c r="A437" s="17" t="s">
        <v>768</v>
      </c>
      <c r="B437" s="17" t="s">
        <v>768</v>
      </c>
      <c r="C437" s="17" t="s">
        <v>732</v>
      </c>
      <c r="D437" s="17" t="s">
        <v>733</v>
      </c>
      <c r="E437" s="17">
        <v>1.9325700000000001E-4</v>
      </c>
      <c r="F437" s="6" t="s">
        <v>233</v>
      </c>
      <c r="G437" s="6" t="s">
        <v>234</v>
      </c>
      <c r="H437" s="6">
        <v>3</v>
      </c>
    </row>
    <row r="438" spans="1:8" ht="30" x14ac:dyDescent="0.25">
      <c r="A438" s="17" t="s">
        <v>769</v>
      </c>
      <c r="B438" s="17" t="s">
        <v>769</v>
      </c>
      <c r="C438" s="17" t="s">
        <v>250</v>
      </c>
      <c r="D438" s="17" t="s">
        <v>248</v>
      </c>
      <c r="E438" s="17">
        <v>4.3868599999999998E-4</v>
      </c>
      <c r="F438" s="6" t="s">
        <v>233</v>
      </c>
      <c r="G438" s="6" t="s">
        <v>234</v>
      </c>
      <c r="H438" s="6">
        <v>3</v>
      </c>
    </row>
    <row r="439" spans="1:8" ht="30" x14ac:dyDescent="0.25">
      <c r="A439" s="17" t="s">
        <v>770</v>
      </c>
      <c r="B439" s="17" t="s">
        <v>770</v>
      </c>
      <c r="C439" s="17" t="s">
        <v>250</v>
      </c>
      <c r="D439" s="17" t="s">
        <v>248</v>
      </c>
      <c r="E439" s="17">
        <v>4.3868599999999998E-4</v>
      </c>
      <c r="F439" s="6" t="s">
        <v>233</v>
      </c>
      <c r="G439" s="6" t="s">
        <v>234</v>
      </c>
      <c r="H439" s="6">
        <v>3</v>
      </c>
    </row>
    <row r="440" spans="1:8" ht="30" x14ac:dyDescent="0.25">
      <c r="A440" s="17" t="s">
        <v>771</v>
      </c>
      <c r="B440" s="17" t="s">
        <v>771</v>
      </c>
      <c r="C440" s="17" t="s">
        <v>407</v>
      </c>
      <c r="D440" s="17" t="s">
        <v>408</v>
      </c>
      <c r="E440" s="17">
        <v>1.6713599999999999E-4</v>
      </c>
      <c r="F440" s="6" t="s">
        <v>233</v>
      </c>
      <c r="G440" s="6" t="s">
        <v>234</v>
      </c>
      <c r="H440" s="6">
        <v>3</v>
      </c>
    </row>
    <row r="441" spans="1:8" ht="30" x14ac:dyDescent="0.25">
      <c r="A441" s="17" t="s">
        <v>772</v>
      </c>
      <c r="B441" s="17" t="s">
        <v>772</v>
      </c>
      <c r="C441" s="17" t="s">
        <v>250</v>
      </c>
      <c r="D441" s="17" t="s">
        <v>248</v>
      </c>
      <c r="E441" s="17">
        <v>4.3868599999999998E-4</v>
      </c>
      <c r="F441" s="6" t="s">
        <v>233</v>
      </c>
      <c r="G441" s="6" t="s">
        <v>234</v>
      </c>
      <c r="H441" s="6">
        <v>3</v>
      </c>
    </row>
    <row r="442" spans="1:8" ht="30" x14ac:dyDescent="0.25">
      <c r="A442" s="17" t="s">
        <v>773</v>
      </c>
      <c r="B442" s="17" t="s">
        <v>773</v>
      </c>
      <c r="C442" s="17" t="s">
        <v>729</v>
      </c>
      <c r="D442" s="17" t="s">
        <v>730</v>
      </c>
      <c r="E442" s="17">
        <v>1.8648100000000001E-4</v>
      </c>
      <c r="F442" s="6" t="s">
        <v>233</v>
      </c>
      <c r="G442" s="6" t="s">
        <v>234</v>
      </c>
      <c r="H442" s="6">
        <v>3</v>
      </c>
    </row>
    <row r="443" spans="1:8" ht="30" x14ac:dyDescent="0.25">
      <c r="A443" s="17" t="s">
        <v>774</v>
      </c>
      <c r="B443" s="17" t="s">
        <v>774</v>
      </c>
      <c r="C443" s="17" t="s">
        <v>250</v>
      </c>
      <c r="D443" s="17" t="s">
        <v>248</v>
      </c>
      <c r="E443" s="17">
        <v>4.3868599999999998E-4</v>
      </c>
      <c r="F443" s="6" t="s">
        <v>233</v>
      </c>
      <c r="G443" s="6" t="s">
        <v>234</v>
      </c>
      <c r="H443" s="6">
        <v>3</v>
      </c>
    </row>
    <row r="444" spans="1:8" ht="30" x14ac:dyDescent="0.25">
      <c r="A444" s="17" t="s">
        <v>775</v>
      </c>
      <c r="B444" s="17" t="s">
        <v>775</v>
      </c>
      <c r="C444" s="17" t="s">
        <v>250</v>
      </c>
      <c r="D444" s="17" t="s">
        <v>248</v>
      </c>
      <c r="E444" s="17">
        <v>4.3868599999999998E-4</v>
      </c>
      <c r="F444" s="6" t="s">
        <v>233</v>
      </c>
      <c r="G444" s="6" t="s">
        <v>234</v>
      </c>
      <c r="H444" s="6">
        <v>3</v>
      </c>
    </row>
    <row r="445" spans="1:8" ht="30" x14ac:dyDescent="0.25">
      <c r="A445" s="17" t="s">
        <v>776</v>
      </c>
      <c r="B445" s="17" t="s">
        <v>776</v>
      </c>
      <c r="C445" s="17" t="s">
        <v>743</v>
      </c>
      <c r="D445" s="17" t="s">
        <v>744</v>
      </c>
      <c r="E445" s="17">
        <v>3.813E-4</v>
      </c>
      <c r="F445" s="6" t="s">
        <v>233</v>
      </c>
      <c r="G445" s="6" t="s">
        <v>234</v>
      </c>
      <c r="H445" s="6">
        <v>3</v>
      </c>
    </row>
    <row r="446" spans="1:8" ht="30" x14ac:dyDescent="0.25">
      <c r="A446" s="17" t="s">
        <v>777</v>
      </c>
      <c r="B446" s="17" t="s">
        <v>777</v>
      </c>
      <c r="C446" s="17" t="s">
        <v>743</v>
      </c>
      <c r="D446" s="17" t="s">
        <v>744</v>
      </c>
      <c r="E446" s="17">
        <v>3.813E-4</v>
      </c>
      <c r="F446" s="6" t="s">
        <v>233</v>
      </c>
      <c r="G446" s="6" t="s">
        <v>234</v>
      </c>
      <c r="H446" s="6">
        <v>3</v>
      </c>
    </row>
    <row r="447" spans="1:8" ht="30" x14ac:dyDescent="0.25">
      <c r="A447" s="17" t="s">
        <v>778</v>
      </c>
      <c r="B447" s="17" t="s">
        <v>778</v>
      </c>
      <c r="C447" s="17" t="s">
        <v>407</v>
      </c>
      <c r="D447" s="17" t="s">
        <v>408</v>
      </c>
      <c r="E447" s="17">
        <v>1.6713599999999999E-4</v>
      </c>
      <c r="F447" s="6" t="s">
        <v>233</v>
      </c>
      <c r="G447" s="6" t="s">
        <v>234</v>
      </c>
      <c r="H447" s="6">
        <v>3</v>
      </c>
    </row>
    <row r="448" spans="1:8" ht="30" x14ac:dyDescent="0.25">
      <c r="A448" s="17" t="s">
        <v>779</v>
      </c>
      <c r="B448" s="17" t="s">
        <v>779</v>
      </c>
      <c r="C448" s="17" t="s">
        <v>346</v>
      </c>
      <c r="D448" s="17" t="s">
        <v>347</v>
      </c>
      <c r="E448" s="17">
        <v>2.10657E-4</v>
      </c>
      <c r="F448" s="6" t="s">
        <v>233</v>
      </c>
      <c r="G448" s="6" t="s">
        <v>234</v>
      </c>
      <c r="H448" s="6">
        <v>3</v>
      </c>
    </row>
    <row r="449" spans="1:8" ht="30" x14ac:dyDescent="0.25">
      <c r="A449" s="17" t="s">
        <v>780</v>
      </c>
      <c r="B449" s="17" t="s">
        <v>780</v>
      </c>
      <c r="C449" s="17" t="s">
        <v>729</v>
      </c>
      <c r="D449" s="17" t="s">
        <v>730</v>
      </c>
      <c r="E449" s="17">
        <v>1.8648100000000001E-4</v>
      </c>
      <c r="F449" s="6" t="s">
        <v>233</v>
      </c>
      <c r="G449" s="6" t="s">
        <v>234</v>
      </c>
      <c r="H449" s="6">
        <v>3</v>
      </c>
    </row>
    <row r="450" spans="1:8" ht="30" x14ac:dyDescent="0.25">
      <c r="A450" s="17" t="s">
        <v>781</v>
      </c>
      <c r="B450" s="17" t="s">
        <v>781</v>
      </c>
      <c r="C450" s="17" t="s">
        <v>346</v>
      </c>
      <c r="D450" s="17" t="s">
        <v>347</v>
      </c>
      <c r="E450" s="17">
        <v>2.10657E-4</v>
      </c>
      <c r="F450" s="6" t="s">
        <v>233</v>
      </c>
      <c r="G450" s="6" t="s">
        <v>234</v>
      </c>
      <c r="H450" s="6">
        <v>3</v>
      </c>
    </row>
    <row r="451" spans="1:8" ht="30" x14ac:dyDescent="0.25">
      <c r="A451" s="17" t="s">
        <v>782</v>
      </c>
      <c r="B451" s="17" t="s">
        <v>782</v>
      </c>
      <c r="C451" s="17" t="s">
        <v>732</v>
      </c>
      <c r="D451" s="17" t="s">
        <v>733</v>
      </c>
      <c r="E451" s="17">
        <v>1.9325700000000001E-4</v>
      </c>
      <c r="F451" s="6" t="s">
        <v>233</v>
      </c>
      <c r="G451" s="6" t="s">
        <v>234</v>
      </c>
      <c r="H451" s="6">
        <v>3</v>
      </c>
    </row>
    <row r="452" spans="1:8" ht="30" x14ac:dyDescent="0.25">
      <c r="A452" s="17" t="s">
        <v>783</v>
      </c>
      <c r="B452" s="17" t="s">
        <v>783</v>
      </c>
      <c r="C452" s="17" t="s">
        <v>732</v>
      </c>
      <c r="D452" s="17" t="s">
        <v>733</v>
      </c>
      <c r="E452" s="17">
        <v>1.9325700000000001E-4</v>
      </c>
      <c r="F452" s="6" t="s">
        <v>233</v>
      </c>
      <c r="G452" s="6" t="s">
        <v>234</v>
      </c>
      <c r="H452" s="6">
        <v>3</v>
      </c>
    </row>
    <row r="453" spans="1:8" ht="30" x14ac:dyDescent="0.25">
      <c r="A453" s="17" t="s">
        <v>784</v>
      </c>
      <c r="B453" s="17" t="s">
        <v>784</v>
      </c>
      <c r="C453" s="17" t="s">
        <v>346</v>
      </c>
      <c r="D453" s="17" t="s">
        <v>347</v>
      </c>
      <c r="E453" s="17">
        <v>2.10657E-4</v>
      </c>
      <c r="F453" s="6" t="s">
        <v>233</v>
      </c>
      <c r="G453" s="6" t="s">
        <v>234</v>
      </c>
      <c r="H453" s="6">
        <v>3</v>
      </c>
    </row>
    <row r="454" spans="1:8" ht="30" x14ac:dyDescent="0.25">
      <c r="A454" s="17" t="s">
        <v>785</v>
      </c>
      <c r="B454" s="17" t="s">
        <v>785</v>
      </c>
      <c r="C454" s="17" t="s">
        <v>346</v>
      </c>
      <c r="D454" s="17" t="s">
        <v>347</v>
      </c>
      <c r="E454" s="17">
        <v>2.10657E-4</v>
      </c>
      <c r="F454" s="6" t="s">
        <v>233</v>
      </c>
      <c r="G454" s="6" t="s">
        <v>234</v>
      </c>
      <c r="H454" s="6">
        <v>3</v>
      </c>
    </row>
    <row r="455" spans="1:8" ht="30" x14ac:dyDescent="0.25">
      <c r="A455" s="17" t="s">
        <v>786</v>
      </c>
      <c r="B455" s="17" t="s">
        <v>786</v>
      </c>
      <c r="C455" s="17" t="s">
        <v>265</v>
      </c>
      <c r="D455" s="17" t="s">
        <v>263</v>
      </c>
      <c r="E455" s="17">
        <v>3.0449399999999999E-4</v>
      </c>
      <c r="F455" s="6" t="s">
        <v>233</v>
      </c>
      <c r="G455" s="6" t="s">
        <v>234</v>
      </c>
      <c r="H455" s="6">
        <v>3</v>
      </c>
    </row>
    <row r="456" spans="1:8" ht="30" x14ac:dyDescent="0.25">
      <c r="A456" s="17" t="s">
        <v>787</v>
      </c>
      <c r="B456" s="17" t="s">
        <v>787</v>
      </c>
      <c r="C456" s="17" t="s">
        <v>301</v>
      </c>
      <c r="D456" s="17" t="s">
        <v>299</v>
      </c>
      <c r="E456" s="17">
        <v>6.3590900000000004E-4</v>
      </c>
      <c r="F456" s="6" t="s">
        <v>233</v>
      </c>
      <c r="G456" s="6" t="s">
        <v>234</v>
      </c>
      <c r="H456" s="6">
        <v>3</v>
      </c>
    </row>
    <row r="457" spans="1:8" ht="30" x14ac:dyDescent="0.25">
      <c r="A457" s="17" t="s">
        <v>788</v>
      </c>
      <c r="B457" s="17" t="s">
        <v>788</v>
      </c>
      <c r="C457" s="17" t="s">
        <v>271</v>
      </c>
      <c r="D457" s="17" t="s">
        <v>269</v>
      </c>
      <c r="E457" s="17">
        <v>5.2359699999999999E-4</v>
      </c>
      <c r="F457" s="6" t="s">
        <v>233</v>
      </c>
      <c r="G457" s="6" t="s">
        <v>234</v>
      </c>
      <c r="H457" s="6">
        <v>3</v>
      </c>
    </row>
    <row r="458" spans="1:8" ht="30" x14ac:dyDescent="0.25">
      <c r="A458" s="17" t="s">
        <v>789</v>
      </c>
      <c r="B458" s="17" t="s">
        <v>789</v>
      </c>
      <c r="C458" s="17" t="s">
        <v>271</v>
      </c>
      <c r="D458" s="17" t="s">
        <v>269</v>
      </c>
      <c r="E458" s="17">
        <v>5.2359699999999999E-4</v>
      </c>
      <c r="F458" s="6" t="s">
        <v>233</v>
      </c>
      <c r="G458" s="6" t="s">
        <v>234</v>
      </c>
      <c r="H458" s="6">
        <v>3</v>
      </c>
    </row>
    <row r="459" spans="1:8" ht="30" x14ac:dyDescent="0.25">
      <c r="A459" s="17" t="s">
        <v>790</v>
      </c>
      <c r="B459" s="17" t="s">
        <v>790</v>
      </c>
      <c r="C459" s="17" t="s">
        <v>271</v>
      </c>
      <c r="D459" s="17" t="s">
        <v>269</v>
      </c>
      <c r="E459" s="17">
        <v>5.2359699999999999E-4</v>
      </c>
      <c r="F459" s="6" t="s">
        <v>233</v>
      </c>
      <c r="G459" s="6" t="s">
        <v>234</v>
      </c>
      <c r="H459" s="6">
        <v>3</v>
      </c>
    </row>
    <row r="460" spans="1:8" ht="30" x14ac:dyDescent="0.25">
      <c r="A460" s="17" t="s">
        <v>791</v>
      </c>
      <c r="B460" s="17" t="s">
        <v>791</v>
      </c>
      <c r="C460" s="17" t="s">
        <v>271</v>
      </c>
      <c r="D460" s="17" t="s">
        <v>269</v>
      </c>
      <c r="E460" s="17">
        <v>5.2359699999999999E-4</v>
      </c>
      <c r="F460" s="6" t="s">
        <v>233</v>
      </c>
      <c r="G460" s="6" t="s">
        <v>234</v>
      </c>
      <c r="H460" s="6">
        <v>3</v>
      </c>
    </row>
    <row r="461" spans="1:8" ht="30" x14ac:dyDescent="0.25">
      <c r="A461" s="17" t="s">
        <v>792</v>
      </c>
      <c r="B461" s="17" t="s">
        <v>792</v>
      </c>
      <c r="C461" s="17" t="s">
        <v>271</v>
      </c>
      <c r="D461" s="17" t="s">
        <v>269</v>
      </c>
      <c r="E461" s="17">
        <v>5.2359699999999999E-4</v>
      </c>
      <c r="F461" s="6" t="s">
        <v>233</v>
      </c>
      <c r="G461" s="6" t="s">
        <v>234</v>
      </c>
      <c r="H461" s="6">
        <v>3</v>
      </c>
    </row>
    <row r="462" spans="1:8" ht="30" x14ac:dyDescent="0.25">
      <c r="A462" s="17" t="s">
        <v>793</v>
      </c>
      <c r="B462" s="17" t="s">
        <v>793</v>
      </c>
      <c r="C462" s="17" t="s">
        <v>271</v>
      </c>
      <c r="D462" s="17" t="s">
        <v>269</v>
      </c>
      <c r="E462" s="17">
        <v>5.2359699999999999E-4</v>
      </c>
      <c r="F462" s="6" t="s">
        <v>233</v>
      </c>
      <c r="G462" s="6" t="s">
        <v>234</v>
      </c>
      <c r="H462" s="6">
        <v>3</v>
      </c>
    </row>
    <row r="463" spans="1:8" ht="30" x14ac:dyDescent="0.25">
      <c r="A463" s="17" t="s">
        <v>794</v>
      </c>
      <c r="B463" s="17" t="s">
        <v>794</v>
      </c>
      <c r="C463" s="17" t="s">
        <v>271</v>
      </c>
      <c r="D463" s="17" t="s">
        <v>269</v>
      </c>
      <c r="E463" s="17">
        <v>5.2359699999999999E-4</v>
      </c>
      <c r="F463" s="6" t="s">
        <v>233</v>
      </c>
      <c r="G463" s="6" t="s">
        <v>234</v>
      </c>
      <c r="H463" s="6">
        <v>3</v>
      </c>
    </row>
    <row r="464" spans="1:8" ht="30" x14ac:dyDescent="0.25">
      <c r="A464" s="17" t="s">
        <v>795</v>
      </c>
      <c r="B464" s="17" t="s">
        <v>795</v>
      </c>
      <c r="C464" s="17" t="s">
        <v>271</v>
      </c>
      <c r="D464" s="17" t="s">
        <v>269</v>
      </c>
      <c r="E464" s="17">
        <v>5.2359699999999999E-4</v>
      </c>
      <c r="F464" s="6" t="s">
        <v>233</v>
      </c>
      <c r="G464" s="6" t="s">
        <v>234</v>
      </c>
      <c r="H464" s="6">
        <v>3</v>
      </c>
    </row>
    <row r="465" spans="1:8" ht="30" x14ac:dyDescent="0.25">
      <c r="A465" s="17" t="s">
        <v>796</v>
      </c>
      <c r="B465" s="17" t="s">
        <v>796</v>
      </c>
      <c r="C465" s="17" t="s">
        <v>271</v>
      </c>
      <c r="D465" s="17" t="s">
        <v>269</v>
      </c>
      <c r="E465" s="17">
        <v>5.2359699999999999E-4</v>
      </c>
      <c r="F465" s="6" t="s">
        <v>233</v>
      </c>
      <c r="G465" s="6" t="s">
        <v>234</v>
      </c>
      <c r="H465" s="6">
        <v>3</v>
      </c>
    </row>
    <row r="466" spans="1:8" ht="30" x14ac:dyDescent="0.25">
      <c r="A466" s="17" t="s">
        <v>797</v>
      </c>
      <c r="B466" s="17" t="s">
        <v>797</v>
      </c>
      <c r="C466" s="17" t="s">
        <v>346</v>
      </c>
      <c r="D466" s="17" t="s">
        <v>347</v>
      </c>
      <c r="E466" s="17">
        <v>2.10657E-4</v>
      </c>
      <c r="F466" s="6" t="s">
        <v>233</v>
      </c>
      <c r="G466" s="6" t="s">
        <v>234</v>
      </c>
      <c r="H466" s="6">
        <v>3</v>
      </c>
    </row>
    <row r="467" spans="1:8" ht="30" x14ac:dyDescent="0.25">
      <c r="A467" s="17" t="s">
        <v>798</v>
      </c>
      <c r="B467" s="17" t="s">
        <v>798</v>
      </c>
      <c r="C467" s="17" t="s">
        <v>250</v>
      </c>
      <c r="D467" s="17" t="s">
        <v>248</v>
      </c>
      <c r="E467" s="17">
        <v>4.3868599999999998E-4</v>
      </c>
      <c r="F467" s="6" t="s">
        <v>233</v>
      </c>
      <c r="G467" s="6" t="s">
        <v>234</v>
      </c>
      <c r="H467" s="6">
        <v>3</v>
      </c>
    </row>
    <row r="468" spans="1:8" ht="30" x14ac:dyDescent="0.25">
      <c r="A468" s="17" t="s">
        <v>799</v>
      </c>
      <c r="B468" s="17" t="s">
        <v>799</v>
      </c>
      <c r="C468" s="17" t="s">
        <v>301</v>
      </c>
      <c r="D468" s="17" t="s">
        <v>299</v>
      </c>
      <c r="E468" s="17">
        <v>6.3590900000000004E-4</v>
      </c>
      <c r="F468" s="6" t="s">
        <v>233</v>
      </c>
      <c r="G468" s="6" t="s">
        <v>234</v>
      </c>
      <c r="H468" s="6">
        <v>3</v>
      </c>
    </row>
    <row r="469" spans="1:8" ht="30" x14ac:dyDescent="0.25">
      <c r="A469" s="17" t="s">
        <v>800</v>
      </c>
      <c r="B469" s="17" t="s">
        <v>800</v>
      </c>
      <c r="C469" s="17" t="s">
        <v>256</v>
      </c>
      <c r="D469" s="17" t="s">
        <v>254</v>
      </c>
      <c r="E469" s="17">
        <v>8.1312799999999998E-4</v>
      </c>
      <c r="F469" s="6" t="s">
        <v>233</v>
      </c>
      <c r="G469" s="6" t="s">
        <v>234</v>
      </c>
      <c r="H469" s="6">
        <v>3</v>
      </c>
    </row>
    <row r="470" spans="1:8" ht="30" x14ac:dyDescent="0.25">
      <c r="A470" s="17" t="s">
        <v>801</v>
      </c>
      <c r="B470" s="17" t="s">
        <v>801</v>
      </c>
      <c r="C470" s="17" t="s">
        <v>256</v>
      </c>
      <c r="D470" s="17" t="s">
        <v>254</v>
      </c>
      <c r="E470" s="17">
        <v>8.1312799999999998E-4</v>
      </c>
      <c r="F470" s="6" t="s">
        <v>233</v>
      </c>
      <c r="G470" s="6" t="s">
        <v>234</v>
      </c>
      <c r="H470" s="6">
        <v>3</v>
      </c>
    </row>
    <row r="471" spans="1:8" ht="30" x14ac:dyDescent="0.25">
      <c r="A471" s="17" t="s">
        <v>802</v>
      </c>
      <c r="B471" s="17" t="s">
        <v>802</v>
      </c>
      <c r="C471" s="17" t="s">
        <v>271</v>
      </c>
      <c r="D471" s="17" t="s">
        <v>269</v>
      </c>
      <c r="E471" s="17">
        <v>5.2359699999999999E-4</v>
      </c>
      <c r="F471" s="6" t="s">
        <v>233</v>
      </c>
      <c r="G471" s="6" t="s">
        <v>234</v>
      </c>
      <c r="H471" s="6">
        <v>3</v>
      </c>
    </row>
    <row r="472" spans="1:8" ht="30" x14ac:dyDescent="0.25">
      <c r="A472" s="17" t="s">
        <v>803</v>
      </c>
      <c r="B472" s="17" t="s">
        <v>803</v>
      </c>
      <c r="C472" s="17" t="s">
        <v>743</v>
      </c>
      <c r="D472" s="17" t="s">
        <v>744</v>
      </c>
      <c r="E472" s="17">
        <v>3.813E-4</v>
      </c>
      <c r="F472" s="6" t="s">
        <v>233</v>
      </c>
      <c r="G472" s="6" t="s">
        <v>234</v>
      </c>
      <c r="H472" s="6">
        <v>3</v>
      </c>
    </row>
    <row r="473" spans="1:8" ht="30" x14ac:dyDescent="0.25">
      <c r="A473" s="17" t="s">
        <v>804</v>
      </c>
      <c r="B473" s="17" t="s">
        <v>804</v>
      </c>
      <c r="C473" s="17" t="s">
        <v>301</v>
      </c>
      <c r="D473" s="17" t="s">
        <v>299</v>
      </c>
      <c r="E473" s="17">
        <v>6.3590900000000004E-4</v>
      </c>
      <c r="F473" s="6" t="s">
        <v>233</v>
      </c>
      <c r="G473" s="6" t="s">
        <v>234</v>
      </c>
      <c r="H473" s="6">
        <v>3</v>
      </c>
    </row>
    <row r="474" spans="1:8" ht="30" x14ac:dyDescent="0.25">
      <c r="A474" s="17" t="s">
        <v>805</v>
      </c>
      <c r="B474" s="17" t="s">
        <v>805</v>
      </c>
      <c r="C474" s="17" t="s">
        <v>271</v>
      </c>
      <c r="D474" s="17" t="s">
        <v>269</v>
      </c>
      <c r="E474" s="17">
        <v>5.2359699999999999E-4</v>
      </c>
      <c r="F474" s="6" t="s">
        <v>233</v>
      </c>
      <c r="G474" s="6" t="s">
        <v>234</v>
      </c>
      <c r="H474" s="6">
        <v>3</v>
      </c>
    </row>
    <row r="475" spans="1:8" ht="30" x14ac:dyDescent="0.25">
      <c r="A475" s="17" t="s">
        <v>806</v>
      </c>
      <c r="B475" s="17" t="s">
        <v>806</v>
      </c>
      <c r="C475" s="17" t="s">
        <v>271</v>
      </c>
      <c r="D475" s="17" t="s">
        <v>269</v>
      </c>
      <c r="E475" s="17">
        <v>5.2359699999999999E-4</v>
      </c>
      <c r="F475" s="6" t="s">
        <v>233</v>
      </c>
      <c r="G475" s="6" t="s">
        <v>234</v>
      </c>
      <c r="H475" s="6">
        <v>3</v>
      </c>
    </row>
    <row r="476" spans="1:8" ht="30" x14ac:dyDescent="0.25">
      <c r="A476" s="17" t="s">
        <v>807</v>
      </c>
      <c r="B476" s="17" t="s">
        <v>807</v>
      </c>
      <c r="C476" s="17" t="s">
        <v>743</v>
      </c>
      <c r="D476" s="17" t="s">
        <v>744</v>
      </c>
      <c r="E476" s="17">
        <v>3.813E-4</v>
      </c>
      <c r="F476" s="6" t="s">
        <v>233</v>
      </c>
      <c r="G476" s="6" t="s">
        <v>234</v>
      </c>
      <c r="H476" s="6">
        <v>3</v>
      </c>
    </row>
    <row r="477" spans="1:8" ht="30" x14ac:dyDescent="0.25">
      <c r="A477" s="17" t="s">
        <v>808</v>
      </c>
      <c r="B477" s="17" t="s">
        <v>808</v>
      </c>
      <c r="C477" s="17" t="s">
        <v>271</v>
      </c>
      <c r="D477" s="17" t="s">
        <v>269</v>
      </c>
      <c r="E477" s="17">
        <v>5.2359699999999999E-4</v>
      </c>
      <c r="F477" s="6" t="s">
        <v>233</v>
      </c>
      <c r="G477" s="6" t="s">
        <v>234</v>
      </c>
      <c r="H477" s="6">
        <v>3</v>
      </c>
    </row>
    <row r="478" spans="1:8" ht="30" x14ac:dyDescent="0.25">
      <c r="A478" s="17" t="s">
        <v>809</v>
      </c>
      <c r="B478" s="17" t="s">
        <v>809</v>
      </c>
      <c r="C478" s="17" t="s">
        <v>250</v>
      </c>
      <c r="D478" s="17" t="s">
        <v>248</v>
      </c>
      <c r="E478" s="17">
        <v>4.3868599999999998E-4</v>
      </c>
      <c r="F478" s="6" t="s">
        <v>233</v>
      </c>
      <c r="G478" s="6" t="s">
        <v>234</v>
      </c>
      <c r="H478" s="6">
        <v>3</v>
      </c>
    </row>
    <row r="479" spans="1:8" ht="30" x14ac:dyDescent="0.25">
      <c r="A479" s="17" t="s">
        <v>810</v>
      </c>
      <c r="B479" s="17" t="s">
        <v>810</v>
      </c>
      <c r="C479" s="17" t="s">
        <v>268</v>
      </c>
      <c r="D479" s="17" t="s">
        <v>266</v>
      </c>
      <c r="E479" s="17">
        <v>5.4511299999999996E-4</v>
      </c>
      <c r="F479" s="6" t="s">
        <v>233</v>
      </c>
      <c r="G479" s="6" t="s">
        <v>234</v>
      </c>
      <c r="H479" s="6">
        <v>3</v>
      </c>
    </row>
    <row r="480" spans="1:8" ht="30" x14ac:dyDescent="0.25">
      <c r="A480" s="17" t="s">
        <v>811</v>
      </c>
      <c r="B480" s="17" t="s">
        <v>811</v>
      </c>
      <c r="C480" s="17" t="s">
        <v>268</v>
      </c>
      <c r="D480" s="17" t="s">
        <v>266</v>
      </c>
      <c r="E480" s="17">
        <v>5.4511299999999996E-4</v>
      </c>
      <c r="F480" s="6" t="s">
        <v>233</v>
      </c>
      <c r="G480" s="6" t="s">
        <v>234</v>
      </c>
      <c r="H480" s="6">
        <v>3</v>
      </c>
    </row>
    <row r="481" spans="1:8" x14ac:dyDescent="0.25">
      <c r="A481" s="6" t="s">
        <v>812</v>
      </c>
      <c r="B481" s="6" t="s">
        <v>812</v>
      </c>
      <c r="C481" s="6" t="s">
        <v>465</v>
      </c>
      <c r="D481" s="6" t="s">
        <v>466</v>
      </c>
      <c r="E481" s="6">
        <v>2.2128299999999999E-4</v>
      </c>
      <c r="F481" s="6" t="s">
        <v>233</v>
      </c>
      <c r="G481" s="6" t="s">
        <v>234</v>
      </c>
      <c r="H481" s="6">
        <v>3</v>
      </c>
    </row>
    <row r="482" spans="1:8" ht="30" x14ac:dyDescent="0.25">
      <c r="A482" s="17" t="s">
        <v>813</v>
      </c>
      <c r="B482" s="17" t="s">
        <v>813</v>
      </c>
      <c r="C482" s="17" t="s">
        <v>737</v>
      </c>
      <c r="D482" s="17" t="s">
        <v>738</v>
      </c>
      <c r="E482" s="17">
        <v>1.81306E-4</v>
      </c>
      <c r="F482" s="6" t="s">
        <v>233</v>
      </c>
      <c r="G482" s="6" t="s">
        <v>234</v>
      </c>
      <c r="H482" s="6">
        <v>3</v>
      </c>
    </row>
    <row r="483" spans="1:8" ht="30" x14ac:dyDescent="0.25">
      <c r="A483" s="17" t="s">
        <v>814</v>
      </c>
      <c r="B483" s="17" t="s">
        <v>814</v>
      </c>
      <c r="C483" s="17" t="s">
        <v>732</v>
      </c>
      <c r="D483" s="17" t="s">
        <v>733</v>
      </c>
      <c r="E483" s="17">
        <v>1.9325700000000001E-4</v>
      </c>
      <c r="F483" s="6" t="s">
        <v>233</v>
      </c>
      <c r="G483" s="6" t="s">
        <v>234</v>
      </c>
      <c r="H483" s="6">
        <v>3</v>
      </c>
    </row>
    <row r="484" spans="1:8" ht="30" x14ac:dyDescent="0.25">
      <c r="A484" s="17" t="s">
        <v>815</v>
      </c>
      <c r="B484" s="17" t="s">
        <v>815</v>
      </c>
      <c r="C484" s="17" t="s">
        <v>346</v>
      </c>
      <c r="D484" s="17" t="s">
        <v>347</v>
      </c>
      <c r="E484" s="17">
        <v>2.10657E-4</v>
      </c>
      <c r="F484" s="6" t="s">
        <v>233</v>
      </c>
      <c r="G484" s="6" t="s">
        <v>234</v>
      </c>
      <c r="H484" s="6">
        <v>3</v>
      </c>
    </row>
    <row r="485" spans="1:8" ht="30" x14ac:dyDescent="0.25">
      <c r="A485" s="17" t="s">
        <v>816</v>
      </c>
      <c r="B485" s="17" t="s">
        <v>816</v>
      </c>
      <c r="C485" s="17" t="s">
        <v>346</v>
      </c>
      <c r="D485" s="17" t="s">
        <v>347</v>
      </c>
      <c r="E485" s="17">
        <v>2.10657E-4</v>
      </c>
      <c r="F485" s="6" t="s">
        <v>233</v>
      </c>
      <c r="G485" s="6" t="s">
        <v>234</v>
      </c>
      <c r="H485" s="6">
        <v>3</v>
      </c>
    </row>
    <row r="486" spans="1:8" ht="30" x14ac:dyDescent="0.25">
      <c r="A486" s="17" t="s">
        <v>817</v>
      </c>
      <c r="B486" s="17" t="s">
        <v>817</v>
      </c>
      <c r="C486" s="17" t="s">
        <v>346</v>
      </c>
      <c r="D486" s="17" t="s">
        <v>347</v>
      </c>
      <c r="E486" s="17">
        <v>2.10657E-4</v>
      </c>
      <c r="F486" s="6" t="s">
        <v>233</v>
      </c>
      <c r="G486" s="6" t="s">
        <v>234</v>
      </c>
      <c r="H486" s="6">
        <v>3</v>
      </c>
    </row>
    <row r="487" spans="1:8" ht="30" x14ac:dyDescent="0.25">
      <c r="A487" s="17" t="s">
        <v>818</v>
      </c>
      <c r="B487" s="17" t="s">
        <v>818</v>
      </c>
      <c r="C487" s="17" t="s">
        <v>346</v>
      </c>
      <c r="D487" s="17" t="s">
        <v>347</v>
      </c>
      <c r="E487" s="17">
        <v>2.10657E-4</v>
      </c>
      <c r="F487" s="6" t="s">
        <v>233</v>
      </c>
      <c r="G487" s="6" t="s">
        <v>234</v>
      </c>
      <c r="H487" s="6">
        <v>3</v>
      </c>
    </row>
    <row r="488" spans="1:8" ht="30" x14ac:dyDescent="0.25">
      <c r="A488" s="17" t="s">
        <v>819</v>
      </c>
      <c r="B488" s="17" t="s">
        <v>819</v>
      </c>
      <c r="C488" s="17" t="s">
        <v>407</v>
      </c>
      <c r="D488" s="17" t="s">
        <v>408</v>
      </c>
      <c r="E488" s="17">
        <v>1.6713599999999999E-4</v>
      </c>
      <c r="F488" s="6" t="s">
        <v>233</v>
      </c>
      <c r="G488" s="6" t="s">
        <v>234</v>
      </c>
      <c r="H488" s="6">
        <v>3</v>
      </c>
    </row>
    <row r="489" spans="1:8" ht="30" x14ac:dyDescent="0.25">
      <c r="A489" s="17" t="s">
        <v>820</v>
      </c>
      <c r="B489" s="17" t="s">
        <v>820</v>
      </c>
      <c r="C489" s="17" t="s">
        <v>346</v>
      </c>
      <c r="D489" s="17" t="s">
        <v>347</v>
      </c>
      <c r="E489" s="17">
        <v>2.10657E-4</v>
      </c>
      <c r="F489" s="6" t="s">
        <v>233</v>
      </c>
      <c r="G489" s="6" t="s">
        <v>234</v>
      </c>
      <c r="H489" s="6">
        <v>3</v>
      </c>
    </row>
    <row r="490" spans="1:8" ht="30" x14ac:dyDescent="0.25">
      <c r="A490" s="17" t="s">
        <v>821</v>
      </c>
      <c r="B490" s="17" t="s">
        <v>821</v>
      </c>
      <c r="C490" s="17" t="s">
        <v>346</v>
      </c>
      <c r="D490" s="17" t="s">
        <v>347</v>
      </c>
      <c r="E490" s="17">
        <v>2.10657E-4</v>
      </c>
      <c r="F490" s="6" t="s">
        <v>233</v>
      </c>
      <c r="G490" s="6" t="s">
        <v>234</v>
      </c>
      <c r="H490" s="6">
        <v>3</v>
      </c>
    </row>
    <row r="491" spans="1:8" ht="30" x14ac:dyDescent="0.25">
      <c r="A491" s="17" t="s">
        <v>822</v>
      </c>
      <c r="B491" s="17" t="s">
        <v>822</v>
      </c>
      <c r="C491" s="17" t="s">
        <v>346</v>
      </c>
      <c r="D491" s="17" t="s">
        <v>347</v>
      </c>
      <c r="E491" s="17">
        <v>2.10657E-4</v>
      </c>
      <c r="F491" s="6" t="s">
        <v>233</v>
      </c>
      <c r="G491" s="6" t="s">
        <v>234</v>
      </c>
      <c r="H491" s="6">
        <v>3</v>
      </c>
    </row>
    <row r="492" spans="1:8" ht="30" x14ac:dyDescent="0.25">
      <c r="A492" s="17" t="s">
        <v>823</v>
      </c>
      <c r="B492" s="17" t="s">
        <v>823</v>
      </c>
      <c r="C492" s="17" t="s">
        <v>729</v>
      </c>
      <c r="D492" s="17" t="s">
        <v>730</v>
      </c>
      <c r="E492" s="17">
        <v>1.8648100000000001E-4</v>
      </c>
      <c r="F492" s="6" t="s">
        <v>233</v>
      </c>
      <c r="G492" s="6" t="s">
        <v>234</v>
      </c>
      <c r="H492" s="6">
        <v>3</v>
      </c>
    </row>
    <row r="493" spans="1:8" ht="30" x14ac:dyDescent="0.25">
      <c r="A493" s="17" t="s">
        <v>824</v>
      </c>
      <c r="B493" s="17" t="s">
        <v>824</v>
      </c>
      <c r="C493" s="17" t="s">
        <v>250</v>
      </c>
      <c r="D493" s="17" t="s">
        <v>248</v>
      </c>
      <c r="E493" s="17">
        <v>4.3868599999999998E-4</v>
      </c>
      <c r="F493" s="6" t="s">
        <v>233</v>
      </c>
      <c r="G493" s="6" t="s">
        <v>234</v>
      </c>
      <c r="H493" s="6">
        <v>3</v>
      </c>
    </row>
    <row r="494" spans="1:8" ht="30" x14ac:dyDescent="0.25">
      <c r="A494" s="17" t="s">
        <v>825</v>
      </c>
      <c r="B494" s="17" t="s">
        <v>825</v>
      </c>
      <c r="C494" s="17" t="s">
        <v>250</v>
      </c>
      <c r="D494" s="17" t="s">
        <v>248</v>
      </c>
      <c r="E494" s="17">
        <v>4.3868599999999998E-4</v>
      </c>
      <c r="F494" s="6" t="s">
        <v>233</v>
      </c>
      <c r="G494" s="6" t="s">
        <v>234</v>
      </c>
      <c r="H494" s="6">
        <v>3</v>
      </c>
    </row>
    <row r="495" spans="1:8" ht="30" x14ac:dyDescent="0.25">
      <c r="A495" s="17" t="s">
        <v>826</v>
      </c>
      <c r="B495" s="17" t="s">
        <v>826</v>
      </c>
      <c r="C495" s="17" t="s">
        <v>250</v>
      </c>
      <c r="D495" s="17" t="s">
        <v>248</v>
      </c>
      <c r="E495" s="17">
        <v>4.3868599999999998E-4</v>
      </c>
      <c r="F495" s="6" t="s">
        <v>233</v>
      </c>
      <c r="G495" s="6" t="s">
        <v>234</v>
      </c>
      <c r="H495" s="6">
        <v>3</v>
      </c>
    </row>
    <row r="496" spans="1:8" ht="30" x14ac:dyDescent="0.25">
      <c r="A496" s="17" t="s">
        <v>827</v>
      </c>
      <c r="B496" s="17" t="s">
        <v>827</v>
      </c>
      <c r="C496" s="17" t="s">
        <v>346</v>
      </c>
      <c r="D496" s="17" t="s">
        <v>347</v>
      </c>
      <c r="E496" s="17">
        <v>2.10657E-4</v>
      </c>
      <c r="F496" s="6" t="s">
        <v>233</v>
      </c>
      <c r="G496" s="6" t="s">
        <v>234</v>
      </c>
      <c r="H496" s="6">
        <v>3</v>
      </c>
    </row>
    <row r="497" spans="1:8" ht="30" x14ac:dyDescent="0.25">
      <c r="A497" s="17" t="s">
        <v>828</v>
      </c>
      <c r="B497" s="17" t="s">
        <v>828</v>
      </c>
      <c r="C497" s="17" t="s">
        <v>346</v>
      </c>
      <c r="D497" s="17" t="s">
        <v>347</v>
      </c>
      <c r="E497" s="17">
        <v>2.10657E-4</v>
      </c>
      <c r="F497" s="6" t="s">
        <v>233</v>
      </c>
      <c r="G497" s="6" t="s">
        <v>234</v>
      </c>
      <c r="H497" s="6">
        <v>3</v>
      </c>
    </row>
    <row r="498" spans="1:8" ht="30" x14ac:dyDescent="0.25">
      <c r="A498" s="17" t="s">
        <v>829</v>
      </c>
      <c r="B498" s="17" t="s">
        <v>829</v>
      </c>
      <c r="C498" s="17" t="s">
        <v>346</v>
      </c>
      <c r="D498" s="17" t="s">
        <v>347</v>
      </c>
      <c r="E498" s="17">
        <v>2.10657E-4</v>
      </c>
      <c r="F498" s="6" t="s">
        <v>233</v>
      </c>
      <c r="G498" s="6" t="s">
        <v>234</v>
      </c>
      <c r="H498" s="6">
        <v>3</v>
      </c>
    </row>
    <row r="499" spans="1:8" ht="30" x14ac:dyDescent="0.25">
      <c r="A499" s="17" t="s">
        <v>830</v>
      </c>
      <c r="B499" s="17" t="s">
        <v>830</v>
      </c>
      <c r="C499" s="17" t="s">
        <v>346</v>
      </c>
      <c r="D499" s="17" t="s">
        <v>347</v>
      </c>
      <c r="E499" s="17">
        <v>2.10657E-4</v>
      </c>
      <c r="F499" s="6" t="s">
        <v>233</v>
      </c>
      <c r="G499" s="6" t="s">
        <v>234</v>
      </c>
      <c r="H499" s="6">
        <v>3</v>
      </c>
    </row>
    <row r="500" spans="1:8" ht="30" x14ac:dyDescent="0.25">
      <c r="A500" s="17" t="s">
        <v>831</v>
      </c>
      <c r="B500" s="17" t="s">
        <v>831</v>
      </c>
      <c r="C500" s="17" t="s">
        <v>413</v>
      </c>
      <c r="D500" s="17" t="s">
        <v>414</v>
      </c>
      <c r="E500" s="17">
        <v>3.1322199999999999E-4</v>
      </c>
      <c r="F500" s="6" t="s">
        <v>233</v>
      </c>
      <c r="G500" s="6" t="s">
        <v>234</v>
      </c>
      <c r="H500" s="6">
        <v>3</v>
      </c>
    </row>
    <row r="501" spans="1:8" ht="30" x14ac:dyDescent="0.25">
      <c r="A501" s="17" t="s">
        <v>832</v>
      </c>
      <c r="B501" s="17" t="s">
        <v>832</v>
      </c>
      <c r="C501" s="17" t="s">
        <v>346</v>
      </c>
      <c r="D501" s="17" t="s">
        <v>347</v>
      </c>
      <c r="E501" s="17">
        <v>2.10657E-4</v>
      </c>
      <c r="F501" s="6" t="s">
        <v>233</v>
      </c>
      <c r="G501" s="6" t="s">
        <v>234</v>
      </c>
      <c r="H501" s="6">
        <v>3</v>
      </c>
    </row>
    <row r="502" spans="1:8" ht="30" x14ac:dyDescent="0.25">
      <c r="A502" s="17" t="s">
        <v>833</v>
      </c>
      <c r="B502" s="17" t="s">
        <v>833</v>
      </c>
      <c r="C502" s="17" t="s">
        <v>346</v>
      </c>
      <c r="D502" s="17" t="s">
        <v>347</v>
      </c>
      <c r="E502" s="17">
        <v>2.10657E-4</v>
      </c>
      <c r="F502" s="6" t="s">
        <v>233</v>
      </c>
      <c r="G502" s="6" t="s">
        <v>234</v>
      </c>
      <c r="H502" s="6">
        <v>3</v>
      </c>
    </row>
    <row r="503" spans="1:8" ht="30" x14ac:dyDescent="0.25">
      <c r="A503" s="17" t="s">
        <v>834</v>
      </c>
      <c r="B503" s="17" t="s">
        <v>834</v>
      </c>
      <c r="C503" s="17" t="s">
        <v>346</v>
      </c>
      <c r="D503" s="17" t="s">
        <v>347</v>
      </c>
      <c r="E503" s="17">
        <v>2.10657E-4</v>
      </c>
      <c r="F503" s="6" t="s">
        <v>233</v>
      </c>
      <c r="G503" s="6" t="s">
        <v>234</v>
      </c>
      <c r="H503" s="6">
        <v>3</v>
      </c>
    </row>
    <row r="504" spans="1:8" ht="30" x14ac:dyDescent="0.25">
      <c r="A504" s="17" t="s">
        <v>835</v>
      </c>
      <c r="B504" s="17" t="s">
        <v>835</v>
      </c>
      <c r="C504" s="17" t="s">
        <v>465</v>
      </c>
      <c r="D504" s="17" t="s">
        <v>466</v>
      </c>
      <c r="E504" s="17">
        <v>2.2128299999999999E-4</v>
      </c>
      <c r="F504" s="6" t="s">
        <v>233</v>
      </c>
      <c r="G504" s="6" t="s">
        <v>234</v>
      </c>
      <c r="H504" s="6">
        <v>3</v>
      </c>
    </row>
    <row r="505" spans="1:8" ht="30" x14ac:dyDescent="0.25">
      <c r="A505" s="17" t="s">
        <v>836</v>
      </c>
      <c r="B505" s="17" t="s">
        <v>836</v>
      </c>
      <c r="C505" s="17" t="s">
        <v>346</v>
      </c>
      <c r="D505" s="17" t="s">
        <v>347</v>
      </c>
      <c r="E505" s="17">
        <v>2.10657E-4</v>
      </c>
      <c r="F505" s="6" t="s">
        <v>233</v>
      </c>
      <c r="G505" s="6" t="s">
        <v>234</v>
      </c>
      <c r="H505" s="6">
        <v>3</v>
      </c>
    </row>
    <row r="506" spans="1:8" ht="30" x14ac:dyDescent="0.25">
      <c r="A506" s="17" t="s">
        <v>837</v>
      </c>
      <c r="B506" s="17" t="s">
        <v>837</v>
      </c>
      <c r="C506" s="17" t="s">
        <v>346</v>
      </c>
      <c r="D506" s="17" t="s">
        <v>347</v>
      </c>
      <c r="E506" s="17">
        <v>2.10657E-4</v>
      </c>
      <c r="F506" s="6" t="s">
        <v>233</v>
      </c>
      <c r="G506" s="6" t="s">
        <v>234</v>
      </c>
      <c r="H506" s="6">
        <v>3</v>
      </c>
    </row>
    <row r="507" spans="1:8" ht="30" x14ac:dyDescent="0.25">
      <c r="A507" s="17" t="s">
        <v>838</v>
      </c>
      <c r="B507" s="17" t="s">
        <v>838</v>
      </c>
      <c r="C507" s="17" t="s">
        <v>346</v>
      </c>
      <c r="D507" s="17" t="s">
        <v>347</v>
      </c>
      <c r="E507" s="17">
        <v>2.10657E-4</v>
      </c>
      <c r="F507" s="6" t="s">
        <v>233</v>
      </c>
      <c r="G507" s="6" t="s">
        <v>234</v>
      </c>
      <c r="H507" s="6">
        <v>3</v>
      </c>
    </row>
    <row r="508" spans="1:8" ht="30" x14ac:dyDescent="0.25">
      <c r="A508" s="17" t="s">
        <v>839</v>
      </c>
      <c r="B508" s="17" t="s">
        <v>839</v>
      </c>
      <c r="C508" s="17" t="s">
        <v>346</v>
      </c>
      <c r="D508" s="17" t="s">
        <v>347</v>
      </c>
      <c r="E508" s="17">
        <v>2.10657E-4</v>
      </c>
      <c r="F508" s="6" t="s">
        <v>233</v>
      </c>
      <c r="G508" s="6" t="s">
        <v>234</v>
      </c>
      <c r="H508" s="6">
        <v>3</v>
      </c>
    </row>
    <row r="509" spans="1:8" ht="30" x14ac:dyDescent="0.25">
      <c r="A509" s="17" t="s">
        <v>840</v>
      </c>
      <c r="B509" s="17" t="s">
        <v>840</v>
      </c>
      <c r="C509" s="17" t="s">
        <v>346</v>
      </c>
      <c r="D509" s="17" t="s">
        <v>347</v>
      </c>
      <c r="E509" s="17">
        <v>2.10657E-4</v>
      </c>
      <c r="F509" s="6" t="s">
        <v>233</v>
      </c>
      <c r="G509" s="6" t="s">
        <v>234</v>
      </c>
      <c r="H509" s="6">
        <v>3</v>
      </c>
    </row>
    <row r="510" spans="1:8" ht="30" x14ac:dyDescent="0.25">
      <c r="A510" s="17" t="s">
        <v>841</v>
      </c>
      <c r="B510" s="17" t="s">
        <v>841</v>
      </c>
      <c r="C510" s="17" t="s">
        <v>250</v>
      </c>
      <c r="D510" s="17" t="s">
        <v>248</v>
      </c>
      <c r="E510" s="17">
        <v>4.3868599999999998E-4</v>
      </c>
      <c r="F510" s="6" t="s">
        <v>233</v>
      </c>
      <c r="G510" s="6" t="s">
        <v>234</v>
      </c>
      <c r="H510" s="6">
        <v>3</v>
      </c>
    </row>
    <row r="511" spans="1:8" ht="30" x14ac:dyDescent="0.25">
      <c r="A511" s="17" t="s">
        <v>842</v>
      </c>
      <c r="B511" s="17" t="s">
        <v>842</v>
      </c>
      <c r="C511" s="17" t="s">
        <v>346</v>
      </c>
      <c r="D511" s="17" t="s">
        <v>347</v>
      </c>
      <c r="E511" s="17">
        <v>2.10657E-4</v>
      </c>
      <c r="F511" s="6" t="s">
        <v>233</v>
      </c>
      <c r="G511" s="6" t="s">
        <v>234</v>
      </c>
      <c r="H511" s="6">
        <v>3</v>
      </c>
    </row>
    <row r="512" spans="1:8" ht="30" x14ac:dyDescent="0.25">
      <c r="A512" s="17" t="s">
        <v>843</v>
      </c>
      <c r="B512" s="17" t="s">
        <v>843</v>
      </c>
      <c r="C512" s="17" t="s">
        <v>346</v>
      </c>
      <c r="D512" s="17" t="s">
        <v>347</v>
      </c>
      <c r="E512" s="17">
        <v>2.10657E-4</v>
      </c>
      <c r="F512" s="6" t="s">
        <v>233</v>
      </c>
      <c r="G512" s="6" t="s">
        <v>234</v>
      </c>
      <c r="H512" s="6">
        <v>3</v>
      </c>
    </row>
    <row r="513" spans="1:8" ht="30" x14ac:dyDescent="0.25">
      <c r="A513" s="17" t="s">
        <v>844</v>
      </c>
      <c r="B513" s="17" t="s">
        <v>844</v>
      </c>
      <c r="C513" s="17" t="s">
        <v>346</v>
      </c>
      <c r="D513" s="17" t="s">
        <v>347</v>
      </c>
      <c r="E513" s="17">
        <v>2.10657E-4</v>
      </c>
      <c r="F513" s="6" t="s">
        <v>233</v>
      </c>
      <c r="G513" s="6" t="s">
        <v>234</v>
      </c>
      <c r="H513" s="6">
        <v>3</v>
      </c>
    </row>
    <row r="514" spans="1:8" ht="30" x14ac:dyDescent="0.25">
      <c r="A514" s="17" t="s">
        <v>845</v>
      </c>
      <c r="B514" s="17" t="s">
        <v>845</v>
      </c>
      <c r="C514" s="17" t="s">
        <v>346</v>
      </c>
      <c r="D514" s="17" t="s">
        <v>347</v>
      </c>
      <c r="E514" s="17">
        <v>2.10657E-4</v>
      </c>
      <c r="F514" s="6" t="s">
        <v>233</v>
      </c>
      <c r="G514" s="6" t="s">
        <v>234</v>
      </c>
      <c r="H514" s="6">
        <v>3</v>
      </c>
    </row>
    <row r="515" spans="1:8" ht="30" x14ac:dyDescent="0.25">
      <c r="A515" s="17" t="s">
        <v>846</v>
      </c>
      <c r="B515" s="17" t="s">
        <v>846</v>
      </c>
      <c r="C515" s="17" t="s">
        <v>732</v>
      </c>
      <c r="D515" s="17" t="s">
        <v>733</v>
      </c>
      <c r="E515" s="17">
        <v>1.9325700000000001E-4</v>
      </c>
      <c r="F515" s="6" t="s">
        <v>233</v>
      </c>
      <c r="G515" s="6" t="s">
        <v>234</v>
      </c>
      <c r="H515" s="6">
        <v>3</v>
      </c>
    </row>
    <row r="516" spans="1:8" ht="30" x14ac:dyDescent="0.25">
      <c r="A516" s="17" t="s">
        <v>847</v>
      </c>
      <c r="B516" s="17" t="s">
        <v>847</v>
      </c>
      <c r="C516" s="17" t="s">
        <v>346</v>
      </c>
      <c r="D516" s="17" t="s">
        <v>347</v>
      </c>
      <c r="E516" s="17">
        <v>2.10657E-4</v>
      </c>
      <c r="F516" s="6" t="s">
        <v>233</v>
      </c>
      <c r="G516" s="6" t="s">
        <v>234</v>
      </c>
      <c r="H516" s="6">
        <v>3</v>
      </c>
    </row>
    <row r="517" spans="1:8" ht="30" x14ac:dyDescent="0.25">
      <c r="A517" s="17" t="s">
        <v>848</v>
      </c>
      <c r="B517" s="17" t="s">
        <v>848</v>
      </c>
      <c r="C517" s="17" t="s">
        <v>346</v>
      </c>
      <c r="D517" s="17" t="s">
        <v>347</v>
      </c>
      <c r="E517" s="17">
        <v>2.10657E-4</v>
      </c>
      <c r="F517" s="6" t="s">
        <v>233</v>
      </c>
      <c r="G517" s="6" t="s">
        <v>234</v>
      </c>
      <c r="H517" s="6">
        <v>3</v>
      </c>
    </row>
    <row r="518" spans="1:8" ht="30" x14ac:dyDescent="0.25">
      <c r="A518" s="17" t="s">
        <v>849</v>
      </c>
      <c r="B518" s="17" t="s">
        <v>849</v>
      </c>
      <c r="C518" s="17" t="s">
        <v>346</v>
      </c>
      <c r="D518" s="17" t="s">
        <v>347</v>
      </c>
      <c r="E518" s="17">
        <v>2.10657E-4</v>
      </c>
      <c r="F518" s="6" t="s">
        <v>233</v>
      </c>
      <c r="G518" s="6" t="s">
        <v>234</v>
      </c>
      <c r="H518" s="6">
        <v>3</v>
      </c>
    </row>
    <row r="519" spans="1:8" ht="30" x14ac:dyDescent="0.25">
      <c r="A519" s="17" t="s">
        <v>850</v>
      </c>
      <c r="B519" s="17" t="s">
        <v>850</v>
      </c>
      <c r="C519" s="17" t="s">
        <v>346</v>
      </c>
      <c r="D519" s="17" t="s">
        <v>347</v>
      </c>
      <c r="E519" s="17">
        <v>2.10657E-4</v>
      </c>
      <c r="F519" s="6" t="s">
        <v>233</v>
      </c>
      <c r="G519" s="6" t="s">
        <v>234</v>
      </c>
      <c r="H519" s="6">
        <v>3</v>
      </c>
    </row>
    <row r="520" spans="1:8" ht="30" x14ac:dyDescent="0.25">
      <c r="A520" s="17" t="s">
        <v>851</v>
      </c>
      <c r="B520" s="17" t="s">
        <v>851</v>
      </c>
      <c r="C520" s="17" t="s">
        <v>346</v>
      </c>
      <c r="D520" s="17" t="s">
        <v>347</v>
      </c>
      <c r="E520" s="17">
        <v>2.10657E-4</v>
      </c>
      <c r="F520" s="6" t="s">
        <v>233</v>
      </c>
      <c r="G520" s="6" t="s">
        <v>234</v>
      </c>
      <c r="H520" s="6">
        <v>3</v>
      </c>
    </row>
    <row r="521" spans="1:8" ht="30" x14ac:dyDescent="0.25">
      <c r="A521" s="17" t="s">
        <v>852</v>
      </c>
      <c r="B521" s="17" t="s">
        <v>852</v>
      </c>
      <c r="C521" s="17" t="s">
        <v>250</v>
      </c>
      <c r="D521" s="17" t="s">
        <v>248</v>
      </c>
      <c r="E521" s="17">
        <v>4.3868599999999998E-4</v>
      </c>
      <c r="F521" s="6" t="s">
        <v>233</v>
      </c>
      <c r="G521" s="6" t="s">
        <v>234</v>
      </c>
      <c r="H521" s="6">
        <v>3</v>
      </c>
    </row>
    <row r="522" spans="1:8" ht="30" x14ac:dyDescent="0.25">
      <c r="A522" s="17" t="s">
        <v>853</v>
      </c>
      <c r="B522" s="17" t="s">
        <v>853</v>
      </c>
      <c r="C522" s="17" t="s">
        <v>346</v>
      </c>
      <c r="D522" s="17" t="s">
        <v>347</v>
      </c>
      <c r="E522" s="17">
        <v>2.10657E-4</v>
      </c>
      <c r="F522" s="6" t="s">
        <v>233</v>
      </c>
      <c r="G522" s="6" t="s">
        <v>234</v>
      </c>
      <c r="H522" s="6">
        <v>3</v>
      </c>
    </row>
    <row r="523" spans="1:8" ht="30" x14ac:dyDescent="0.25">
      <c r="A523" s="17" t="s">
        <v>854</v>
      </c>
      <c r="B523" s="17" t="s">
        <v>854</v>
      </c>
      <c r="C523" s="17" t="s">
        <v>346</v>
      </c>
      <c r="D523" s="17" t="s">
        <v>347</v>
      </c>
      <c r="E523" s="17">
        <v>2.10657E-4</v>
      </c>
      <c r="F523" s="6" t="s">
        <v>233</v>
      </c>
      <c r="G523" s="6" t="s">
        <v>234</v>
      </c>
      <c r="H523" s="6">
        <v>3</v>
      </c>
    </row>
    <row r="524" spans="1:8" ht="30" x14ac:dyDescent="0.25">
      <c r="A524" s="17" t="s">
        <v>855</v>
      </c>
      <c r="B524" s="17" t="s">
        <v>855</v>
      </c>
      <c r="C524" s="17" t="s">
        <v>346</v>
      </c>
      <c r="D524" s="17" t="s">
        <v>347</v>
      </c>
      <c r="E524" s="17">
        <v>2.10657E-4</v>
      </c>
      <c r="F524" s="6" t="s">
        <v>233</v>
      </c>
      <c r="G524" s="6" t="s">
        <v>234</v>
      </c>
      <c r="H524" s="6">
        <v>3</v>
      </c>
    </row>
    <row r="525" spans="1:8" ht="30" x14ac:dyDescent="0.25">
      <c r="A525" s="17" t="s">
        <v>856</v>
      </c>
      <c r="B525" s="17" t="s">
        <v>856</v>
      </c>
      <c r="C525" s="17" t="s">
        <v>250</v>
      </c>
      <c r="D525" s="17" t="s">
        <v>248</v>
      </c>
      <c r="E525" s="17">
        <v>4.3868599999999998E-4</v>
      </c>
      <c r="F525" s="6" t="s">
        <v>233</v>
      </c>
      <c r="G525" s="6" t="s">
        <v>234</v>
      </c>
      <c r="H525" s="6">
        <v>3</v>
      </c>
    </row>
    <row r="526" spans="1:8" ht="30" x14ac:dyDescent="0.25">
      <c r="A526" s="17" t="s">
        <v>857</v>
      </c>
      <c r="B526" s="17" t="s">
        <v>857</v>
      </c>
      <c r="C526" s="17" t="s">
        <v>346</v>
      </c>
      <c r="D526" s="17" t="s">
        <v>347</v>
      </c>
      <c r="E526" s="17">
        <v>2.10657E-4</v>
      </c>
      <c r="F526" s="6" t="s">
        <v>233</v>
      </c>
      <c r="G526" s="6" t="s">
        <v>234</v>
      </c>
      <c r="H526" s="6">
        <v>3</v>
      </c>
    </row>
    <row r="527" spans="1:8" ht="30" x14ac:dyDescent="0.25">
      <c r="A527" s="17" t="s">
        <v>858</v>
      </c>
      <c r="B527" s="17" t="s">
        <v>858</v>
      </c>
      <c r="C527" s="17" t="s">
        <v>407</v>
      </c>
      <c r="D527" s="17" t="s">
        <v>408</v>
      </c>
      <c r="E527" s="17">
        <v>1.6713599999999999E-4</v>
      </c>
      <c r="F527" s="6" t="s">
        <v>233</v>
      </c>
      <c r="G527" s="6" t="s">
        <v>234</v>
      </c>
      <c r="H527" s="6">
        <v>3</v>
      </c>
    </row>
    <row r="528" spans="1:8" ht="30" x14ac:dyDescent="0.25">
      <c r="A528" s="17" t="s">
        <v>859</v>
      </c>
      <c r="B528" s="17" t="s">
        <v>859</v>
      </c>
      <c r="C528" s="17" t="s">
        <v>250</v>
      </c>
      <c r="D528" s="17" t="s">
        <v>248</v>
      </c>
      <c r="E528" s="17">
        <v>4.3868599999999998E-4</v>
      </c>
      <c r="F528" s="6" t="s">
        <v>233</v>
      </c>
      <c r="G528" s="6" t="s">
        <v>234</v>
      </c>
      <c r="H528" s="6">
        <v>3</v>
      </c>
    </row>
    <row r="529" spans="1:8" ht="30" x14ac:dyDescent="0.25">
      <c r="A529" s="17" t="s">
        <v>860</v>
      </c>
      <c r="B529" s="17" t="s">
        <v>860</v>
      </c>
      <c r="C529" s="17" t="s">
        <v>250</v>
      </c>
      <c r="D529" s="17" t="s">
        <v>248</v>
      </c>
      <c r="E529" s="17">
        <v>4.3868599999999998E-4</v>
      </c>
      <c r="F529" s="6" t="s">
        <v>233</v>
      </c>
      <c r="G529" s="6" t="s">
        <v>234</v>
      </c>
      <c r="H529" s="6">
        <v>3</v>
      </c>
    </row>
    <row r="530" spans="1:8" ht="30" x14ac:dyDescent="0.25">
      <c r="A530" s="17" t="s">
        <v>861</v>
      </c>
      <c r="B530" s="17" t="s">
        <v>861</v>
      </c>
      <c r="C530" s="17" t="s">
        <v>250</v>
      </c>
      <c r="D530" s="17" t="s">
        <v>248</v>
      </c>
      <c r="E530" s="17">
        <v>4.3868599999999998E-4</v>
      </c>
      <c r="F530" s="6" t="s">
        <v>233</v>
      </c>
      <c r="G530" s="6" t="s">
        <v>234</v>
      </c>
      <c r="H530" s="6">
        <v>3</v>
      </c>
    </row>
    <row r="531" spans="1:8" ht="30" x14ac:dyDescent="0.25">
      <c r="A531" s="17" t="s">
        <v>862</v>
      </c>
      <c r="B531" s="17" t="s">
        <v>862</v>
      </c>
      <c r="C531" s="17" t="s">
        <v>743</v>
      </c>
      <c r="D531" s="17" t="s">
        <v>744</v>
      </c>
      <c r="E531" s="17">
        <v>3.813E-4</v>
      </c>
      <c r="F531" s="6" t="s">
        <v>233</v>
      </c>
      <c r="G531" s="6" t="s">
        <v>234</v>
      </c>
      <c r="H531" s="6">
        <v>3</v>
      </c>
    </row>
    <row r="532" spans="1:8" ht="30" x14ac:dyDescent="0.25">
      <c r="A532" s="17" t="s">
        <v>863</v>
      </c>
      <c r="B532" s="17" t="s">
        <v>863</v>
      </c>
      <c r="C532" s="17" t="s">
        <v>729</v>
      </c>
      <c r="D532" s="17" t="s">
        <v>730</v>
      </c>
      <c r="E532" s="17">
        <v>1.8648100000000001E-4</v>
      </c>
      <c r="F532" s="6" t="s">
        <v>233</v>
      </c>
      <c r="G532" s="6" t="s">
        <v>234</v>
      </c>
      <c r="H532" s="6">
        <v>3</v>
      </c>
    </row>
    <row r="533" spans="1:8" ht="30" x14ac:dyDescent="0.25">
      <c r="A533" s="17" t="s">
        <v>864</v>
      </c>
      <c r="B533" s="17" t="s">
        <v>864</v>
      </c>
      <c r="C533" s="17" t="s">
        <v>346</v>
      </c>
      <c r="D533" s="17" t="s">
        <v>347</v>
      </c>
      <c r="E533" s="17">
        <v>2.10657E-4</v>
      </c>
      <c r="F533" s="6" t="s">
        <v>233</v>
      </c>
      <c r="G533" s="6" t="s">
        <v>234</v>
      </c>
      <c r="H533" s="6">
        <v>3</v>
      </c>
    </row>
    <row r="534" spans="1:8" ht="30" x14ac:dyDescent="0.25">
      <c r="A534" s="17" t="s">
        <v>865</v>
      </c>
      <c r="B534" s="17" t="s">
        <v>865</v>
      </c>
      <c r="C534" s="17" t="s">
        <v>250</v>
      </c>
      <c r="D534" s="17" t="s">
        <v>248</v>
      </c>
      <c r="E534" s="17">
        <v>4.3868599999999998E-4</v>
      </c>
      <c r="F534" s="6" t="s">
        <v>233</v>
      </c>
      <c r="G534" s="6" t="s">
        <v>234</v>
      </c>
      <c r="H534" s="6">
        <v>3</v>
      </c>
    </row>
    <row r="535" spans="1:8" ht="30" x14ac:dyDescent="0.25">
      <c r="A535" s="17" t="s">
        <v>866</v>
      </c>
      <c r="B535" s="17" t="s">
        <v>866</v>
      </c>
      <c r="C535" s="17" t="s">
        <v>729</v>
      </c>
      <c r="D535" s="17" t="s">
        <v>730</v>
      </c>
      <c r="E535" s="17">
        <v>1.8648100000000001E-4</v>
      </c>
      <c r="F535" s="6" t="s">
        <v>233</v>
      </c>
      <c r="G535" s="6" t="s">
        <v>234</v>
      </c>
      <c r="H535" s="6">
        <v>3</v>
      </c>
    </row>
    <row r="536" spans="1:8" ht="30" x14ac:dyDescent="0.25">
      <c r="A536" s="17" t="s">
        <v>867</v>
      </c>
      <c r="B536" s="17" t="s">
        <v>867</v>
      </c>
      <c r="C536" s="17" t="s">
        <v>729</v>
      </c>
      <c r="D536" s="17" t="s">
        <v>730</v>
      </c>
      <c r="E536" s="17">
        <v>1.8648100000000001E-4</v>
      </c>
      <c r="F536" s="6" t="s">
        <v>233</v>
      </c>
      <c r="G536" s="6" t="s">
        <v>234</v>
      </c>
      <c r="H536" s="6">
        <v>3</v>
      </c>
    </row>
    <row r="537" spans="1:8" ht="30" x14ac:dyDescent="0.25">
      <c r="A537" s="17" t="s">
        <v>868</v>
      </c>
      <c r="B537" s="17" t="s">
        <v>868</v>
      </c>
      <c r="C537" s="17" t="s">
        <v>729</v>
      </c>
      <c r="D537" s="17" t="s">
        <v>730</v>
      </c>
      <c r="E537" s="17">
        <v>1.8648100000000001E-4</v>
      </c>
      <c r="F537" s="6" t="s">
        <v>233</v>
      </c>
      <c r="G537" s="6" t="s">
        <v>234</v>
      </c>
      <c r="H537" s="6">
        <v>3</v>
      </c>
    </row>
    <row r="538" spans="1:8" ht="30" x14ac:dyDescent="0.25">
      <c r="A538" s="17" t="s">
        <v>869</v>
      </c>
      <c r="B538" s="17" t="s">
        <v>869</v>
      </c>
      <c r="C538" s="17" t="s">
        <v>346</v>
      </c>
      <c r="D538" s="17" t="s">
        <v>347</v>
      </c>
      <c r="E538" s="17">
        <v>2.10657E-4</v>
      </c>
      <c r="F538" s="6" t="s">
        <v>233</v>
      </c>
      <c r="G538" s="6" t="s">
        <v>234</v>
      </c>
      <c r="H538" s="6">
        <v>3</v>
      </c>
    </row>
    <row r="539" spans="1:8" ht="30" x14ac:dyDescent="0.25">
      <c r="A539" s="17" t="s">
        <v>870</v>
      </c>
      <c r="B539" s="17" t="s">
        <v>870</v>
      </c>
      <c r="C539" s="17" t="s">
        <v>729</v>
      </c>
      <c r="D539" s="17" t="s">
        <v>730</v>
      </c>
      <c r="E539" s="17">
        <v>1.8648100000000001E-4</v>
      </c>
      <c r="F539" s="6" t="s">
        <v>233</v>
      </c>
      <c r="G539" s="6" t="s">
        <v>234</v>
      </c>
      <c r="H539" s="6">
        <v>3</v>
      </c>
    </row>
    <row r="540" spans="1:8" ht="30" x14ac:dyDescent="0.25">
      <c r="A540" s="17" t="s">
        <v>871</v>
      </c>
      <c r="B540" s="17" t="s">
        <v>871</v>
      </c>
      <c r="C540" s="17" t="s">
        <v>732</v>
      </c>
      <c r="D540" s="17" t="s">
        <v>733</v>
      </c>
      <c r="E540" s="17">
        <v>1.9325700000000001E-4</v>
      </c>
      <c r="F540" s="6" t="s">
        <v>233</v>
      </c>
      <c r="G540" s="6" t="s">
        <v>234</v>
      </c>
      <c r="H540" s="6">
        <v>3</v>
      </c>
    </row>
    <row r="541" spans="1:8" ht="30" x14ac:dyDescent="0.25">
      <c r="A541" s="17" t="s">
        <v>872</v>
      </c>
      <c r="B541" s="17" t="s">
        <v>872</v>
      </c>
      <c r="C541" s="17" t="s">
        <v>729</v>
      </c>
      <c r="D541" s="17" t="s">
        <v>730</v>
      </c>
      <c r="E541" s="17">
        <v>1.8648100000000001E-4</v>
      </c>
      <c r="F541" s="6" t="s">
        <v>233</v>
      </c>
      <c r="G541" s="6" t="s">
        <v>234</v>
      </c>
      <c r="H541" s="6">
        <v>3</v>
      </c>
    </row>
    <row r="542" spans="1:8" ht="30" x14ac:dyDescent="0.25">
      <c r="A542" s="17" t="s">
        <v>873</v>
      </c>
      <c r="B542" s="17" t="s">
        <v>873</v>
      </c>
      <c r="C542" s="17" t="s">
        <v>729</v>
      </c>
      <c r="D542" s="17" t="s">
        <v>730</v>
      </c>
      <c r="E542" s="17">
        <v>1.8648100000000001E-4</v>
      </c>
      <c r="F542" s="6" t="s">
        <v>233</v>
      </c>
      <c r="G542" s="6" t="s">
        <v>234</v>
      </c>
      <c r="H542" s="6">
        <v>3</v>
      </c>
    </row>
    <row r="543" spans="1:8" ht="30" x14ac:dyDescent="0.25">
      <c r="A543" s="17" t="s">
        <v>874</v>
      </c>
      <c r="B543" s="17" t="s">
        <v>874</v>
      </c>
      <c r="C543" s="17" t="s">
        <v>346</v>
      </c>
      <c r="D543" s="17" t="s">
        <v>347</v>
      </c>
      <c r="E543" s="17">
        <v>2.10657E-4</v>
      </c>
      <c r="F543" s="6" t="s">
        <v>233</v>
      </c>
      <c r="G543" s="6" t="s">
        <v>234</v>
      </c>
      <c r="H543" s="6">
        <v>3</v>
      </c>
    </row>
    <row r="544" spans="1:8" ht="30" x14ac:dyDescent="0.25">
      <c r="A544" s="17" t="s">
        <v>875</v>
      </c>
      <c r="B544" s="17" t="s">
        <v>875</v>
      </c>
      <c r="C544" s="17" t="s">
        <v>729</v>
      </c>
      <c r="D544" s="17" t="s">
        <v>730</v>
      </c>
      <c r="E544" s="17">
        <v>1.8648100000000001E-4</v>
      </c>
      <c r="F544" s="6" t="s">
        <v>233</v>
      </c>
      <c r="G544" s="6" t="s">
        <v>234</v>
      </c>
      <c r="H544" s="6">
        <v>3</v>
      </c>
    </row>
    <row r="545" spans="1:8" ht="30" x14ac:dyDescent="0.25">
      <c r="A545" s="17" t="s">
        <v>876</v>
      </c>
      <c r="B545" s="17" t="s">
        <v>876</v>
      </c>
      <c r="C545" s="17" t="s">
        <v>310</v>
      </c>
      <c r="D545" s="17" t="s">
        <v>308</v>
      </c>
      <c r="E545" s="17">
        <v>5.3341800000000002E-4</v>
      </c>
      <c r="F545" s="6" t="s">
        <v>233</v>
      </c>
      <c r="G545" s="6" t="s">
        <v>234</v>
      </c>
      <c r="H545" s="6">
        <v>3</v>
      </c>
    </row>
    <row r="546" spans="1:8" ht="30" x14ac:dyDescent="0.25">
      <c r="A546" s="17" t="s">
        <v>877</v>
      </c>
      <c r="B546" s="17" t="s">
        <v>877</v>
      </c>
      <c r="C546" s="17" t="s">
        <v>729</v>
      </c>
      <c r="D546" s="17" t="s">
        <v>730</v>
      </c>
      <c r="E546" s="17">
        <v>1.8648100000000001E-4</v>
      </c>
      <c r="F546" s="6" t="s">
        <v>233</v>
      </c>
      <c r="G546" s="6" t="s">
        <v>234</v>
      </c>
      <c r="H546" s="6">
        <v>3</v>
      </c>
    </row>
    <row r="547" spans="1:8" ht="30" x14ac:dyDescent="0.25">
      <c r="A547" s="17" t="s">
        <v>878</v>
      </c>
      <c r="B547" s="17" t="s">
        <v>878</v>
      </c>
      <c r="C547" s="17" t="s">
        <v>737</v>
      </c>
      <c r="D547" s="17" t="s">
        <v>738</v>
      </c>
      <c r="E547" s="17">
        <v>1.81306E-4</v>
      </c>
      <c r="F547" s="6" t="s">
        <v>233</v>
      </c>
      <c r="G547" s="6" t="s">
        <v>234</v>
      </c>
      <c r="H547" s="6">
        <v>3</v>
      </c>
    </row>
    <row r="548" spans="1:8" ht="30" x14ac:dyDescent="0.25">
      <c r="A548" s="17" t="s">
        <v>879</v>
      </c>
      <c r="B548" s="17" t="s">
        <v>879</v>
      </c>
      <c r="C548" s="17" t="s">
        <v>346</v>
      </c>
      <c r="D548" s="17" t="s">
        <v>347</v>
      </c>
      <c r="E548" s="17">
        <v>2.10657E-4</v>
      </c>
      <c r="F548" s="6" t="s">
        <v>233</v>
      </c>
      <c r="G548" s="6" t="s">
        <v>234</v>
      </c>
      <c r="H548" s="6">
        <v>3</v>
      </c>
    </row>
    <row r="549" spans="1:8" ht="30" x14ac:dyDescent="0.25">
      <c r="A549" s="17" t="s">
        <v>880</v>
      </c>
      <c r="B549" s="17" t="s">
        <v>880</v>
      </c>
      <c r="C549" s="17" t="s">
        <v>737</v>
      </c>
      <c r="D549" s="17" t="s">
        <v>738</v>
      </c>
      <c r="E549" s="17">
        <v>1.81306E-4</v>
      </c>
      <c r="F549" s="6" t="s">
        <v>233</v>
      </c>
      <c r="G549" s="6" t="s">
        <v>234</v>
      </c>
      <c r="H549" s="6">
        <v>3</v>
      </c>
    </row>
    <row r="550" spans="1:8" ht="30" x14ac:dyDescent="0.25">
      <c r="A550" s="17" t="s">
        <v>881</v>
      </c>
      <c r="B550" s="17" t="s">
        <v>881</v>
      </c>
      <c r="C550" s="17" t="s">
        <v>729</v>
      </c>
      <c r="D550" s="17" t="s">
        <v>730</v>
      </c>
      <c r="E550" s="17">
        <v>1.8648100000000001E-4</v>
      </c>
      <c r="F550" s="6" t="s">
        <v>233</v>
      </c>
      <c r="G550" s="6" t="s">
        <v>234</v>
      </c>
      <c r="H550" s="6">
        <v>3</v>
      </c>
    </row>
    <row r="551" spans="1:8" ht="30" x14ac:dyDescent="0.25">
      <c r="A551" s="17" t="s">
        <v>882</v>
      </c>
      <c r="B551" s="17" t="s">
        <v>882</v>
      </c>
      <c r="C551" s="17" t="s">
        <v>346</v>
      </c>
      <c r="D551" s="17" t="s">
        <v>347</v>
      </c>
      <c r="E551" s="17">
        <v>2.10657E-4</v>
      </c>
      <c r="F551" s="6" t="s">
        <v>233</v>
      </c>
      <c r="G551" s="6" t="s">
        <v>234</v>
      </c>
      <c r="H551" s="6">
        <v>3</v>
      </c>
    </row>
    <row r="552" spans="1:8" ht="30" x14ac:dyDescent="0.25">
      <c r="A552" s="17" t="s">
        <v>883</v>
      </c>
      <c r="B552" s="17" t="s">
        <v>883</v>
      </c>
      <c r="C552" s="17" t="s">
        <v>346</v>
      </c>
      <c r="D552" s="17" t="s">
        <v>347</v>
      </c>
      <c r="E552" s="17">
        <v>2.10657E-4</v>
      </c>
      <c r="F552" s="6" t="s">
        <v>233</v>
      </c>
      <c r="G552" s="6" t="s">
        <v>234</v>
      </c>
      <c r="H552" s="6">
        <v>3</v>
      </c>
    </row>
    <row r="553" spans="1:8" ht="30" x14ac:dyDescent="0.25">
      <c r="A553" s="17" t="s">
        <v>884</v>
      </c>
      <c r="B553" s="17" t="s">
        <v>884</v>
      </c>
      <c r="C553" s="17" t="s">
        <v>729</v>
      </c>
      <c r="D553" s="17" t="s">
        <v>730</v>
      </c>
      <c r="E553" s="17">
        <v>1.8648100000000001E-4</v>
      </c>
      <c r="F553" s="6" t="s">
        <v>233</v>
      </c>
      <c r="G553" s="6" t="s">
        <v>234</v>
      </c>
      <c r="H553" s="6">
        <v>3</v>
      </c>
    </row>
    <row r="554" spans="1:8" ht="30" x14ac:dyDescent="0.25">
      <c r="A554" s="17" t="s">
        <v>885</v>
      </c>
      <c r="B554" s="17" t="s">
        <v>885</v>
      </c>
      <c r="C554" s="17" t="s">
        <v>250</v>
      </c>
      <c r="D554" s="17" t="s">
        <v>248</v>
      </c>
      <c r="E554" s="17">
        <v>4.3868599999999998E-4</v>
      </c>
      <c r="F554" s="6" t="s">
        <v>233</v>
      </c>
      <c r="G554" s="6" t="s">
        <v>234</v>
      </c>
      <c r="H554" s="6">
        <v>3</v>
      </c>
    </row>
    <row r="555" spans="1:8" ht="30" x14ac:dyDescent="0.25">
      <c r="A555" s="17" t="s">
        <v>886</v>
      </c>
      <c r="B555" s="17" t="s">
        <v>886</v>
      </c>
      <c r="C555" s="17" t="s">
        <v>250</v>
      </c>
      <c r="D555" s="17" t="s">
        <v>248</v>
      </c>
      <c r="E555" s="17">
        <v>4.3868599999999998E-4</v>
      </c>
      <c r="F555" s="6" t="s">
        <v>233</v>
      </c>
      <c r="G555" s="6" t="s">
        <v>234</v>
      </c>
      <c r="H555" s="6">
        <v>3</v>
      </c>
    </row>
    <row r="556" spans="1:8" ht="30" x14ac:dyDescent="0.25">
      <c r="A556" s="17" t="s">
        <v>887</v>
      </c>
      <c r="B556" s="17" t="s">
        <v>887</v>
      </c>
      <c r="C556" s="17" t="s">
        <v>729</v>
      </c>
      <c r="D556" s="17" t="s">
        <v>730</v>
      </c>
      <c r="E556" s="17">
        <v>1.8648100000000001E-4</v>
      </c>
      <c r="F556" s="6" t="s">
        <v>233</v>
      </c>
      <c r="G556" s="6" t="s">
        <v>234</v>
      </c>
      <c r="H556" s="6">
        <v>3</v>
      </c>
    </row>
    <row r="557" spans="1:8" ht="30" x14ac:dyDescent="0.25">
      <c r="A557" s="17" t="s">
        <v>888</v>
      </c>
      <c r="B557" s="17" t="s">
        <v>888</v>
      </c>
      <c r="C557" s="17" t="s">
        <v>729</v>
      </c>
      <c r="D557" s="17" t="s">
        <v>730</v>
      </c>
      <c r="E557" s="17">
        <v>1.8648100000000001E-4</v>
      </c>
      <c r="F557" s="6" t="s">
        <v>233</v>
      </c>
      <c r="G557" s="6" t="s">
        <v>234</v>
      </c>
      <c r="H557" s="6">
        <v>3</v>
      </c>
    </row>
    <row r="558" spans="1:8" ht="30" x14ac:dyDescent="0.25">
      <c r="A558" s="17" t="s">
        <v>889</v>
      </c>
      <c r="B558" s="17" t="s">
        <v>889</v>
      </c>
      <c r="C558" s="17" t="s">
        <v>729</v>
      </c>
      <c r="D558" s="17" t="s">
        <v>730</v>
      </c>
      <c r="E558" s="17">
        <v>1.8648100000000001E-4</v>
      </c>
      <c r="F558" s="6" t="s">
        <v>233</v>
      </c>
      <c r="G558" s="6" t="s">
        <v>234</v>
      </c>
      <c r="H558" s="6">
        <v>3</v>
      </c>
    </row>
    <row r="559" spans="1:8" ht="30" x14ac:dyDescent="0.25">
      <c r="A559" s="17" t="s">
        <v>890</v>
      </c>
      <c r="B559" s="17" t="s">
        <v>890</v>
      </c>
      <c r="C559" s="17" t="s">
        <v>729</v>
      </c>
      <c r="D559" s="17" t="s">
        <v>730</v>
      </c>
      <c r="E559" s="17">
        <v>1.8648100000000001E-4</v>
      </c>
      <c r="F559" s="6" t="s">
        <v>233</v>
      </c>
      <c r="G559" s="6" t="s">
        <v>234</v>
      </c>
      <c r="H559" s="6">
        <v>3</v>
      </c>
    </row>
    <row r="560" spans="1:8" ht="30" x14ac:dyDescent="0.25">
      <c r="A560" s="17" t="s">
        <v>891</v>
      </c>
      <c r="B560" s="17" t="s">
        <v>891</v>
      </c>
      <c r="C560" s="17" t="s">
        <v>729</v>
      </c>
      <c r="D560" s="17" t="s">
        <v>730</v>
      </c>
      <c r="E560" s="17">
        <v>1.8648100000000001E-4</v>
      </c>
      <c r="F560" s="6" t="s">
        <v>233</v>
      </c>
      <c r="G560" s="6" t="s">
        <v>234</v>
      </c>
      <c r="H560" s="6">
        <v>3</v>
      </c>
    </row>
    <row r="561" spans="1:8" ht="30" x14ac:dyDescent="0.25">
      <c r="A561" s="17" t="s">
        <v>892</v>
      </c>
      <c r="B561" s="17" t="s">
        <v>892</v>
      </c>
      <c r="C561" s="17" t="s">
        <v>729</v>
      </c>
      <c r="D561" s="17" t="s">
        <v>730</v>
      </c>
      <c r="E561" s="17">
        <v>1.8648100000000001E-4</v>
      </c>
      <c r="F561" s="6" t="s">
        <v>233</v>
      </c>
      <c r="G561" s="6" t="s">
        <v>234</v>
      </c>
      <c r="H561" s="6">
        <v>3</v>
      </c>
    </row>
    <row r="562" spans="1:8" ht="30" x14ac:dyDescent="0.25">
      <c r="A562" s="17" t="s">
        <v>893</v>
      </c>
      <c r="B562" s="17" t="s">
        <v>893</v>
      </c>
      <c r="C562" s="17" t="s">
        <v>729</v>
      </c>
      <c r="D562" s="17" t="s">
        <v>730</v>
      </c>
      <c r="E562" s="17">
        <v>1.8648100000000001E-4</v>
      </c>
      <c r="F562" s="6" t="s">
        <v>233</v>
      </c>
      <c r="G562" s="6" t="s">
        <v>234</v>
      </c>
      <c r="H562" s="6">
        <v>3</v>
      </c>
    </row>
    <row r="563" spans="1:8" ht="30" x14ac:dyDescent="0.25">
      <c r="A563" s="17" t="s">
        <v>894</v>
      </c>
      <c r="B563" s="17" t="s">
        <v>894</v>
      </c>
      <c r="C563" s="17" t="s">
        <v>729</v>
      </c>
      <c r="D563" s="17" t="s">
        <v>730</v>
      </c>
      <c r="E563" s="17">
        <v>1.8648100000000001E-4</v>
      </c>
      <c r="F563" s="6" t="s">
        <v>233</v>
      </c>
      <c r="G563" s="6" t="s">
        <v>234</v>
      </c>
      <c r="H563" s="6">
        <v>3</v>
      </c>
    </row>
    <row r="564" spans="1:8" ht="30" x14ac:dyDescent="0.25">
      <c r="A564" s="17" t="s">
        <v>895</v>
      </c>
      <c r="B564" s="17" t="s">
        <v>895</v>
      </c>
      <c r="C564" s="17" t="s">
        <v>729</v>
      </c>
      <c r="D564" s="17" t="s">
        <v>730</v>
      </c>
      <c r="E564" s="17">
        <v>1.8648100000000001E-4</v>
      </c>
      <c r="F564" s="6" t="s">
        <v>233</v>
      </c>
      <c r="G564" s="6" t="s">
        <v>234</v>
      </c>
      <c r="H564" s="6">
        <v>3</v>
      </c>
    </row>
    <row r="565" spans="1:8" ht="30" x14ac:dyDescent="0.25">
      <c r="A565" s="17" t="s">
        <v>896</v>
      </c>
      <c r="B565" s="17" t="s">
        <v>896</v>
      </c>
      <c r="C565" s="17" t="s">
        <v>250</v>
      </c>
      <c r="D565" s="17" t="s">
        <v>248</v>
      </c>
      <c r="E565" s="17">
        <v>4.3868599999999998E-4</v>
      </c>
      <c r="F565" s="6" t="s">
        <v>233</v>
      </c>
      <c r="G565" s="6" t="s">
        <v>234</v>
      </c>
      <c r="H565" s="6">
        <v>3</v>
      </c>
    </row>
    <row r="566" spans="1:8" ht="30" x14ac:dyDescent="0.25">
      <c r="A566" s="17" t="s">
        <v>897</v>
      </c>
      <c r="B566" s="17" t="s">
        <v>897</v>
      </c>
      <c r="C566" s="17" t="s">
        <v>729</v>
      </c>
      <c r="D566" s="17" t="s">
        <v>730</v>
      </c>
      <c r="E566" s="17">
        <v>1.8648100000000001E-4</v>
      </c>
      <c r="F566" s="6" t="s">
        <v>233</v>
      </c>
      <c r="G566" s="6" t="s">
        <v>234</v>
      </c>
      <c r="H566" s="6">
        <v>3</v>
      </c>
    </row>
    <row r="567" spans="1:8" ht="30" x14ac:dyDescent="0.25">
      <c r="A567" s="17" t="s">
        <v>898</v>
      </c>
      <c r="B567" s="17" t="s">
        <v>898</v>
      </c>
      <c r="C567" s="17" t="s">
        <v>729</v>
      </c>
      <c r="D567" s="17" t="s">
        <v>730</v>
      </c>
      <c r="E567" s="17">
        <v>1.8648100000000001E-4</v>
      </c>
      <c r="F567" s="6" t="s">
        <v>233</v>
      </c>
      <c r="G567" s="6" t="s">
        <v>234</v>
      </c>
      <c r="H567" s="6">
        <v>3</v>
      </c>
    </row>
    <row r="568" spans="1:8" ht="30" x14ac:dyDescent="0.25">
      <c r="A568" s="17" t="s">
        <v>899</v>
      </c>
      <c r="B568" s="17" t="s">
        <v>899</v>
      </c>
      <c r="C568" s="17" t="s">
        <v>729</v>
      </c>
      <c r="D568" s="17" t="s">
        <v>730</v>
      </c>
      <c r="E568" s="17">
        <v>1.8648100000000001E-4</v>
      </c>
      <c r="F568" s="6" t="s">
        <v>233</v>
      </c>
      <c r="G568" s="6" t="s">
        <v>234</v>
      </c>
      <c r="H568" s="6">
        <v>3</v>
      </c>
    </row>
    <row r="569" spans="1:8" ht="30" x14ac:dyDescent="0.25">
      <c r="A569" s="17" t="s">
        <v>900</v>
      </c>
      <c r="B569" s="17" t="s">
        <v>900</v>
      </c>
      <c r="C569" s="17" t="s">
        <v>346</v>
      </c>
      <c r="D569" s="17" t="s">
        <v>347</v>
      </c>
      <c r="E569" s="17">
        <v>2.10657E-4</v>
      </c>
      <c r="F569" s="6" t="s">
        <v>233</v>
      </c>
      <c r="G569" s="6" t="s">
        <v>234</v>
      </c>
      <c r="H569" s="6">
        <v>3</v>
      </c>
    </row>
    <row r="570" spans="1:8" ht="30" x14ac:dyDescent="0.25">
      <c r="A570" s="17" t="s">
        <v>901</v>
      </c>
      <c r="B570" s="17" t="s">
        <v>901</v>
      </c>
      <c r="C570" s="17" t="s">
        <v>250</v>
      </c>
      <c r="D570" s="17" t="s">
        <v>248</v>
      </c>
      <c r="E570" s="17">
        <v>4.3868599999999998E-4</v>
      </c>
      <c r="F570" s="6" t="s">
        <v>233</v>
      </c>
      <c r="G570" s="6" t="s">
        <v>234</v>
      </c>
      <c r="H570" s="6">
        <v>3</v>
      </c>
    </row>
    <row r="571" spans="1:8" ht="30" x14ac:dyDescent="0.25">
      <c r="A571" s="17" t="s">
        <v>902</v>
      </c>
      <c r="B571" s="17" t="s">
        <v>902</v>
      </c>
      <c r="C571" s="17" t="s">
        <v>465</v>
      </c>
      <c r="D571" s="17" t="s">
        <v>466</v>
      </c>
      <c r="E571" s="17">
        <v>2.2128299999999999E-4</v>
      </c>
      <c r="F571" s="6" t="s">
        <v>233</v>
      </c>
      <c r="G571" s="6" t="s">
        <v>234</v>
      </c>
      <c r="H571" s="6">
        <v>3</v>
      </c>
    </row>
    <row r="572" spans="1:8" ht="30" x14ac:dyDescent="0.25">
      <c r="A572" s="17" t="s">
        <v>903</v>
      </c>
      <c r="B572" s="17" t="s">
        <v>903</v>
      </c>
      <c r="C572" s="17" t="s">
        <v>465</v>
      </c>
      <c r="D572" s="17" t="s">
        <v>466</v>
      </c>
      <c r="E572" s="17">
        <v>2.2128299999999999E-4</v>
      </c>
      <c r="F572" s="6" t="s">
        <v>233</v>
      </c>
      <c r="G572" s="6" t="s">
        <v>234</v>
      </c>
      <c r="H572" s="6">
        <v>3</v>
      </c>
    </row>
    <row r="573" spans="1:8" ht="30" x14ac:dyDescent="0.25">
      <c r="A573" s="17" t="s">
        <v>904</v>
      </c>
      <c r="B573" s="17" t="s">
        <v>904</v>
      </c>
      <c r="C573" s="17" t="s">
        <v>346</v>
      </c>
      <c r="D573" s="17" t="s">
        <v>347</v>
      </c>
      <c r="E573" s="17">
        <v>2.10657E-4</v>
      </c>
      <c r="F573" s="6" t="s">
        <v>233</v>
      </c>
      <c r="G573" s="6" t="s">
        <v>234</v>
      </c>
      <c r="H573" s="6">
        <v>3</v>
      </c>
    </row>
    <row r="574" spans="1:8" ht="30" x14ac:dyDescent="0.25">
      <c r="A574" s="17" t="s">
        <v>905</v>
      </c>
      <c r="B574" s="17" t="s">
        <v>905</v>
      </c>
      <c r="C574" s="17" t="s">
        <v>346</v>
      </c>
      <c r="D574" s="17" t="s">
        <v>347</v>
      </c>
      <c r="E574" s="17">
        <v>2.10657E-4</v>
      </c>
      <c r="F574" s="6" t="s">
        <v>233</v>
      </c>
      <c r="G574" s="6" t="s">
        <v>234</v>
      </c>
      <c r="H574" s="6">
        <v>3</v>
      </c>
    </row>
    <row r="575" spans="1:8" ht="30" x14ac:dyDescent="0.25">
      <c r="A575" s="17" t="s">
        <v>906</v>
      </c>
      <c r="B575" s="17" t="s">
        <v>906</v>
      </c>
      <c r="C575" s="17" t="s">
        <v>726</v>
      </c>
      <c r="D575" s="17" t="s">
        <v>727</v>
      </c>
      <c r="E575" s="17">
        <v>1.3494000000000001E-4</v>
      </c>
      <c r="F575" s="6" t="s">
        <v>233</v>
      </c>
      <c r="G575" s="6" t="s">
        <v>234</v>
      </c>
      <c r="H575" s="6">
        <v>3</v>
      </c>
    </row>
    <row r="576" spans="1:8" ht="30" x14ac:dyDescent="0.25">
      <c r="A576" s="17" t="s">
        <v>907</v>
      </c>
      <c r="B576" s="17" t="s">
        <v>907</v>
      </c>
      <c r="C576" s="17" t="s">
        <v>732</v>
      </c>
      <c r="D576" s="17" t="s">
        <v>733</v>
      </c>
      <c r="E576" s="17">
        <v>1.9325700000000001E-4</v>
      </c>
      <c r="F576" s="6" t="s">
        <v>233</v>
      </c>
      <c r="G576" s="6" t="s">
        <v>234</v>
      </c>
      <c r="H576" s="6">
        <v>3</v>
      </c>
    </row>
    <row r="577" spans="1:8" ht="30" x14ac:dyDescent="0.25">
      <c r="A577" s="17" t="s">
        <v>908</v>
      </c>
      <c r="B577" s="17" t="s">
        <v>908</v>
      </c>
      <c r="C577" s="17" t="s">
        <v>726</v>
      </c>
      <c r="D577" s="17" t="s">
        <v>727</v>
      </c>
      <c r="E577" s="17">
        <v>1.3494000000000001E-4</v>
      </c>
      <c r="F577" s="6" t="s">
        <v>233</v>
      </c>
      <c r="G577" s="6" t="s">
        <v>234</v>
      </c>
      <c r="H577" s="6">
        <v>3</v>
      </c>
    </row>
    <row r="578" spans="1:8" ht="30" x14ac:dyDescent="0.25">
      <c r="A578" s="17" t="s">
        <v>909</v>
      </c>
      <c r="B578" s="17" t="s">
        <v>909</v>
      </c>
      <c r="C578" s="17" t="s">
        <v>280</v>
      </c>
      <c r="D578" s="17" t="s">
        <v>278</v>
      </c>
      <c r="E578" s="17">
        <v>6.2829699999999999E-4</v>
      </c>
      <c r="F578" s="6" t="s">
        <v>233</v>
      </c>
      <c r="G578" s="6" t="s">
        <v>234</v>
      </c>
      <c r="H578" s="6">
        <v>3</v>
      </c>
    </row>
    <row r="579" spans="1:8" ht="30" x14ac:dyDescent="0.25">
      <c r="A579" s="17" t="s">
        <v>910</v>
      </c>
      <c r="B579" s="17" t="s">
        <v>910</v>
      </c>
      <c r="C579" s="17" t="s">
        <v>729</v>
      </c>
      <c r="D579" s="17" t="s">
        <v>730</v>
      </c>
      <c r="E579" s="17">
        <v>1.8648100000000001E-4</v>
      </c>
      <c r="F579" s="6" t="s">
        <v>233</v>
      </c>
      <c r="G579" s="6" t="s">
        <v>234</v>
      </c>
      <c r="H579" s="6">
        <v>3</v>
      </c>
    </row>
    <row r="580" spans="1:8" ht="30" x14ac:dyDescent="0.25">
      <c r="A580" s="17" t="s">
        <v>911</v>
      </c>
      <c r="B580" s="17" t="s">
        <v>911</v>
      </c>
      <c r="C580" s="17" t="s">
        <v>465</v>
      </c>
      <c r="D580" s="17" t="s">
        <v>466</v>
      </c>
      <c r="E580" s="17">
        <v>2.2128299999999999E-4</v>
      </c>
      <c r="F580" s="6" t="s">
        <v>233</v>
      </c>
      <c r="G580" s="6" t="s">
        <v>234</v>
      </c>
      <c r="H580" s="6">
        <v>3</v>
      </c>
    </row>
    <row r="581" spans="1:8" ht="30" x14ac:dyDescent="0.25">
      <c r="A581" s="17" t="s">
        <v>912</v>
      </c>
      <c r="B581" s="17" t="s">
        <v>912</v>
      </c>
      <c r="C581" s="17" t="s">
        <v>465</v>
      </c>
      <c r="D581" s="17" t="s">
        <v>466</v>
      </c>
      <c r="E581" s="17">
        <v>2.2128299999999999E-4</v>
      </c>
      <c r="F581" s="6" t="s">
        <v>233</v>
      </c>
      <c r="G581" s="6" t="s">
        <v>234</v>
      </c>
      <c r="H581" s="6">
        <v>3</v>
      </c>
    </row>
    <row r="582" spans="1:8" ht="30" x14ac:dyDescent="0.25">
      <c r="A582" s="17" t="s">
        <v>913</v>
      </c>
      <c r="B582" s="17" t="s">
        <v>913</v>
      </c>
      <c r="C582" s="17" t="s">
        <v>346</v>
      </c>
      <c r="D582" s="17" t="s">
        <v>347</v>
      </c>
      <c r="E582" s="17">
        <v>2.10657E-4</v>
      </c>
      <c r="F582" s="6" t="s">
        <v>233</v>
      </c>
      <c r="G582" s="6" t="s">
        <v>234</v>
      </c>
      <c r="H582" s="6">
        <v>3</v>
      </c>
    </row>
    <row r="583" spans="1:8" ht="30" x14ac:dyDescent="0.25">
      <c r="A583" s="17" t="s">
        <v>914</v>
      </c>
      <c r="B583" s="17" t="s">
        <v>914</v>
      </c>
      <c r="C583" s="17" t="s">
        <v>721</v>
      </c>
      <c r="D583" s="17" t="s">
        <v>722</v>
      </c>
      <c r="E583" s="17">
        <v>1.24993E-4</v>
      </c>
      <c r="F583" s="6" t="s">
        <v>233</v>
      </c>
      <c r="G583" s="6" t="s">
        <v>234</v>
      </c>
      <c r="H583" s="6">
        <v>3</v>
      </c>
    </row>
    <row r="584" spans="1:8" ht="30" x14ac:dyDescent="0.25">
      <c r="A584" s="17" t="s">
        <v>915</v>
      </c>
      <c r="B584" s="17" t="s">
        <v>915</v>
      </c>
      <c r="C584" s="17" t="s">
        <v>465</v>
      </c>
      <c r="D584" s="17" t="s">
        <v>466</v>
      </c>
      <c r="E584" s="17">
        <v>2.2128299999999999E-4</v>
      </c>
      <c r="F584" s="6" t="s">
        <v>233</v>
      </c>
      <c r="G584" s="6" t="s">
        <v>234</v>
      </c>
      <c r="H584" s="6">
        <v>3</v>
      </c>
    </row>
    <row r="585" spans="1:8" ht="30" x14ac:dyDescent="0.25">
      <c r="A585" s="17" t="s">
        <v>916</v>
      </c>
      <c r="B585" s="17" t="s">
        <v>916</v>
      </c>
      <c r="C585" s="17" t="s">
        <v>732</v>
      </c>
      <c r="D585" s="17" t="s">
        <v>733</v>
      </c>
      <c r="E585" s="17">
        <v>1.9325700000000001E-4</v>
      </c>
      <c r="F585" s="6" t="s">
        <v>233</v>
      </c>
      <c r="G585" s="6" t="s">
        <v>234</v>
      </c>
      <c r="H585" s="6">
        <v>3</v>
      </c>
    </row>
    <row r="586" spans="1:8" ht="30" x14ac:dyDescent="0.25">
      <c r="A586" s="17" t="s">
        <v>917</v>
      </c>
      <c r="B586" s="17" t="s">
        <v>917</v>
      </c>
      <c r="C586" s="17" t="s">
        <v>737</v>
      </c>
      <c r="D586" s="17" t="s">
        <v>738</v>
      </c>
      <c r="E586" s="17">
        <v>1.81306E-4</v>
      </c>
      <c r="F586" s="6" t="s">
        <v>233</v>
      </c>
      <c r="G586" s="6" t="s">
        <v>234</v>
      </c>
      <c r="H586" s="6">
        <v>3</v>
      </c>
    </row>
    <row r="587" spans="1:8" ht="30" x14ac:dyDescent="0.25">
      <c r="A587" s="17" t="s">
        <v>918</v>
      </c>
      <c r="B587" s="17" t="s">
        <v>918</v>
      </c>
      <c r="C587" s="17" t="s">
        <v>726</v>
      </c>
      <c r="D587" s="17" t="s">
        <v>727</v>
      </c>
      <c r="E587" s="17">
        <v>1.3494000000000001E-4</v>
      </c>
      <c r="F587" s="6" t="s">
        <v>233</v>
      </c>
      <c r="G587" s="6" t="s">
        <v>234</v>
      </c>
      <c r="H587" s="6">
        <v>3</v>
      </c>
    </row>
    <row r="588" spans="1:8" ht="30" x14ac:dyDescent="0.25">
      <c r="A588" s="17" t="s">
        <v>919</v>
      </c>
      <c r="B588" s="17" t="s">
        <v>919</v>
      </c>
      <c r="C588" s="17" t="s">
        <v>413</v>
      </c>
      <c r="D588" s="17" t="s">
        <v>414</v>
      </c>
      <c r="E588" s="17">
        <v>3.1322199999999999E-4</v>
      </c>
      <c r="F588" s="6" t="s">
        <v>233</v>
      </c>
      <c r="G588" s="6" t="s">
        <v>234</v>
      </c>
      <c r="H588" s="6">
        <v>3</v>
      </c>
    </row>
    <row r="589" spans="1:8" ht="30" x14ac:dyDescent="0.25">
      <c r="A589" s="17" t="s">
        <v>920</v>
      </c>
      <c r="B589" s="17" t="s">
        <v>920</v>
      </c>
      <c r="C589" s="17" t="s">
        <v>465</v>
      </c>
      <c r="D589" s="17" t="s">
        <v>466</v>
      </c>
      <c r="E589" s="17">
        <v>2.2128299999999999E-4</v>
      </c>
      <c r="F589" s="6" t="s">
        <v>233</v>
      </c>
      <c r="G589" s="6" t="s">
        <v>234</v>
      </c>
      <c r="H589" s="6">
        <v>3</v>
      </c>
    </row>
    <row r="590" spans="1:8" ht="30" x14ac:dyDescent="0.25">
      <c r="A590" s="17" t="s">
        <v>921</v>
      </c>
      <c r="B590" s="17" t="s">
        <v>921</v>
      </c>
      <c r="C590" s="17" t="s">
        <v>250</v>
      </c>
      <c r="D590" s="17" t="s">
        <v>248</v>
      </c>
      <c r="E590" s="17">
        <v>4.3868599999999998E-4</v>
      </c>
      <c r="F590" s="6" t="s">
        <v>233</v>
      </c>
      <c r="G590" s="6" t="s">
        <v>234</v>
      </c>
      <c r="H590" s="6">
        <v>3</v>
      </c>
    </row>
    <row r="591" spans="1:8" ht="30" x14ac:dyDescent="0.25">
      <c r="A591" s="17" t="s">
        <v>922</v>
      </c>
      <c r="B591" s="17" t="s">
        <v>922</v>
      </c>
      <c r="C591" s="17" t="s">
        <v>250</v>
      </c>
      <c r="D591" s="17" t="s">
        <v>248</v>
      </c>
      <c r="E591" s="17">
        <v>4.3868599999999998E-4</v>
      </c>
      <c r="F591" s="6" t="s">
        <v>233</v>
      </c>
      <c r="G591" s="6" t="s">
        <v>234</v>
      </c>
      <c r="H591" s="6">
        <v>3</v>
      </c>
    </row>
    <row r="592" spans="1:8" ht="30" x14ac:dyDescent="0.25">
      <c r="A592" s="17" t="s">
        <v>923</v>
      </c>
      <c r="B592" s="17" t="s">
        <v>923</v>
      </c>
      <c r="C592" s="17" t="s">
        <v>250</v>
      </c>
      <c r="D592" s="17" t="s">
        <v>248</v>
      </c>
      <c r="E592" s="17">
        <v>4.3868599999999998E-4</v>
      </c>
      <c r="F592" s="6" t="s">
        <v>233</v>
      </c>
      <c r="G592" s="6" t="s">
        <v>234</v>
      </c>
      <c r="H592" s="6">
        <v>3</v>
      </c>
    </row>
    <row r="593" spans="1:8" ht="30" x14ac:dyDescent="0.25">
      <c r="A593" s="17" t="s">
        <v>924</v>
      </c>
      <c r="B593" s="17" t="s">
        <v>924</v>
      </c>
      <c r="C593" s="17" t="s">
        <v>256</v>
      </c>
      <c r="D593" s="17" t="s">
        <v>254</v>
      </c>
      <c r="E593" s="17">
        <v>8.1312799999999998E-4</v>
      </c>
      <c r="F593" s="6" t="s">
        <v>233</v>
      </c>
      <c r="G593" s="6" t="s">
        <v>234</v>
      </c>
      <c r="H593" s="6">
        <v>3</v>
      </c>
    </row>
    <row r="594" spans="1:8" ht="30" x14ac:dyDescent="0.25">
      <c r="A594" s="17" t="s">
        <v>925</v>
      </c>
      <c r="B594" s="17" t="s">
        <v>925</v>
      </c>
      <c r="C594" s="17" t="s">
        <v>346</v>
      </c>
      <c r="D594" s="17" t="s">
        <v>347</v>
      </c>
      <c r="E594" s="17">
        <v>2.10657E-4</v>
      </c>
      <c r="F594" s="6" t="s">
        <v>233</v>
      </c>
      <c r="G594" s="6" t="s">
        <v>234</v>
      </c>
      <c r="H594" s="6">
        <v>3</v>
      </c>
    </row>
    <row r="595" spans="1:8" ht="30" x14ac:dyDescent="0.25">
      <c r="A595" s="17" t="s">
        <v>926</v>
      </c>
      <c r="B595" s="17" t="s">
        <v>926</v>
      </c>
      <c r="C595" s="17" t="s">
        <v>250</v>
      </c>
      <c r="D595" s="17" t="s">
        <v>248</v>
      </c>
      <c r="E595" s="17">
        <v>4.3868599999999998E-4</v>
      </c>
      <c r="F595" s="6" t="s">
        <v>233</v>
      </c>
      <c r="G595" s="6" t="s">
        <v>234</v>
      </c>
      <c r="H595" s="6">
        <v>3</v>
      </c>
    </row>
    <row r="596" spans="1:8" ht="30" x14ac:dyDescent="0.25">
      <c r="A596" s="17" t="s">
        <v>927</v>
      </c>
      <c r="B596" s="17" t="s">
        <v>927</v>
      </c>
      <c r="C596" s="17" t="s">
        <v>256</v>
      </c>
      <c r="D596" s="17" t="s">
        <v>254</v>
      </c>
      <c r="E596" s="17">
        <v>8.1312799999999998E-4</v>
      </c>
      <c r="F596" s="6" t="s">
        <v>233</v>
      </c>
      <c r="G596" s="6" t="s">
        <v>234</v>
      </c>
      <c r="H596" s="6">
        <v>3</v>
      </c>
    </row>
    <row r="597" spans="1:8" ht="30" x14ac:dyDescent="0.25">
      <c r="A597" s="17" t="s">
        <v>928</v>
      </c>
      <c r="B597" s="17" t="s">
        <v>928</v>
      </c>
      <c r="C597" s="17" t="s">
        <v>271</v>
      </c>
      <c r="D597" s="17" t="s">
        <v>269</v>
      </c>
      <c r="E597" s="17">
        <v>5.2359699999999999E-4</v>
      </c>
      <c r="F597" s="6" t="s">
        <v>233</v>
      </c>
      <c r="G597" s="6" t="s">
        <v>234</v>
      </c>
      <c r="H597" s="6">
        <v>3</v>
      </c>
    </row>
    <row r="598" spans="1:8" ht="30" x14ac:dyDescent="0.25">
      <c r="A598" s="17" t="s">
        <v>929</v>
      </c>
      <c r="B598" s="17" t="s">
        <v>929</v>
      </c>
      <c r="C598" s="17" t="s">
        <v>247</v>
      </c>
      <c r="D598" s="17" t="s">
        <v>245</v>
      </c>
      <c r="E598" s="17">
        <v>1.0475809999999999E-3</v>
      </c>
      <c r="F598" s="6" t="s">
        <v>233</v>
      </c>
      <c r="G598" s="6" t="s">
        <v>234</v>
      </c>
      <c r="H598" s="6">
        <v>3</v>
      </c>
    </row>
    <row r="599" spans="1:8" ht="30" x14ac:dyDescent="0.25">
      <c r="A599" s="17" t="s">
        <v>930</v>
      </c>
      <c r="B599" s="17" t="s">
        <v>930</v>
      </c>
      <c r="C599" s="17" t="s">
        <v>256</v>
      </c>
      <c r="D599" s="17" t="s">
        <v>254</v>
      </c>
      <c r="E599" s="17">
        <v>8.1312799999999998E-4</v>
      </c>
      <c r="F599" s="6" t="s">
        <v>233</v>
      </c>
      <c r="G599" s="6" t="s">
        <v>234</v>
      </c>
      <c r="H599" s="6">
        <v>3</v>
      </c>
    </row>
    <row r="600" spans="1:8" ht="30" x14ac:dyDescent="0.25">
      <c r="A600" s="17" t="s">
        <v>931</v>
      </c>
      <c r="B600" s="17" t="s">
        <v>931</v>
      </c>
      <c r="C600" s="17" t="s">
        <v>346</v>
      </c>
      <c r="D600" s="17" t="s">
        <v>347</v>
      </c>
      <c r="E600" s="17">
        <v>2.10657E-4</v>
      </c>
      <c r="F600" s="6" t="s">
        <v>233</v>
      </c>
      <c r="G600" s="6" t="s">
        <v>234</v>
      </c>
      <c r="H600" s="6">
        <v>3</v>
      </c>
    </row>
    <row r="601" spans="1:8" ht="30" x14ac:dyDescent="0.25">
      <c r="A601" s="17" t="s">
        <v>932</v>
      </c>
      <c r="B601" s="17" t="s">
        <v>932</v>
      </c>
      <c r="C601" s="17" t="s">
        <v>465</v>
      </c>
      <c r="D601" s="17" t="s">
        <v>466</v>
      </c>
      <c r="E601" s="17">
        <v>2.2128299999999999E-4</v>
      </c>
      <c r="F601" s="6" t="s">
        <v>233</v>
      </c>
      <c r="G601" s="6" t="s">
        <v>234</v>
      </c>
      <c r="H601" s="6">
        <v>3</v>
      </c>
    </row>
    <row r="602" spans="1:8" ht="30" x14ac:dyDescent="0.25">
      <c r="A602" s="17" t="s">
        <v>933</v>
      </c>
      <c r="B602" s="17" t="s">
        <v>933</v>
      </c>
      <c r="C602" s="17" t="s">
        <v>301</v>
      </c>
      <c r="D602" s="17" t="s">
        <v>299</v>
      </c>
      <c r="E602" s="17">
        <v>6.3590900000000004E-4</v>
      </c>
      <c r="F602" s="6" t="s">
        <v>233</v>
      </c>
      <c r="G602" s="6" t="s">
        <v>234</v>
      </c>
      <c r="H602" s="6">
        <v>3</v>
      </c>
    </row>
    <row r="603" spans="1:8" ht="30" x14ac:dyDescent="0.25">
      <c r="A603" s="17" t="s">
        <v>934</v>
      </c>
      <c r="B603" s="17" t="s">
        <v>934</v>
      </c>
      <c r="C603" s="17" t="s">
        <v>244</v>
      </c>
      <c r="D603" s="17" t="s">
        <v>242</v>
      </c>
      <c r="E603" s="17">
        <v>5.4284299999999999E-4</v>
      </c>
      <c r="F603" s="6" t="s">
        <v>233</v>
      </c>
      <c r="G603" s="6" t="s">
        <v>234</v>
      </c>
      <c r="H603" s="6">
        <v>3</v>
      </c>
    </row>
    <row r="604" spans="1:8" ht="30" x14ac:dyDescent="0.25">
      <c r="A604" s="17" t="s">
        <v>935</v>
      </c>
      <c r="B604" s="17" t="s">
        <v>935</v>
      </c>
      <c r="C604" s="17" t="s">
        <v>271</v>
      </c>
      <c r="D604" s="17" t="s">
        <v>269</v>
      </c>
      <c r="E604" s="17">
        <v>5.2359699999999999E-4</v>
      </c>
      <c r="F604" s="6" t="s">
        <v>233</v>
      </c>
      <c r="G604" s="6" t="s">
        <v>234</v>
      </c>
      <c r="H604" s="6">
        <v>3</v>
      </c>
    </row>
    <row r="605" spans="1:8" ht="30" x14ac:dyDescent="0.25">
      <c r="A605" s="17" t="s">
        <v>936</v>
      </c>
      <c r="B605" s="17" t="s">
        <v>936</v>
      </c>
      <c r="C605" s="17" t="s">
        <v>256</v>
      </c>
      <c r="D605" s="17" t="s">
        <v>254</v>
      </c>
      <c r="E605" s="17">
        <v>8.1312799999999998E-4</v>
      </c>
      <c r="F605" s="6" t="s">
        <v>233</v>
      </c>
      <c r="G605" s="6" t="s">
        <v>234</v>
      </c>
      <c r="H605" s="6">
        <v>3</v>
      </c>
    </row>
    <row r="606" spans="1:8" ht="30" x14ac:dyDescent="0.25">
      <c r="A606" s="17" t="s">
        <v>937</v>
      </c>
      <c r="B606" s="17" t="s">
        <v>937</v>
      </c>
      <c r="C606" s="17" t="s">
        <v>244</v>
      </c>
      <c r="D606" s="17" t="s">
        <v>242</v>
      </c>
      <c r="E606" s="17">
        <v>5.4284299999999999E-4</v>
      </c>
      <c r="F606" s="6" t="s">
        <v>233</v>
      </c>
      <c r="G606" s="6" t="s">
        <v>234</v>
      </c>
      <c r="H606" s="6">
        <v>3</v>
      </c>
    </row>
    <row r="607" spans="1:8" ht="30" x14ac:dyDescent="0.25">
      <c r="A607" s="17" t="s">
        <v>938</v>
      </c>
      <c r="B607" s="17" t="s">
        <v>938</v>
      </c>
      <c r="C607" s="17" t="s">
        <v>280</v>
      </c>
      <c r="D607" s="17" t="s">
        <v>278</v>
      </c>
      <c r="E607" s="17">
        <v>6.2829699999999999E-4</v>
      </c>
      <c r="F607" s="6" t="s">
        <v>233</v>
      </c>
      <c r="G607" s="6" t="s">
        <v>234</v>
      </c>
      <c r="H607" s="6">
        <v>3</v>
      </c>
    </row>
    <row r="608" spans="1:8" ht="30" x14ac:dyDescent="0.25">
      <c r="A608" s="17" t="s">
        <v>939</v>
      </c>
      <c r="B608" s="17" t="s">
        <v>939</v>
      </c>
      <c r="C608" s="17" t="s">
        <v>274</v>
      </c>
      <c r="D608" s="17" t="s">
        <v>272</v>
      </c>
      <c r="E608" s="17">
        <v>6.1713999999999996E-4</v>
      </c>
      <c r="F608" s="6" t="s">
        <v>233</v>
      </c>
      <c r="G608" s="6" t="s">
        <v>234</v>
      </c>
      <c r="H608" s="6">
        <v>3</v>
      </c>
    </row>
    <row r="609" spans="1:8" ht="30" x14ac:dyDescent="0.25">
      <c r="A609" s="17" t="s">
        <v>940</v>
      </c>
      <c r="B609" s="17" t="s">
        <v>940</v>
      </c>
      <c r="C609" s="17" t="s">
        <v>413</v>
      </c>
      <c r="D609" s="17" t="s">
        <v>414</v>
      </c>
      <c r="E609" s="17">
        <v>3.1322199999999999E-4</v>
      </c>
      <c r="F609" s="6" t="s">
        <v>233</v>
      </c>
      <c r="G609" s="6" t="s">
        <v>234</v>
      </c>
      <c r="H609" s="6">
        <v>3</v>
      </c>
    </row>
    <row r="610" spans="1:8" ht="30" x14ac:dyDescent="0.25">
      <c r="A610" s="17" t="s">
        <v>941</v>
      </c>
      <c r="B610" s="17" t="s">
        <v>941</v>
      </c>
      <c r="C610" s="17" t="s">
        <v>346</v>
      </c>
      <c r="D610" s="17" t="s">
        <v>347</v>
      </c>
      <c r="E610" s="17">
        <v>2.10657E-4</v>
      </c>
      <c r="F610" s="6" t="s">
        <v>233</v>
      </c>
      <c r="G610" s="6" t="s">
        <v>234</v>
      </c>
      <c r="H610" s="6">
        <v>3</v>
      </c>
    </row>
    <row r="611" spans="1:8" ht="30" x14ac:dyDescent="0.25">
      <c r="A611" s="17" t="s">
        <v>942</v>
      </c>
      <c r="B611" s="17" t="s">
        <v>942</v>
      </c>
      <c r="C611" s="17" t="s">
        <v>721</v>
      </c>
      <c r="D611" s="17" t="s">
        <v>722</v>
      </c>
      <c r="E611" s="17">
        <v>1.24993E-4</v>
      </c>
      <c r="F611" s="6" t="s">
        <v>233</v>
      </c>
      <c r="G611" s="6" t="s">
        <v>234</v>
      </c>
      <c r="H611" s="6">
        <v>3</v>
      </c>
    </row>
    <row r="612" spans="1:8" ht="30" x14ac:dyDescent="0.25">
      <c r="A612" s="17" t="s">
        <v>943</v>
      </c>
      <c r="B612" s="17" t="s">
        <v>943</v>
      </c>
      <c r="C612" s="17" t="s">
        <v>346</v>
      </c>
      <c r="D612" s="17" t="s">
        <v>347</v>
      </c>
      <c r="E612" s="17">
        <v>2.10657E-4</v>
      </c>
      <c r="F612" s="6" t="s">
        <v>233</v>
      </c>
      <c r="G612" s="6" t="s">
        <v>234</v>
      </c>
      <c r="H612" s="6">
        <v>3</v>
      </c>
    </row>
    <row r="613" spans="1:8" ht="30" x14ac:dyDescent="0.25">
      <c r="A613" s="17" t="s">
        <v>944</v>
      </c>
      <c r="B613" s="17" t="s">
        <v>944</v>
      </c>
      <c r="C613" s="17" t="s">
        <v>346</v>
      </c>
      <c r="D613" s="17" t="s">
        <v>347</v>
      </c>
      <c r="E613" s="17">
        <v>2.10657E-4</v>
      </c>
      <c r="F613" s="6" t="s">
        <v>233</v>
      </c>
      <c r="G613" s="6" t="s">
        <v>234</v>
      </c>
      <c r="H613" s="6">
        <v>3</v>
      </c>
    </row>
    <row r="614" spans="1:8" ht="30" x14ac:dyDescent="0.25">
      <c r="A614" s="17" t="s">
        <v>945</v>
      </c>
      <c r="B614" s="17" t="s">
        <v>945</v>
      </c>
      <c r="C614" s="17" t="s">
        <v>250</v>
      </c>
      <c r="D614" s="17" t="s">
        <v>248</v>
      </c>
      <c r="E614" s="17">
        <v>4.3868599999999998E-4</v>
      </c>
      <c r="F614" s="6" t="s">
        <v>233</v>
      </c>
      <c r="G614" s="6" t="s">
        <v>234</v>
      </c>
      <c r="H614" s="6">
        <v>3</v>
      </c>
    </row>
    <row r="615" spans="1:8" ht="30" x14ac:dyDescent="0.25">
      <c r="A615" s="17" t="s">
        <v>946</v>
      </c>
      <c r="B615" s="17" t="s">
        <v>946</v>
      </c>
      <c r="C615" s="17" t="s">
        <v>346</v>
      </c>
      <c r="D615" s="17" t="s">
        <v>347</v>
      </c>
      <c r="E615" s="17">
        <v>2.10657E-4</v>
      </c>
      <c r="F615" s="6" t="s">
        <v>233</v>
      </c>
      <c r="G615" s="6" t="s">
        <v>234</v>
      </c>
      <c r="H615" s="6">
        <v>3</v>
      </c>
    </row>
    <row r="616" spans="1:8" ht="30" x14ac:dyDescent="0.25">
      <c r="A616" s="17" t="s">
        <v>947</v>
      </c>
      <c r="B616" s="17" t="s">
        <v>947</v>
      </c>
      <c r="C616" s="17" t="s">
        <v>346</v>
      </c>
      <c r="D616" s="17" t="s">
        <v>347</v>
      </c>
      <c r="E616" s="17">
        <v>2.10657E-4</v>
      </c>
      <c r="F616" s="6" t="s">
        <v>233</v>
      </c>
      <c r="G616" s="6" t="s">
        <v>234</v>
      </c>
      <c r="H616" s="6">
        <v>3</v>
      </c>
    </row>
    <row r="617" spans="1:8" ht="30" x14ac:dyDescent="0.25">
      <c r="A617" s="17" t="s">
        <v>948</v>
      </c>
      <c r="B617" s="17" t="s">
        <v>948</v>
      </c>
      <c r="C617" s="17" t="s">
        <v>407</v>
      </c>
      <c r="D617" s="17" t="s">
        <v>408</v>
      </c>
      <c r="E617" s="17">
        <v>1.6713599999999999E-4</v>
      </c>
      <c r="F617" s="6" t="s">
        <v>233</v>
      </c>
      <c r="G617" s="6" t="s">
        <v>234</v>
      </c>
      <c r="H617" s="6">
        <v>3</v>
      </c>
    </row>
    <row r="618" spans="1:8" ht="30" x14ac:dyDescent="0.25">
      <c r="A618" s="17" t="s">
        <v>949</v>
      </c>
      <c r="B618" s="17" t="s">
        <v>949</v>
      </c>
      <c r="C618" s="17" t="s">
        <v>407</v>
      </c>
      <c r="D618" s="17" t="s">
        <v>408</v>
      </c>
      <c r="E618" s="17">
        <v>1.6713599999999999E-4</v>
      </c>
      <c r="F618" s="6" t="s">
        <v>233</v>
      </c>
      <c r="G618" s="6" t="s">
        <v>234</v>
      </c>
      <c r="H618" s="6">
        <v>3</v>
      </c>
    </row>
    <row r="619" spans="1:8" ht="30" x14ac:dyDescent="0.25">
      <c r="A619" s="17" t="s">
        <v>950</v>
      </c>
      <c r="B619" s="17" t="s">
        <v>950</v>
      </c>
      <c r="C619" s="17" t="s">
        <v>346</v>
      </c>
      <c r="D619" s="17" t="s">
        <v>347</v>
      </c>
      <c r="E619" s="17">
        <v>2.10657E-4</v>
      </c>
      <c r="F619" s="6" t="s">
        <v>233</v>
      </c>
      <c r="G619" s="6" t="s">
        <v>234</v>
      </c>
      <c r="H619" s="6">
        <v>3</v>
      </c>
    </row>
    <row r="620" spans="1:8" ht="30" x14ac:dyDescent="0.25">
      <c r="A620" s="17" t="s">
        <v>951</v>
      </c>
      <c r="B620" s="17" t="s">
        <v>951</v>
      </c>
      <c r="C620" s="17" t="s">
        <v>413</v>
      </c>
      <c r="D620" s="17" t="s">
        <v>414</v>
      </c>
      <c r="E620" s="17">
        <v>3.1322199999999999E-4</v>
      </c>
      <c r="F620" s="6" t="s">
        <v>233</v>
      </c>
      <c r="G620" s="6" t="s">
        <v>234</v>
      </c>
      <c r="H620" s="6">
        <v>3</v>
      </c>
    </row>
    <row r="621" spans="1:8" ht="30" x14ac:dyDescent="0.25">
      <c r="A621" s="17" t="s">
        <v>952</v>
      </c>
      <c r="B621" s="17" t="s">
        <v>952</v>
      </c>
      <c r="C621" s="17" t="s">
        <v>346</v>
      </c>
      <c r="D621" s="17" t="s">
        <v>347</v>
      </c>
      <c r="E621" s="17">
        <v>2.10657E-4</v>
      </c>
      <c r="F621" s="6" t="s">
        <v>233</v>
      </c>
      <c r="G621" s="6" t="s">
        <v>234</v>
      </c>
      <c r="H621" s="6">
        <v>3</v>
      </c>
    </row>
    <row r="622" spans="1:8" ht="30" x14ac:dyDescent="0.25">
      <c r="A622" s="17" t="s">
        <v>953</v>
      </c>
      <c r="B622" s="17" t="s">
        <v>953</v>
      </c>
      <c r="C622" s="17" t="s">
        <v>346</v>
      </c>
      <c r="D622" s="17" t="s">
        <v>347</v>
      </c>
      <c r="E622" s="17">
        <v>2.10657E-4</v>
      </c>
      <c r="F622" s="6" t="s">
        <v>233</v>
      </c>
      <c r="G622" s="6" t="s">
        <v>234</v>
      </c>
      <c r="H622" s="6">
        <v>3</v>
      </c>
    </row>
    <row r="623" spans="1:8" ht="30" x14ac:dyDescent="0.25">
      <c r="A623" s="17" t="s">
        <v>954</v>
      </c>
      <c r="B623" s="17" t="s">
        <v>954</v>
      </c>
      <c r="C623" s="17" t="s">
        <v>346</v>
      </c>
      <c r="D623" s="17" t="s">
        <v>347</v>
      </c>
      <c r="E623" s="17">
        <v>2.10657E-4</v>
      </c>
      <c r="F623" s="6" t="s">
        <v>233</v>
      </c>
      <c r="G623" s="6" t="s">
        <v>234</v>
      </c>
      <c r="H623" s="6">
        <v>3</v>
      </c>
    </row>
    <row r="624" spans="1:8" ht="30" x14ac:dyDescent="0.25">
      <c r="A624" s="17" t="s">
        <v>955</v>
      </c>
      <c r="B624" s="17" t="s">
        <v>955</v>
      </c>
      <c r="C624" s="17" t="s">
        <v>250</v>
      </c>
      <c r="D624" s="17" t="s">
        <v>248</v>
      </c>
      <c r="E624" s="17">
        <v>4.3868599999999998E-4</v>
      </c>
      <c r="F624" s="6" t="s">
        <v>233</v>
      </c>
      <c r="G624" s="6" t="s">
        <v>234</v>
      </c>
      <c r="H624" s="6">
        <v>3</v>
      </c>
    </row>
    <row r="625" spans="1:8" ht="30" x14ac:dyDescent="0.25">
      <c r="A625" s="17" t="s">
        <v>956</v>
      </c>
      <c r="B625" s="17" t="s">
        <v>956</v>
      </c>
      <c r="C625" s="17" t="s">
        <v>250</v>
      </c>
      <c r="D625" s="17" t="s">
        <v>248</v>
      </c>
      <c r="E625" s="17">
        <v>4.3868599999999998E-4</v>
      </c>
      <c r="F625" s="6" t="s">
        <v>233</v>
      </c>
      <c r="G625" s="6" t="s">
        <v>234</v>
      </c>
      <c r="H625" s="6">
        <v>3</v>
      </c>
    </row>
    <row r="626" spans="1:8" ht="30" x14ac:dyDescent="0.25">
      <c r="A626" s="17" t="s">
        <v>957</v>
      </c>
      <c r="B626" s="17" t="s">
        <v>957</v>
      </c>
      <c r="C626" s="17" t="s">
        <v>413</v>
      </c>
      <c r="D626" s="17" t="s">
        <v>414</v>
      </c>
      <c r="E626" s="17">
        <v>3.1322199999999999E-4</v>
      </c>
      <c r="F626" s="6" t="s">
        <v>233</v>
      </c>
      <c r="G626" s="6" t="s">
        <v>234</v>
      </c>
      <c r="H626" s="6">
        <v>3</v>
      </c>
    </row>
    <row r="627" spans="1:8" ht="30" x14ac:dyDescent="0.25">
      <c r="A627" s="17" t="s">
        <v>958</v>
      </c>
      <c r="B627" s="17" t="s">
        <v>958</v>
      </c>
      <c r="C627" s="17" t="s">
        <v>413</v>
      </c>
      <c r="D627" s="17" t="s">
        <v>414</v>
      </c>
      <c r="E627" s="17">
        <v>3.1322199999999999E-4</v>
      </c>
      <c r="F627" s="6" t="s">
        <v>233</v>
      </c>
      <c r="G627" s="6" t="s">
        <v>234</v>
      </c>
      <c r="H627" s="6">
        <v>3</v>
      </c>
    </row>
    <row r="628" spans="1:8" ht="30" x14ac:dyDescent="0.25">
      <c r="A628" s="17" t="s">
        <v>959</v>
      </c>
      <c r="B628" s="17" t="s">
        <v>959</v>
      </c>
      <c r="C628" s="17" t="s">
        <v>413</v>
      </c>
      <c r="D628" s="17" t="s">
        <v>414</v>
      </c>
      <c r="E628" s="17">
        <v>3.1322199999999999E-4</v>
      </c>
      <c r="F628" s="6" t="s">
        <v>233</v>
      </c>
      <c r="G628" s="6" t="s">
        <v>234</v>
      </c>
      <c r="H628" s="6">
        <v>3</v>
      </c>
    </row>
    <row r="629" spans="1:8" ht="30" x14ac:dyDescent="0.25">
      <c r="A629" s="17" t="s">
        <v>960</v>
      </c>
      <c r="B629" s="17" t="s">
        <v>960</v>
      </c>
      <c r="C629" s="17" t="s">
        <v>346</v>
      </c>
      <c r="D629" s="17" t="s">
        <v>347</v>
      </c>
      <c r="E629" s="17">
        <v>2.10657E-4</v>
      </c>
      <c r="F629" s="6" t="s">
        <v>233</v>
      </c>
      <c r="G629" s="6" t="s">
        <v>234</v>
      </c>
      <c r="H629" s="6">
        <v>3</v>
      </c>
    </row>
    <row r="630" spans="1:8" ht="30" x14ac:dyDescent="0.25">
      <c r="A630" s="17" t="s">
        <v>961</v>
      </c>
      <c r="B630" s="17" t="s">
        <v>961</v>
      </c>
      <c r="C630" s="17" t="s">
        <v>413</v>
      </c>
      <c r="D630" s="17" t="s">
        <v>414</v>
      </c>
      <c r="E630" s="17">
        <v>3.1322199999999999E-4</v>
      </c>
      <c r="F630" s="6" t="s">
        <v>233</v>
      </c>
      <c r="G630" s="6" t="s">
        <v>234</v>
      </c>
      <c r="H630" s="6">
        <v>3</v>
      </c>
    </row>
    <row r="631" spans="1:8" ht="30" x14ac:dyDescent="0.25">
      <c r="A631" s="17" t="s">
        <v>962</v>
      </c>
      <c r="B631" s="17" t="s">
        <v>962</v>
      </c>
      <c r="C631" s="17" t="s">
        <v>413</v>
      </c>
      <c r="D631" s="17" t="s">
        <v>414</v>
      </c>
      <c r="E631" s="17">
        <v>3.1322199999999999E-4</v>
      </c>
      <c r="F631" s="6" t="s">
        <v>233</v>
      </c>
      <c r="G631" s="6" t="s">
        <v>234</v>
      </c>
      <c r="H631" s="6">
        <v>3</v>
      </c>
    </row>
    <row r="632" spans="1:8" ht="30" x14ac:dyDescent="0.25">
      <c r="A632" s="17" t="s">
        <v>963</v>
      </c>
      <c r="B632" s="17" t="s">
        <v>963</v>
      </c>
      <c r="C632" s="17" t="s">
        <v>413</v>
      </c>
      <c r="D632" s="17" t="s">
        <v>414</v>
      </c>
      <c r="E632" s="17">
        <v>3.1322199999999999E-4</v>
      </c>
      <c r="F632" s="6" t="s">
        <v>233</v>
      </c>
      <c r="G632" s="6" t="s">
        <v>234</v>
      </c>
      <c r="H632" s="6">
        <v>3</v>
      </c>
    </row>
    <row r="633" spans="1:8" ht="30" x14ac:dyDescent="0.25">
      <c r="A633" s="17" t="s">
        <v>964</v>
      </c>
      <c r="B633" s="17" t="s">
        <v>964</v>
      </c>
      <c r="C633" s="17" t="s">
        <v>729</v>
      </c>
      <c r="D633" s="17" t="s">
        <v>730</v>
      </c>
      <c r="E633" s="17">
        <v>1.8648100000000001E-4</v>
      </c>
      <c r="F633" s="6" t="s">
        <v>233</v>
      </c>
      <c r="G633" s="6" t="s">
        <v>234</v>
      </c>
      <c r="H633" s="6">
        <v>3</v>
      </c>
    </row>
    <row r="634" spans="1:8" ht="30" x14ac:dyDescent="0.25">
      <c r="A634" s="17" t="s">
        <v>965</v>
      </c>
      <c r="B634" s="17" t="s">
        <v>965</v>
      </c>
      <c r="C634" s="17" t="s">
        <v>732</v>
      </c>
      <c r="D634" s="17" t="s">
        <v>733</v>
      </c>
      <c r="E634" s="17">
        <v>1.9325700000000001E-4</v>
      </c>
      <c r="F634" s="6" t="s">
        <v>233</v>
      </c>
      <c r="G634" s="6" t="s">
        <v>234</v>
      </c>
      <c r="H634" s="6">
        <v>3</v>
      </c>
    </row>
    <row r="635" spans="1:8" ht="30" x14ac:dyDescent="0.25">
      <c r="A635" s="17" t="s">
        <v>966</v>
      </c>
      <c r="B635" s="17" t="s">
        <v>966</v>
      </c>
      <c r="C635" s="17" t="s">
        <v>346</v>
      </c>
      <c r="D635" s="17" t="s">
        <v>347</v>
      </c>
      <c r="E635" s="17">
        <v>2.10657E-4</v>
      </c>
      <c r="F635" s="6" t="s">
        <v>233</v>
      </c>
      <c r="G635" s="6" t="s">
        <v>234</v>
      </c>
      <c r="H635" s="6">
        <v>3</v>
      </c>
    </row>
    <row r="636" spans="1:8" ht="30" x14ac:dyDescent="0.25">
      <c r="A636" s="17" t="s">
        <v>967</v>
      </c>
      <c r="B636" s="17" t="s">
        <v>967</v>
      </c>
      <c r="C636" s="17" t="s">
        <v>346</v>
      </c>
      <c r="D636" s="17" t="s">
        <v>347</v>
      </c>
      <c r="E636" s="17">
        <v>2.10657E-4</v>
      </c>
      <c r="F636" s="6" t="s">
        <v>233</v>
      </c>
      <c r="G636" s="6" t="s">
        <v>234</v>
      </c>
      <c r="H636" s="6">
        <v>3</v>
      </c>
    </row>
    <row r="637" spans="1:8" ht="30" x14ac:dyDescent="0.25">
      <c r="A637" s="17" t="s">
        <v>968</v>
      </c>
      <c r="B637" s="17" t="s">
        <v>968</v>
      </c>
      <c r="C637" s="17" t="s">
        <v>729</v>
      </c>
      <c r="D637" s="17" t="s">
        <v>730</v>
      </c>
      <c r="E637" s="17">
        <v>1.8648100000000001E-4</v>
      </c>
      <c r="F637" s="6" t="s">
        <v>233</v>
      </c>
      <c r="G637" s="6" t="s">
        <v>234</v>
      </c>
      <c r="H637" s="6">
        <v>3</v>
      </c>
    </row>
    <row r="638" spans="1:8" ht="30" x14ac:dyDescent="0.25">
      <c r="A638" s="17" t="s">
        <v>969</v>
      </c>
      <c r="B638" s="17" t="s">
        <v>969</v>
      </c>
      <c r="C638" s="17" t="s">
        <v>250</v>
      </c>
      <c r="D638" s="17" t="s">
        <v>248</v>
      </c>
      <c r="E638" s="17">
        <v>4.3868599999999998E-4</v>
      </c>
      <c r="F638" s="6" t="s">
        <v>233</v>
      </c>
      <c r="G638" s="6" t="s">
        <v>234</v>
      </c>
      <c r="H638" s="6">
        <v>3</v>
      </c>
    </row>
    <row r="639" spans="1:8" ht="30" x14ac:dyDescent="0.25">
      <c r="A639" s="17" t="s">
        <v>970</v>
      </c>
      <c r="B639" s="17" t="s">
        <v>970</v>
      </c>
      <c r="C639" s="17" t="s">
        <v>250</v>
      </c>
      <c r="D639" s="17" t="s">
        <v>248</v>
      </c>
      <c r="E639" s="17">
        <v>4.3868599999999998E-4</v>
      </c>
      <c r="F639" s="6" t="s">
        <v>233</v>
      </c>
      <c r="G639" s="6" t="s">
        <v>234</v>
      </c>
      <c r="H639" s="6">
        <v>3</v>
      </c>
    </row>
    <row r="640" spans="1:8" ht="30" x14ac:dyDescent="0.25">
      <c r="A640" s="17" t="s">
        <v>971</v>
      </c>
      <c r="B640" s="17" t="s">
        <v>971</v>
      </c>
      <c r="C640" s="17" t="s">
        <v>413</v>
      </c>
      <c r="D640" s="17" t="s">
        <v>414</v>
      </c>
      <c r="E640" s="17">
        <v>3.1322199999999999E-4</v>
      </c>
      <c r="F640" s="6" t="s">
        <v>233</v>
      </c>
      <c r="G640" s="6" t="s">
        <v>234</v>
      </c>
      <c r="H640" s="6">
        <v>3</v>
      </c>
    </row>
    <row r="641" spans="1:8" ht="30" x14ac:dyDescent="0.25">
      <c r="A641" s="17" t="s">
        <v>972</v>
      </c>
      <c r="B641" s="17" t="s">
        <v>972</v>
      </c>
      <c r="C641" s="17" t="s">
        <v>413</v>
      </c>
      <c r="D641" s="17" t="s">
        <v>414</v>
      </c>
      <c r="E641" s="17">
        <v>3.1322199999999999E-4</v>
      </c>
      <c r="F641" s="6" t="s">
        <v>233</v>
      </c>
      <c r="G641" s="6" t="s">
        <v>234</v>
      </c>
      <c r="H641" s="6">
        <v>3</v>
      </c>
    </row>
    <row r="642" spans="1:8" ht="30" x14ac:dyDescent="0.25">
      <c r="A642" s="17" t="s">
        <v>973</v>
      </c>
      <c r="B642" s="17" t="s">
        <v>973</v>
      </c>
      <c r="C642" s="17" t="s">
        <v>346</v>
      </c>
      <c r="D642" s="17" t="s">
        <v>347</v>
      </c>
      <c r="E642" s="17">
        <v>2.10657E-4</v>
      </c>
      <c r="F642" s="6" t="s">
        <v>233</v>
      </c>
      <c r="G642" s="6" t="s">
        <v>234</v>
      </c>
      <c r="H642" s="6">
        <v>3</v>
      </c>
    </row>
    <row r="643" spans="1:8" ht="30" x14ac:dyDescent="0.25">
      <c r="A643" s="17" t="s">
        <v>974</v>
      </c>
      <c r="B643" s="17" t="s">
        <v>974</v>
      </c>
      <c r="C643" s="17" t="s">
        <v>346</v>
      </c>
      <c r="D643" s="17" t="s">
        <v>347</v>
      </c>
      <c r="E643" s="17">
        <v>2.10657E-4</v>
      </c>
      <c r="F643" s="6" t="s">
        <v>233</v>
      </c>
      <c r="G643" s="6" t="s">
        <v>234</v>
      </c>
      <c r="H643" s="6">
        <v>3</v>
      </c>
    </row>
    <row r="644" spans="1:8" ht="30" x14ac:dyDescent="0.25">
      <c r="A644" s="17" t="s">
        <v>975</v>
      </c>
      <c r="B644" s="17" t="s">
        <v>975</v>
      </c>
      <c r="C644" s="17" t="s">
        <v>729</v>
      </c>
      <c r="D644" s="17" t="s">
        <v>730</v>
      </c>
      <c r="E644" s="17">
        <v>1.8648100000000001E-4</v>
      </c>
      <c r="F644" s="6" t="s">
        <v>233</v>
      </c>
      <c r="G644" s="6" t="s">
        <v>234</v>
      </c>
      <c r="H644" s="6">
        <v>3</v>
      </c>
    </row>
    <row r="645" spans="1:8" ht="30" x14ac:dyDescent="0.25">
      <c r="A645" s="17" t="s">
        <v>976</v>
      </c>
      <c r="B645" s="17" t="s">
        <v>976</v>
      </c>
      <c r="C645" s="17" t="s">
        <v>729</v>
      </c>
      <c r="D645" s="17" t="s">
        <v>730</v>
      </c>
      <c r="E645" s="17">
        <v>1.8648100000000001E-4</v>
      </c>
      <c r="F645" s="6" t="s">
        <v>233</v>
      </c>
      <c r="G645" s="6" t="s">
        <v>234</v>
      </c>
      <c r="H645" s="6">
        <v>3</v>
      </c>
    </row>
    <row r="646" spans="1:8" ht="30" x14ac:dyDescent="0.25">
      <c r="A646" s="17" t="s">
        <v>977</v>
      </c>
      <c r="B646" s="17" t="s">
        <v>977</v>
      </c>
      <c r="C646" s="17" t="s">
        <v>729</v>
      </c>
      <c r="D646" s="17" t="s">
        <v>730</v>
      </c>
      <c r="E646" s="17">
        <v>1.8648100000000001E-4</v>
      </c>
      <c r="F646" s="6" t="s">
        <v>233</v>
      </c>
      <c r="G646" s="6" t="s">
        <v>234</v>
      </c>
      <c r="H646" s="6">
        <v>3</v>
      </c>
    </row>
    <row r="647" spans="1:8" ht="30" x14ac:dyDescent="0.25">
      <c r="A647" s="17" t="s">
        <v>978</v>
      </c>
      <c r="B647" s="17" t="s">
        <v>978</v>
      </c>
      <c r="C647" s="17" t="s">
        <v>729</v>
      </c>
      <c r="D647" s="17" t="s">
        <v>730</v>
      </c>
      <c r="E647" s="17">
        <v>1.8648100000000001E-4</v>
      </c>
      <c r="F647" s="6" t="s">
        <v>233</v>
      </c>
      <c r="G647" s="6" t="s">
        <v>234</v>
      </c>
      <c r="H647" s="6">
        <v>3</v>
      </c>
    </row>
    <row r="648" spans="1:8" ht="30" x14ac:dyDescent="0.25">
      <c r="A648" s="17" t="s">
        <v>979</v>
      </c>
      <c r="B648" s="17" t="s">
        <v>979</v>
      </c>
      <c r="C648" s="17" t="s">
        <v>729</v>
      </c>
      <c r="D648" s="17" t="s">
        <v>730</v>
      </c>
      <c r="E648" s="17">
        <v>1.8648100000000001E-4</v>
      </c>
      <c r="F648" s="6" t="s">
        <v>233</v>
      </c>
      <c r="G648" s="6" t="s">
        <v>234</v>
      </c>
      <c r="H648" s="6">
        <v>3</v>
      </c>
    </row>
    <row r="649" spans="1:8" ht="30" x14ac:dyDescent="0.25">
      <c r="A649" s="17" t="s">
        <v>980</v>
      </c>
      <c r="B649" s="17" t="s">
        <v>980</v>
      </c>
      <c r="C649" s="17" t="s">
        <v>729</v>
      </c>
      <c r="D649" s="17" t="s">
        <v>730</v>
      </c>
      <c r="E649" s="17">
        <v>1.8648100000000001E-4</v>
      </c>
      <c r="F649" s="6" t="s">
        <v>233</v>
      </c>
      <c r="G649" s="6" t="s">
        <v>234</v>
      </c>
      <c r="H649" s="6">
        <v>3</v>
      </c>
    </row>
    <row r="650" spans="1:8" ht="30" x14ac:dyDescent="0.25">
      <c r="A650" s="17" t="s">
        <v>981</v>
      </c>
      <c r="B650" s="17" t="s">
        <v>981</v>
      </c>
      <c r="C650" s="17" t="s">
        <v>729</v>
      </c>
      <c r="D650" s="17" t="s">
        <v>730</v>
      </c>
      <c r="E650" s="17">
        <v>1.8648100000000001E-4</v>
      </c>
      <c r="F650" s="6" t="s">
        <v>233</v>
      </c>
      <c r="G650" s="6" t="s">
        <v>234</v>
      </c>
      <c r="H650" s="6">
        <v>3</v>
      </c>
    </row>
    <row r="651" spans="1:8" ht="30" x14ac:dyDescent="0.25">
      <c r="A651" s="17" t="s">
        <v>982</v>
      </c>
      <c r="B651" s="17" t="s">
        <v>982</v>
      </c>
      <c r="C651" s="17" t="s">
        <v>729</v>
      </c>
      <c r="D651" s="17" t="s">
        <v>730</v>
      </c>
      <c r="E651" s="17">
        <v>1.8648100000000001E-4</v>
      </c>
      <c r="F651" s="6" t="s">
        <v>233</v>
      </c>
      <c r="G651" s="6" t="s">
        <v>234</v>
      </c>
      <c r="H651" s="6">
        <v>3</v>
      </c>
    </row>
    <row r="652" spans="1:8" ht="45" x14ac:dyDescent="0.25">
      <c r="A652" s="17" t="s">
        <v>983</v>
      </c>
      <c r="B652" s="17" t="s">
        <v>983</v>
      </c>
      <c r="C652" s="17" t="s">
        <v>729</v>
      </c>
      <c r="D652" s="17" t="s">
        <v>730</v>
      </c>
      <c r="E652" s="17">
        <v>1.8648100000000001E-4</v>
      </c>
      <c r="F652" s="6" t="s">
        <v>233</v>
      </c>
      <c r="G652" s="6" t="s">
        <v>234</v>
      </c>
      <c r="H652" s="6">
        <v>3</v>
      </c>
    </row>
    <row r="653" spans="1:8" ht="30" x14ac:dyDescent="0.25">
      <c r="A653" s="17" t="s">
        <v>984</v>
      </c>
      <c r="B653" s="17" t="s">
        <v>984</v>
      </c>
      <c r="C653" s="17" t="s">
        <v>729</v>
      </c>
      <c r="D653" s="17" t="s">
        <v>730</v>
      </c>
      <c r="E653" s="17">
        <v>1.8648100000000001E-4</v>
      </c>
      <c r="F653" s="6" t="s">
        <v>233</v>
      </c>
      <c r="G653" s="6" t="s">
        <v>234</v>
      </c>
      <c r="H653" s="6">
        <v>3</v>
      </c>
    </row>
    <row r="654" spans="1:8" ht="30" x14ac:dyDescent="0.25">
      <c r="A654" s="17" t="s">
        <v>985</v>
      </c>
      <c r="B654" s="17" t="s">
        <v>985</v>
      </c>
      <c r="C654" s="17" t="s">
        <v>250</v>
      </c>
      <c r="D654" s="17" t="s">
        <v>248</v>
      </c>
      <c r="E654" s="17">
        <v>4.3868599999999998E-4</v>
      </c>
      <c r="F654" s="6" t="s">
        <v>233</v>
      </c>
      <c r="G654" s="6" t="s">
        <v>234</v>
      </c>
      <c r="H654" s="6">
        <v>3</v>
      </c>
    </row>
    <row r="655" spans="1:8" ht="30" x14ac:dyDescent="0.25">
      <c r="A655" s="17" t="s">
        <v>986</v>
      </c>
      <c r="B655" s="17" t="s">
        <v>986</v>
      </c>
      <c r="C655" s="17" t="s">
        <v>250</v>
      </c>
      <c r="D655" s="17" t="s">
        <v>248</v>
      </c>
      <c r="E655" s="17">
        <v>4.3868599999999998E-4</v>
      </c>
      <c r="F655" s="6" t="s">
        <v>233</v>
      </c>
      <c r="G655" s="6" t="s">
        <v>234</v>
      </c>
      <c r="H655" s="6">
        <v>3</v>
      </c>
    </row>
    <row r="656" spans="1:8" ht="30" x14ac:dyDescent="0.25">
      <c r="A656" s="17" t="s">
        <v>987</v>
      </c>
      <c r="B656" s="17" t="s">
        <v>987</v>
      </c>
      <c r="C656" s="17" t="s">
        <v>271</v>
      </c>
      <c r="D656" s="17" t="s">
        <v>269</v>
      </c>
      <c r="E656" s="17">
        <v>5.2359699999999999E-4</v>
      </c>
      <c r="F656" s="6" t="s">
        <v>233</v>
      </c>
      <c r="G656" s="6" t="s">
        <v>234</v>
      </c>
      <c r="H656" s="6">
        <v>3</v>
      </c>
    </row>
    <row r="657" spans="1:8" ht="30" x14ac:dyDescent="0.25">
      <c r="A657" s="17" t="s">
        <v>988</v>
      </c>
      <c r="B657" s="17" t="s">
        <v>988</v>
      </c>
      <c r="C657" s="17" t="s">
        <v>301</v>
      </c>
      <c r="D657" s="17" t="s">
        <v>299</v>
      </c>
      <c r="E657" s="17">
        <v>6.3590900000000004E-4</v>
      </c>
      <c r="F657" s="6" t="s">
        <v>233</v>
      </c>
      <c r="G657" s="6" t="s">
        <v>234</v>
      </c>
      <c r="H657" s="6">
        <v>3</v>
      </c>
    </row>
    <row r="658" spans="1:8" ht="30" x14ac:dyDescent="0.25">
      <c r="A658" s="17" t="s">
        <v>989</v>
      </c>
      <c r="B658" s="17" t="s">
        <v>989</v>
      </c>
      <c r="C658" s="17" t="s">
        <v>271</v>
      </c>
      <c r="D658" s="17" t="s">
        <v>269</v>
      </c>
      <c r="E658" s="17">
        <v>5.2359699999999999E-4</v>
      </c>
      <c r="F658" s="6" t="s">
        <v>233</v>
      </c>
      <c r="G658" s="6" t="s">
        <v>234</v>
      </c>
      <c r="H658" s="6">
        <v>3</v>
      </c>
    </row>
    <row r="659" spans="1:8" ht="30" x14ac:dyDescent="0.25">
      <c r="A659" s="17" t="s">
        <v>990</v>
      </c>
      <c r="B659" s="17" t="s">
        <v>990</v>
      </c>
      <c r="C659" s="17" t="s">
        <v>271</v>
      </c>
      <c r="D659" s="17" t="s">
        <v>269</v>
      </c>
      <c r="E659" s="17">
        <v>5.2359699999999999E-4</v>
      </c>
      <c r="F659" s="6" t="s">
        <v>233</v>
      </c>
      <c r="G659" s="6" t="s">
        <v>234</v>
      </c>
      <c r="H659" s="6">
        <v>3</v>
      </c>
    </row>
    <row r="660" spans="1:8" ht="30" x14ac:dyDescent="0.25">
      <c r="A660" s="17" t="s">
        <v>991</v>
      </c>
      <c r="B660" s="17" t="s">
        <v>991</v>
      </c>
      <c r="C660" s="17" t="s">
        <v>271</v>
      </c>
      <c r="D660" s="17" t="s">
        <v>269</v>
      </c>
      <c r="E660" s="17">
        <v>5.2359699999999999E-4</v>
      </c>
      <c r="F660" s="6" t="s">
        <v>233</v>
      </c>
      <c r="G660" s="6" t="s">
        <v>234</v>
      </c>
      <c r="H660" s="6">
        <v>3</v>
      </c>
    </row>
    <row r="661" spans="1:8" ht="30" x14ac:dyDescent="0.25">
      <c r="A661" s="17" t="s">
        <v>992</v>
      </c>
      <c r="B661" s="17" t="s">
        <v>992</v>
      </c>
      <c r="C661" s="17" t="s">
        <v>271</v>
      </c>
      <c r="D661" s="17" t="s">
        <v>269</v>
      </c>
      <c r="E661" s="17">
        <v>5.2359699999999999E-4</v>
      </c>
      <c r="F661" s="6" t="s">
        <v>233</v>
      </c>
      <c r="G661" s="6" t="s">
        <v>234</v>
      </c>
      <c r="H661" s="6">
        <v>3</v>
      </c>
    </row>
    <row r="662" spans="1:8" ht="30" x14ac:dyDescent="0.25">
      <c r="A662" s="17" t="s">
        <v>993</v>
      </c>
      <c r="B662" s="17" t="s">
        <v>993</v>
      </c>
      <c r="C662" s="17" t="s">
        <v>271</v>
      </c>
      <c r="D662" s="17" t="s">
        <v>269</v>
      </c>
      <c r="E662" s="17">
        <v>5.2359699999999999E-4</v>
      </c>
      <c r="F662" s="6" t="s">
        <v>233</v>
      </c>
      <c r="G662" s="6" t="s">
        <v>234</v>
      </c>
      <c r="H662" s="6">
        <v>3</v>
      </c>
    </row>
    <row r="663" spans="1:8" ht="30" x14ac:dyDescent="0.25">
      <c r="A663" s="17" t="s">
        <v>994</v>
      </c>
      <c r="B663" s="17" t="s">
        <v>994</v>
      </c>
      <c r="C663" s="17" t="s">
        <v>271</v>
      </c>
      <c r="D663" s="17" t="s">
        <v>269</v>
      </c>
      <c r="E663" s="17">
        <v>5.2359699999999999E-4</v>
      </c>
      <c r="F663" s="6" t="s">
        <v>233</v>
      </c>
      <c r="G663" s="6" t="s">
        <v>234</v>
      </c>
      <c r="H663" s="6">
        <v>3</v>
      </c>
    </row>
    <row r="664" spans="1:8" ht="30" x14ac:dyDescent="0.25">
      <c r="A664" s="17" t="s">
        <v>995</v>
      </c>
      <c r="B664" s="17" t="s">
        <v>995</v>
      </c>
      <c r="C664" s="17" t="s">
        <v>313</v>
      </c>
      <c r="D664" s="17" t="s">
        <v>311</v>
      </c>
      <c r="E664" s="17">
        <v>4.5576999999999998E-4</v>
      </c>
      <c r="F664" s="6" t="s">
        <v>233</v>
      </c>
      <c r="G664" s="6" t="s">
        <v>234</v>
      </c>
      <c r="H664" s="6">
        <v>3</v>
      </c>
    </row>
    <row r="665" spans="1:8" ht="30" x14ac:dyDescent="0.25">
      <c r="A665" s="17" t="s">
        <v>996</v>
      </c>
      <c r="B665" s="17" t="s">
        <v>996</v>
      </c>
      <c r="C665" s="17" t="s">
        <v>271</v>
      </c>
      <c r="D665" s="17" t="s">
        <v>269</v>
      </c>
      <c r="E665" s="17">
        <v>5.2359699999999999E-4</v>
      </c>
      <c r="F665" s="6" t="s">
        <v>233</v>
      </c>
      <c r="G665" s="6" t="s">
        <v>234</v>
      </c>
      <c r="H665" s="6">
        <v>3</v>
      </c>
    </row>
    <row r="666" spans="1:8" ht="30" x14ac:dyDescent="0.25">
      <c r="A666" s="17" t="s">
        <v>997</v>
      </c>
      <c r="B666" s="17" t="s">
        <v>997</v>
      </c>
      <c r="C666" s="17" t="s">
        <v>271</v>
      </c>
      <c r="D666" s="17" t="s">
        <v>269</v>
      </c>
      <c r="E666" s="17">
        <v>5.2359699999999999E-4</v>
      </c>
      <c r="F666" s="6" t="s">
        <v>233</v>
      </c>
      <c r="G666" s="6" t="s">
        <v>234</v>
      </c>
      <c r="H666" s="6">
        <v>3</v>
      </c>
    </row>
    <row r="667" spans="1:8" ht="30" x14ac:dyDescent="0.25">
      <c r="A667" s="17" t="s">
        <v>998</v>
      </c>
      <c r="B667" s="17" t="s">
        <v>998</v>
      </c>
      <c r="C667" s="17" t="s">
        <v>283</v>
      </c>
      <c r="D667" s="17" t="s">
        <v>281</v>
      </c>
      <c r="E667" s="17">
        <v>5.4019300000000001E-4</v>
      </c>
      <c r="F667" s="6" t="s">
        <v>233</v>
      </c>
      <c r="G667" s="6" t="s">
        <v>234</v>
      </c>
      <c r="H667" s="6">
        <v>3</v>
      </c>
    </row>
    <row r="668" spans="1:8" ht="30" x14ac:dyDescent="0.25">
      <c r="A668" s="17" t="s">
        <v>999</v>
      </c>
      <c r="B668" s="17" t="s">
        <v>999</v>
      </c>
      <c r="C668" s="17" t="s">
        <v>280</v>
      </c>
      <c r="D668" s="17" t="s">
        <v>278</v>
      </c>
      <c r="E668" s="17">
        <v>6.2829699999999999E-4</v>
      </c>
      <c r="F668" s="6" t="s">
        <v>233</v>
      </c>
      <c r="G668" s="6" t="s">
        <v>234</v>
      </c>
      <c r="H668" s="6">
        <v>3</v>
      </c>
    </row>
    <row r="669" spans="1:8" ht="30" x14ac:dyDescent="0.25">
      <c r="A669" s="17" t="s">
        <v>1000</v>
      </c>
      <c r="B669" s="17" t="s">
        <v>1000</v>
      </c>
      <c r="C669" s="17" t="s">
        <v>271</v>
      </c>
      <c r="D669" s="17" t="s">
        <v>269</v>
      </c>
      <c r="E669" s="17">
        <v>5.2359699999999999E-4</v>
      </c>
      <c r="F669" s="6" t="s">
        <v>233</v>
      </c>
      <c r="G669" s="6" t="s">
        <v>234</v>
      </c>
      <c r="H669" s="6">
        <v>3</v>
      </c>
    </row>
    <row r="670" spans="1:8" ht="30" x14ac:dyDescent="0.25">
      <c r="A670" s="17" t="s">
        <v>1001</v>
      </c>
      <c r="B670" s="17" t="s">
        <v>1001</v>
      </c>
      <c r="C670" s="17" t="s">
        <v>271</v>
      </c>
      <c r="D670" s="17" t="s">
        <v>269</v>
      </c>
      <c r="E670" s="17">
        <v>5.2359699999999999E-4</v>
      </c>
      <c r="F670" s="6" t="s">
        <v>233</v>
      </c>
      <c r="G670" s="6" t="s">
        <v>234</v>
      </c>
      <c r="H670" s="6">
        <v>3</v>
      </c>
    </row>
    <row r="671" spans="1:8" ht="30" x14ac:dyDescent="0.25">
      <c r="A671" s="17" t="s">
        <v>1002</v>
      </c>
      <c r="B671" s="17" t="s">
        <v>1002</v>
      </c>
      <c r="C671" s="17" t="s">
        <v>346</v>
      </c>
      <c r="D671" s="17" t="s">
        <v>347</v>
      </c>
      <c r="E671" s="17">
        <v>2.10657E-4</v>
      </c>
      <c r="F671" s="6" t="s">
        <v>233</v>
      </c>
      <c r="G671" s="6" t="s">
        <v>234</v>
      </c>
      <c r="H671" s="6">
        <v>3</v>
      </c>
    </row>
    <row r="672" spans="1:8" ht="30" x14ac:dyDescent="0.25">
      <c r="A672" s="17" t="s">
        <v>1003</v>
      </c>
      <c r="B672" s="17" t="s">
        <v>1003</v>
      </c>
      <c r="C672" s="17" t="s">
        <v>271</v>
      </c>
      <c r="D672" s="17" t="s">
        <v>269</v>
      </c>
      <c r="E672" s="17">
        <v>5.2359699999999999E-4</v>
      </c>
      <c r="F672" s="6" t="s">
        <v>233</v>
      </c>
      <c r="G672" s="6" t="s">
        <v>234</v>
      </c>
      <c r="H672" s="6">
        <v>3</v>
      </c>
    </row>
    <row r="673" spans="1:8" ht="30" x14ac:dyDescent="0.25">
      <c r="A673" s="17" t="s">
        <v>1004</v>
      </c>
      <c r="B673" s="17" t="s">
        <v>1004</v>
      </c>
      <c r="C673" s="17" t="s">
        <v>313</v>
      </c>
      <c r="D673" s="17" t="s">
        <v>311</v>
      </c>
      <c r="E673" s="17">
        <v>4.5576999999999998E-4</v>
      </c>
      <c r="F673" s="6" t="s">
        <v>233</v>
      </c>
      <c r="G673" s="6" t="s">
        <v>234</v>
      </c>
      <c r="H673" s="6">
        <v>3</v>
      </c>
    </row>
    <row r="674" spans="1:8" ht="30" x14ac:dyDescent="0.25">
      <c r="A674" s="17" t="s">
        <v>1005</v>
      </c>
      <c r="B674" s="17" t="s">
        <v>1005</v>
      </c>
      <c r="C674" s="17" t="s">
        <v>271</v>
      </c>
      <c r="D674" s="17" t="s">
        <v>269</v>
      </c>
      <c r="E674" s="17">
        <v>5.2359699999999999E-4</v>
      </c>
      <c r="F674" s="6" t="s">
        <v>233</v>
      </c>
      <c r="G674" s="6" t="s">
        <v>234</v>
      </c>
      <c r="H674" s="6">
        <v>3</v>
      </c>
    </row>
    <row r="675" spans="1:8" ht="30" x14ac:dyDescent="0.25">
      <c r="A675" s="17" t="s">
        <v>1006</v>
      </c>
      <c r="B675" s="17" t="s">
        <v>1006</v>
      </c>
      <c r="C675" s="17" t="s">
        <v>280</v>
      </c>
      <c r="D675" s="17" t="s">
        <v>278</v>
      </c>
      <c r="E675" s="17">
        <v>6.2829699999999999E-4</v>
      </c>
      <c r="F675" s="6" t="s">
        <v>233</v>
      </c>
      <c r="G675" s="6" t="s">
        <v>234</v>
      </c>
      <c r="H675" s="6">
        <v>3</v>
      </c>
    </row>
    <row r="676" spans="1:8" ht="30" x14ac:dyDescent="0.25">
      <c r="A676" s="17" t="s">
        <v>1007</v>
      </c>
      <c r="B676" s="17" t="s">
        <v>1007</v>
      </c>
      <c r="C676" s="17" t="s">
        <v>271</v>
      </c>
      <c r="D676" s="17" t="s">
        <v>269</v>
      </c>
      <c r="E676" s="17">
        <v>5.2359699999999999E-4</v>
      </c>
      <c r="F676" s="6" t="s">
        <v>233</v>
      </c>
      <c r="G676" s="6" t="s">
        <v>234</v>
      </c>
      <c r="H676" s="6">
        <v>3</v>
      </c>
    </row>
    <row r="677" spans="1:8" ht="30" x14ac:dyDescent="0.25">
      <c r="A677" s="17" t="s">
        <v>1008</v>
      </c>
      <c r="B677" s="17" t="s">
        <v>1008</v>
      </c>
      <c r="C677" s="17" t="s">
        <v>244</v>
      </c>
      <c r="D677" s="17" t="s">
        <v>242</v>
      </c>
      <c r="E677" s="17">
        <v>5.4284299999999999E-4</v>
      </c>
      <c r="F677" s="6" t="s">
        <v>233</v>
      </c>
      <c r="G677" s="6" t="s">
        <v>234</v>
      </c>
      <c r="H677" s="6">
        <v>3</v>
      </c>
    </row>
    <row r="678" spans="1:8" ht="30" x14ac:dyDescent="0.25">
      <c r="A678" s="17" t="s">
        <v>1009</v>
      </c>
      <c r="B678" s="17" t="s">
        <v>1009</v>
      </c>
      <c r="C678" s="17" t="s">
        <v>271</v>
      </c>
      <c r="D678" s="17" t="s">
        <v>269</v>
      </c>
      <c r="E678" s="17">
        <v>5.2359699999999999E-4</v>
      </c>
      <c r="F678" s="6" t="s">
        <v>233</v>
      </c>
      <c r="G678" s="6" t="s">
        <v>234</v>
      </c>
      <c r="H678" s="6">
        <v>3</v>
      </c>
    </row>
    <row r="679" spans="1:8" ht="30" x14ac:dyDescent="0.25">
      <c r="A679" s="17" t="s">
        <v>1010</v>
      </c>
      <c r="B679" s="17" t="s">
        <v>1010</v>
      </c>
      <c r="C679" s="17" t="s">
        <v>271</v>
      </c>
      <c r="D679" s="17" t="s">
        <v>269</v>
      </c>
      <c r="E679" s="17">
        <v>5.2359699999999999E-4</v>
      </c>
      <c r="F679" s="6" t="s">
        <v>233</v>
      </c>
      <c r="G679" s="6" t="s">
        <v>234</v>
      </c>
      <c r="H679" s="6">
        <v>3</v>
      </c>
    </row>
    <row r="680" spans="1:8" ht="30" x14ac:dyDescent="0.25">
      <c r="A680" s="17" t="s">
        <v>1011</v>
      </c>
      <c r="B680" s="17" t="s">
        <v>1011</v>
      </c>
      <c r="C680" s="17" t="s">
        <v>271</v>
      </c>
      <c r="D680" s="17" t="s">
        <v>269</v>
      </c>
      <c r="E680" s="17">
        <v>5.2359699999999999E-4</v>
      </c>
      <c r="F680" s="6" t="s">
        <v>233</v>
      </c>
      <c r="G680" s="6" t="s">
        <v>234</v>
      </c>
      <c r="H680" s="6">
        <v>3</v>
      </c>
    </row>
    <row r="681" spans="1:8" ht="30" x14ac:dyDescent="0.25">
      <c r="A681" s="17" t="s">
        <v>1012</v>
      </c>
      <c r="B681" s="17" t="s">
        <v>1012</v>
      </c>
      <c r="C681" s="17" t="s">
        <v>271</v>
      </c>
      <c r="D681" s="17" t="s">
        <v>269</v>
      </c>
      <c r="E681" s="17">
        <v>5.2359699999999999E-4</v>
      </c>
      <c r="F681" s="6" t="s">
        <v>233</v>
      </c>
      <c r="G681" s="6" t="s">
        <v>234</v>
      </c>
      <c r="H681" s="6">
        <v>3</v>
      </c>
    </row>
    <row r="682" spans="1:8" ht="30" x14ac:dyDescent="0.25">
      <c r="A682" s="17" t="s">
        <v>1013</v>
      </c>
      <c r="B682" s="17" t="s">
        <v>1013</v>
      </c>
      <c r="C682" s="17" t="s">
        <v>313</v>
      </c>
      <c r="D682" s="17" t="s">
        <v>269</v>
      </c>
      <c r="E682" s="17">
        <v>5.2359699999999999E-4</v>
      </c>
      <c r="F682" s="6" t="s">
        <v>233</v>
      </c>
      <c r="G682" s="6" t="s">
        <v>234</v>
      </c>
      <c r="H682" s="6">
        <v>3</v>
      </c>
    </row>
    <row r="683" spans="1:8" ht="30" x14ac:dyDescent="0.25">
      <c r="A683" s="17" t="s">
        <v>1014</v>
      </c>
      <c r="B683" s="17" t="s">
        <v>1014</v>
      </c>
      <c r="C683" s="17" t="s">
        <v>301</v>
      </c>
      <c r="D683" s="17" t="s">
        <v>299</v>
      </c>
      <c r="E683" s="17">
        <v>6.3590900000000004E-4</v>
      </c>
      <c r="F683" s="6" t="s">
        <v>233</v>
      </c>
      <c r="G683" s="6" t="s">
        <v>234</v>
      </c>
      <c r="H683" s="6">
        <v>3</v>
      </c>
    </row>
    <row r="684" spans="1:8" ht="30" x14ac:dyDescent="0.25">
      <c r="A684" s="17" t="s">
        <v>1015</v>
      </c>
      <c r="B684" s="17" t="s">
        <v>1015</v>
      </c>
      <c r="C684" s="17" t="s">
        <v>301</v>
      </c>
      <c r="D684" s="17" t="s">
        <v>299</v>
      </c>
      <c r="E684" s="17">
        <v>6.3590900000000004E-4</v>
      </c>
      <c r="F684" s="6" t="s">
        <v>233</v>
      </c>
      <c r="G684" s="6" t="s">
        <v>234</v>
      </c>
      <c r="H684" s="6">
        <v>3</v>
      </c>
    </row>
    <row r="685" spans="1:8" ht="30" x14ac:dyDescent="0.25">
      <c r="A685" s="17" t="s">
        <v>1016</v>
      </c>
      <c r="B685" s="17" t="s">
        <v>1016</v>
      </c>
      <c r="C685" s="17" t="s">
        <v>301</v>
      </c>
      <c r="D685" s="17" t="s">
        <v>299</v>
      </c>
      <c r="E685" s="17">
        <v>6.3590900000000004E-4</v>
      </c>
      <c r="F685" s="6" t="s">
        <v>233</v>
      </c>
      <c r="G685" s="6" t="s">
        <v>234</v>
      </c>
      <c r="H685" s="6">
        <v>3</v>
      </c>
    </row>
    <row r="686" spans="1:8" ht="30" x14ac:dyDescent="0.25">
      <c r="A686" s="17" t="s">
        <v>1017</v>
      </c>
      <c r="B686" s="17" t="s">
        <v>1017</v>
      </c>
      <c r="C686" s="17" t="s">
        <v>301</v>
      </c>
      <c r="D686" s="17" t="s">
        <v>299</v>
      </c>
      <c r="E686" s="17">
        <v>6.3590900000000004E-4</v>
      </c>
      <c r="F686" s="6" t="s">
        <v>233</v>
      </c>
      <c r="G686" s="6" t="s">
        <v>234</v>
      </c>
      <c r="H686" s="6">
        <v>3</v>
      </c>
    </row>
    <row r="687" spans="1:8" ht="30" x14ac:dyDescent="0.25">
      <c r="A687" s="17" t="s">
        <v>1018</v>
      </c>
      <c r="B687" s="17" t="s">
        <v>1018</v>
      </c>
      <c r="C687" s="17" t="s">
        <v>301</v>
      </c>
      <c r="D687" s="17" t="s">
        <v>299</v>
      </c>
      <c r="E687" s="17">
        <v>6.3590900000000004E-4</v>
      </c>
      <c r="F687" s="6" t="s">
        <v>233</v>
      </c>
      <c r="G687" s="6" t="s">
        <v>234</v>
      </c>
      <c r="H687" s="6">
        <v>3</v>
      </c>
    </row>
    <row r="688" spans="1:8" ht="30" x14ac:dyDescent="0.25">
      <c r="A688" s="17" t="s">
        <v>1019</v>
      </c>
      <c r="B688" s="17" t="s">
        <v>1019</v>
      </c>
      <c r="C688" s="17" t="s">
        <v>271</v>
      </c>
      <c r="D688" s="17" t="s">
        <v>269</v>
      </c>
      <c r="E688" s="17">
        <v>5.2359699999999999E-4</v>
      </c>
      <c r="F688" s="6" t="s">
        <v>233</v>
      </c>
      <c r="G688" s="6" t="s">
        <v>234</v>
      </c>
      <c r="H688" s="6">
        <v>3</v>
      </c>
    </row>
    <row r="689" spans="1:8" ht="30" x14ac:dyDescent="0.25">
      <c r="A689" s="17" t="s">
        <v>1020</v>
      </c>
      <c r="B689" s="17" t="s">
        <v>1020</v>
      </c>
      <c r="C689" s="17" t="s">
        <v>280</v>
      </c>
      <c r="D689" s="17" t="s">
        <v>278</v>
      </c>
      <c r="E689" s="17">
        <v>6.2829699999999999E-4</v>
      </c>
      <c r="F689" s="6" t="s">
        <v>233</v>
      </c>
      <c r="G689" s="6" t="s">
        <v>234</v>
      </c>
      <c r="H689" s="6">
        <v>3</v>
      </c>
    </row>
    <row r="690" spans="1:8" ht="30" x14ac:dyDescent="0.25">
      <c r="A690" s="17" t="s">
        <v>1021</v>
      </c>
      <c r="B690" s="17" t="s">
        <v>1021</v>
      </c>
      <c r="C690" s="17" t="s">
        <v>256</v>
      </c>
      <c r="D690" s="17" t="s">
        <v>254</v>
      </c>
      <c r="E690" s="17">
        <v>8.1312799999999998E-4</v>
      </c>
      <c r="F690" s="6" t="s">
        <v>233</v>
      </c>
      <c r="G690" s="6" t="s">
        <v>234</v>
      </c>
      <c r="H690" s="6">
        <v>3</v>
      </c>
    </row>
    <row r="691" spans="1:8" ht="30" x14ac:dyDescent="0.25">
      <c r="A691" s="17" t="s">
        <v>1022</v>
      </c>
      <c r="B691" s="17" t="s">
        <v>1022</v>
      </c>
      <c r="C691" s="17" t="s">
        <v>271</v>
      </c>
      <c r="D691" s="17" t="s">
        <v>269</v>
      </c>
      <c r="E691" s="17">
        <v>5.2359699999999999E-4</v>
      </c>
      <c r="F691" s="6" t="s">
        <v>233</v>
      </c>
      <c r="G691" s="6" t="s">
        <v>234</v>
      </c>
      <c r="H691" s="6">
        <v>3</v>
      </c>
    </row>
    <row r="692" spans="1:8" ht="30" x14ac:dyDescent="0.25">
      <c r="A692" s="17" t="s">
        <v>1023</v>
      </c>
      <c r="B692" s="17" t="s">
        <v>1023</v>
      </c>
      <c r="C692" s="17" t="s">
        <v>271</v>
      </c>
      <c r="D692" s="17" t="s">
        <v>269</v>
      </c>
      <c r="E692" s="17">
        <v>5.2359699999999999E-4</v>
      </c>
      <c r="F692" s="6" t="s">
        <v>233</v>
      </c>
      <c r="G692" s="6" t="s">
        <v>234</v>
      </c>
      <c r="H692" s="6">
        <v>3</v>
      </c>
    </row>
    <row r="693" spans="1:8" ht="30" x14ac:dyDescent="0.25">
      <c r="A693" s="17" t="s">
        <v>1024</v>
      </c>
      <c r="B693" s="17" t="s">
        <v>1024</v>
      </c>
      <c r="C693" s="17" t="s">
        <v>244</v>
      </c>
      <c r="D693" s="17" t="s">
        <v>242</v>
      </c>
      <c r="E693" s="17">
        <v>5.4284299999999999E-4</v>
      </c>
      <c r="F693" s="6" t="s">
        <v>233</v>
      </c>
      <c r="G693" s="6" t="s">
        <v>234</v>
      </c>
      <c r="H693" s="6">
        <v>3</v>
      </c>
    </row>
    <row r="694" spans="1:8" ht="30" x14ac:dyDescent="0.25">
      <c r="A694" s="17" t="s">
        <v>1025</v>
      </c>
      <c r="B694" s="17" t="s">
        <v>1025</v>
      </c>
      <c r="C694" s="17" t="s">
        <v>271</v>
      </c>
      <c r="D694" s="17" t="s">
        <v>269</v>
      </c>
      <c r="E694" s="17">
        <v>5.2359699999999999E-4</v>
      </c>
      <c r="F694" s="6" t="s">
        <v>233</v>
      </c>
      <c r="G694" s="6" t="s">
        <v>234</v>
      </c>
      <c r="H694" s="6">
        <v>3</v>
      </c>
    </row>
    <row r="695" spans="1:8" ht="30" x14ac:dyDescent="0.25">
      <c r="A695" s="17" t="s">
        <v>1026</v>
      </c>
      <c r="B695" s="17" t="s">
        <v>1026</v>
      </c>
      <c r="C695" s="17" t="s">
        <v>271</v>
      </c>
      <c r="D695" s="17" t="s">
        <v>269</v>
      </c>
      <c r="E695" s="17">
        <v>5.2359699999999999E-4</v>
      </c>
      <c r="F695" s="6" t="s">
        <v>233</v>
      </c>
      <c r="G695" s="6" t="s">
        <v>234</v>
      </c>
      <c r="H695" s="6">
        <v>3</v>
      </c>
    </row>
    <row r="696" spans="1:8" ht="30" x14ac:dyDescent="0.25">
      <c r="A696" s="17" t="s">
        <v>1027</v>
      </c>
      <c r="B696" s="17" t="s">
        <v>1027</v>
      </c>
      <c r="C696" s="17" t="s">
        <v>271</v>
      </c>
      <c r="D696" s="17" t="s">
        <v>269</v>
      </c>
      <c r="E696" s="17">
        <v>5.2359699999999999E-4</v>
      </c>
      <c r="F696" s="6" t="s">
        <v>233</v>
      </c>
      <c r="G696" s="6" t="s">
        <v>234</v>
      </c>
      <c r="H696" s="6">
        <v>3</v>
      </c>
    </row>
    <row r="697" spans="1:8" ht="30" x14ac:dyDescent="0.25">
      <c r="A697" s="17" t="s">
        <v>1028</v>
      </c>
      <c r="B697" s="17" t="s">
        <v>1028</v>
      </c>
      <c r="C697" s="17" t="s">
        <v>271</v>
      </c>
      <c r="D697" s="17" t="s">
        <v>269</v>
      </c>
      <c r="E697" s="17">
        <v>5.2359699999999999E-4</v>
      </c>
      <c r="F697" s="6" t="s">
        <v>233</v>
      </c>
      <c r="G697" s="6" t="s">
        <v>234</v>
      </c>
      <c r="H697" s="6">
        <v>3</v>
      </c>
    </row>
    <row r="698" spans="1:8" ht="30" x14ac:dyDescent="0.25">
      <c r="A698" s="17" t="s">
        <v>1029</v>
      </c>
      <c r="B698" s="17" t="s">
        <v>1029</v>
      </c>
      <c r="C698" s="17" t="s">
        <v>271</v>
      </c>
      <c r="D698" s="17" t="s">
        <v>269</v>
      </c>
      <c r="E698" s="17">
        <v>5.2359699999999999E-4</v>
      </c>
      <c r="F698" s="6" t="s">
        <v>233</v>
      </c>
      <c r="G698" s="6" t="s">
        <v>234</v>
      </c>
      <c r="H698" s="6">
        <v>3</v>
      </c>
    </row>
    <row r="699" spans="1:8" ht="30" x14ac:dyDescent="0.25">
      <c r="A699" s="17" t="s">
        <v>1030</v>
      </c>
      <c r="B699" s="17" t="s">
        <v>1030</v>
      </c>
      <c r="C699" s="17" t="s">
        <v>271</v>
      </c>
      <c r="D699" s="17" t="s">
        <v>269</v>
      </c>
      <c r="E699" s="17">
        <v>5.2359699999999999E-4</v>
      </c>
      <c r="F699" s="6" t="s">
        <v>233</v>
      </c>
      <c r="G699" s="6" t="s">
        <v>234</v>
      </c>
      <c r="H699" s="6">
        <v>3</v>
      </c>
    </row>
    <row r="700" spans="1:8" ht="30" x14ac:dyDescent="0.25">
      <c r="A700" s="17" t="s">
        <v>1031</v>
      </c>
      <c r="B700" s="17" t="s">
        <v>1031</v>
      </c>
      <c r="C700" s="17" t="s">
        <v>271</v>
      </c>
      <c r="D700" s="17" t="s">
        <v>269</v>
      </c>
      <c r="E700" s="17">
        <v>5.2359699999999999E-4</v>
      </c>
      <c r="F700" s="6" t="s">
        <v>233</v>
      </c>
      <c r="G700" s="6" t="s">
        <v>234</v>
      </c>
      <c r="H700" s="6">
        <v>3</v>
      </c>
    </row>
    <row r="701" spans="1:8" ht="30" x14ac:dyDescent="0.25">
      <c r="A701" s="17" t="s">
        <v>1032</v>
      </c>
      <c r="B701" s="17" t="s">
        <v>1032</v>
      </c>
      <c r="C701" s="17" t="s">
        <v>271</v>
      </c>
      <c r="D701" s="17" t="s">
        <v>269</v>
      </c>
      <c r="E701" s="17">
        <v>5.2359699999999999E-4</v>
      </c>
      <c r="F701" s="6" t="s">
        <v>233</v>
      </c>
      <c r="G701" s="6" t="s">
        <v>234</v>
      </c>
      <c r="H701" s="6">
        <v>3</v>
      </c>
    </row>
    <row r="702" spans="1:8" ht="30" x14ac:dyDescent="0.25">
      <c r="A702" s="17" t="s">
        <v>1033</v>
      </c>
      <c r="B702" s="17" t="s">
        <v>1033</v>
      </c>
      <c r="C702" s="17" t="s">
        <v>271</v>
      </c>
      <c r="D702" s="17" t="s">
        <v>269</v>
      </c>
      <c r="E702" s="17">
        <v>5.2359699999999999E-4</v>
      </c>
      <c r="F702" s="6" t="s">
        <v>233</v>
      </c>
      <c r="G702" s="6" t="s">
        <v>234</v>
      </c>
      <c r="H702" s="6">
        <v>3</v>
      </c>
    </row>
    <row r="703" spans="1:8" ht="30" x14ac:dyDescent="0.25">
      <c r="A703" s="17" t="s">
        <v>1034</v>
      </c>
      <c r="B703" s="17" t="s">
        <v>1034</v>
      </c>
      <c r="C703" s="17" t="s">
        <v>238</v>
      </c>
      <c r="D703" s="17" t="s">
        <v>235</v>
      </c>
      <c r="E703" s="17">
        <v>1.022263E-3</v>
      </c>
      <c r="F703" s="6" t="s">
        <v>233</v>
      </c>
      <c r="G703" s="6" t="s">
        <v>234</v>
      </c>
      <c r="H703" s="6">
        <v>3</v>
      </c>
    </row>
    <row r="704" spans="1:8" ht="30" x14ac:dyDescent="0.25">
      <c r="A704" s="17" t="s">
        <v>1035</v>
      </c>
      <c r="B704" s="17" t="s">
        <v>1035</v>
      </c>
      <c r="C704" s="17" t="s">
        <v>271</v>
      </c>
      <c r="D704" s="17" t="s">
        <v>269</v>
      </c>
      <c r="E704" s="17">
        <v>5.2359699999999999E-4</v>
      </c>
      <c r="F704" s="6" t="s">
        <v>233</v>
      </c>
      <c r="G704" s="6" t="s">
        <v>234</v>
      </c>
      <c r="H704" s="6">
        <v>3</v>
      </c>
    </row>
    <row r="705" spans="1:8" ht="30" x14ac:dyDescent="0.25">
      <c r="A705" s="17" t="s">
        <v>1036</v>
      </c>
      <c r="B705" s="17" t="s">
        <v>1036</v>
      </c>
      <c r="C705" s="17" t="s">
        <v>256</v>
      </c>
      <c r="D705" s="17" t="s">
        <v>254</v>
      </c>
      <c r="E705" s="17">
        <v>8.1312799999999998E-4</v>
      </c>
      <c r="F705" s="6" t="s">
        <v>233</v>
      </c>
      <c r="G705" s="6" t="s">
        <v>234</v>
      </c>
      <c r="H705" s="6">
        <v>3</v>
      </c>
    </row>
    <row r="706" spans="1:8" ht="30" x14ac:dyDescent="0.25">
      <c r="A706" s="17" t="s">
        <v>1037</v>
      </c>
      <c r="B706" s="17" t="s">
        <v>1037</v>
      </c>
      <c r="C706" s="17" t="s">
        <v>256</v>
      </c>
      <c r="D706" s="17" t="s">
        <v>254</v>
      </c>
      <c r="E706" s="17">
        <v>8.1312799999999998E-4</v>
      </c>
      <c r="F706" s="6" t="s">
        <v>233</v>
      </c>
      <c r="G706" s="6" t="s">
        <v>234</v>
      </c>
      <c r="H706" s="6">
        <v>3</v>
      </c>
    </row>
    <row r="707" spans="1:8" ht="30" x14ac:dyDescent="0.25">
      <c r="A707" s="17" t="s">
        <v>1038</v>
      </c>
      <c r="B707" s="17" t="s">
        <v>1038</v>
      </c>
      <c r="C707" s="17" t="s">
        <v>250</v>
      </c>
      <c r="D707" s="17" t="s">
        <v>248</v>
      </c>
      <c r="E707" s="17">
        <v>4.3868599999999998E-4</v>
      </c>
      <c r="F707" s="6" t="s">
        <v>233</v>
      </c>
      <c r="G707" s="6" t="s">
        <v>234</v>
      </c>
      <c r="H707" s="6">
        <v>3</v>
      </c>
    </row>
    <row r="708" spans="1:8" ht="30" x14ac:dyDescent="0.25">
      <c r="A708" s="17" t="s">
        <v>1039</v>
      </c>
      <c r="B708" s="17" t="s">
        <v>1039</v>
      </c>
      <c r="C708" s="17" t="s">
        <v>256</v>
      </c>
      <c r="D708" s="17" t="s">
        <v>254</v>
      </c>
      <c r="E708" s="17">
        <v>8.1312799999999998E-4</v>
      </c>
      <c r="F708" s="6" t="s">
        <v>233</v>
      </c>
      <c r="G708" s="6" t="s">
        <v>234</v>
      </c>
      <c r="H708" s="6">
        <v>3</v>
      </c>
    </row>
    <row r="709" spans="1:8" ht="30" x14ac:dyDescent="0.25">
      <c r="A709" s="17" t="s">
        <v>1040</v>
      </c>
      <c r="B709" s="17" t="s">
        <v>1040</v>
      </c>
      <c r="C709" s="17" t="s">
        <v>256</v>
      </c>
      <c r="D709" s="17" t="s">
        <v>254</v>
      </c>
      <c r="E709" s="17">
        <v>8.1312799999999998E-4</v>
      </c>
      <c r="F709" s="6" t="s">
        <v>233</v>
      </c>
      <c r="G709" s="6" t="s">
        <v>234</v>
      </c>
      <c r="H709" s="6">
        <v>3</v>
      </c>
    </row>
    <row r="710" spans="1:8" ht="30" x14ac:dyDescent="0.25">
      <c r="A710" s="17" t="s">
        <v>1041</v>
      </c>
      <c r="B710" s="17" t="s">
        <v>1041</v>
      </c>
      <c r="C710" s="17" t="s">
        <v>256</v>
      </c>
      <c r="D710" s="17" t="s">
        <v>254</v>
      </c>
      <c r="E710" s="17">
        <v>8.1312799999999998E-4</v>
      </c>
      <c r="F710" s="6" t="s">
        <v>233</v>
      </c>
      <c r="G710" s="6" t="s">
        <v>234</v>
      </c>
      <c r="H710" s="6">
        <v>3</v>
      </c>
    </row>
    <row r="711" spans="1:8" ht="30" x14ac:dyDescent="0.25">
      <c r="A711" s="17" t="s">
        <v>1042</v>
      </c>
      <c r="B711" s="17" t="s">
        <v>1042</v>
      </c>
      <c r="C711" s="17" t="s">
        <v>247</v>
      </c>
      <c r="D711" s="17" t="s">
        <v>245</v>
      </c>
      <c r="E711" s="17">
        <v>1.0475809999999999E-3</v>
      </c>
      <c r="F711" s="6" t="s">
        <v>233</v>
      </c>
      <c r="G711" s="6" t="s">
        <v>234</v>
      </c>
      <c r="H711" s="6">
        <v>3</v>
      </c>
    </row>
    <row r="712" spans="1:8" ht="30" x14ac:dyDescent="0.25">
      <c r="A712" s="17" t="s">
        <v>1043</v>
      </c>
      <c r="B712" s="17" t="s">
        <v>1043</v>
      </c>
      <c r="C712" s="17" t="s">
        <v>271</v>
      </c>
      <c r="D712" s="17" t="s">
        <v>269</v>
      </c>
      <c r="E712" s="17">
        <v>5.2359699999999999E-4</v>
      </c>
      <c r="F712" s="6" t="s">
        <v>233</v>
      </c>
      <c r="G712" s="6" t="s">
        <v>234</v>
      </c>
      <c r="H712" s="6">
        <v>3</v>
      </c>
    </row>
    <row r="713" spans="1:8" ht="30" x14ac:dyDescent="0.25">
      <c r="A713" s="17" t="s">
        <v>1044</v>
      </c>
      <c r="B713" s="17" t="s">
        <v>1044</v>
      </c>
      <c r="C713" s="17" t="s">
        <v>256</v>
      </c>
      <c r="D713" s="17" t="s">
        <v>254</v>
      </c>
      <c r="E713" s="17">
        <v>8.1312799999999998E-4</v>
      </c>
      <c r="F713" s="6" t="s">
        <v>233</v>
      </c>
      <c r="G713" s="6" t="s">
        <v>234</v>
      </c>
      <c r="H713" s="6">
        <v>3</v>
      </c>
    </row>
    <row r="714" spans="1:8" ht="30" x14ac:dyDescent="0.25">
      <c r="A714" s="17" t="s">
        <v>1045</v>
      </c>
      <c r="B714" s="17" t="s">
        <v>1045</v>
      </c>
      <c r="C714" s="17" t="s">
        <v>250</v>
      </c>
      <c r="D714" s="17" t="s">
        <v>248</v>
      </c>
      <c r="E714" s="17">
        <v>4.3868599999999998E-4</v>
      </c>
      <c r="F714" s="6" t="s">
        <v>233</v>
      </c>
      <c r="G714" s="6" t="s">
        <v>234</v>
      </c>
      <c r="H714" s="6">
        <v>3</v>
      </c>
    </row>
    <row r="715" spans="1:8" ht="30" x14ac:dyDescent="0.25">
      <c r="A715" s="17" t="s">
        <v>1046</v>
      </c>
      <c r="B715" s="17" t="s">
        <v>1046</v>
      </c>
      <c r="C715" s="17" t="s">
        <v>244</v>
      </c>
      <c r="D715" s="17" t="s">
        <v>242</v>
      </c>
      <c r="E715" s="17">
        <v>5.4284299999999999E-4</v>
      </c>
      <c r="F715" s="6" t="s">
        <v>233</v>
      </c>
      <c r="G715" s="6" t="s">
        <v>234</v>
      </c>
      <c r="H715" s="6">
        <v>3</v>
      </c>
    </row>
    <row r="716" spans="1:8" ht="45" x14ac:dyDescent="0.25">
      <c r="A716" s="17" t="s">
        <v>1047</v>
      </c>
      <c r="B716" s="17" t="s">
        <v>1047</v>
      </c>
      <c r="C716" s="17" t="s">
        <v>247</v>
      </c>
      <c r="D716" s="17" t="s">
        <v>245</v>
      </c>
      <c r="E716" s="17">
        <v>1.0475809999999999E-3</v>
      </c>
      <c r="F716" s="6" t="s">
        <v>233</v>
      </c>
      <c r="G716" s="6" t="s">
        <v>234</v>
      </c>
      <c r="H716" s="6">
        <v>3</v>
      </c>
    </row>
    <row r="717" spans="1:8" ht="30" x14ac:dyDescent="0.25">
      <c r="A717" s="17" t="s">
        <v>1048</v>
      </c>
      <c r="B717" s="17" t="s">
        <v>1048</v>
      </c>
      <c r="C717" s="17" t="s">
        <v>274</v>
      </c>
      <c r="D717" s="17" t="s">
        <v>272</v>
      </c>
      <c r="E717" s="17">
        <v>6.1713999999999996E-4</v>
      </c>
      <c r="F717" s="6" t="s">
        <v>233</v>
      </c>
      <c r="G717" s="6" t="s">
        <v>234</v>
      </c>
      <c r="H717" s="6">
        <v>3</v>
      </c>
    </row>
    <row r="718" spans="1:8" ht="30" x14ac:dyDescent="0.25">
      <c r="A718" s="17" t="s">
        <v>1049</v>
      </c>
      <c r="B718" s="17" t="s">
        <v>1049</v>
      </c>
      <c r="C718" s="17" t="s">
        <v>247</v>
      </c>
      <c r="D718" s="17" t="s">
        <v>245</v>
      </c>
      <c r="E718" s="17">
        <v>1.0475809999999999E-3</v>
      </c>
      <c r="F718" s="6" t="s">
        <v>233</v>
      </c>
      <c r="G718" s="6" t="s">
        <v>234</v>
      </c>
      <c r="H718" s="6">
        <v>3</v>
      </c>
    </row>
    <row r="719" spans="1:8" ht="45" x14ac:dyDescent="0.25">
      <c r="A719" s="17" t="s">
        <v>1050</v>
      </c>
      <c r="B719" s="17" t="s">
        <v>1050</v>
      </c>
      <c r="C719" s="17" t="s">
        <v>250</v>
      </c>
      <c r="D719" s="17" t="s">
        <v>248</v>
      </c>
      <c r="E719" s="17">
        <v>4.3868599999999998E-4</v>
      </c>
      <c r="F719" s="6" t="s">
        <v>233</v>
      </c>
      <c r="G719" s="6" t="s">
        <v>234</v>
      </c>
      <c r="H719" s="6">
        <v>3</v>
      </c>
    </row>
    <row r="720" spans="1:8" ht="30" x14ac:dyDescent="0.25">
      <c r="A720" s="17" t="s">
        <v>1051</v>
      </c>
      <c r="B720" s="17" t="s">
        <v>1051</v>
      </c>
      <c r="C720" s="17" t="s">
        <v>247</v>
      </c>
      <c r="D720" s="17" t="s">
        <v>245</v>
      </c>
      <c r="E720" s="17">
        <v>1.0475809999999999E-3</v>
      </c>
      <c r="F720" s="6" t="s">
        <v>233</v>
      </c>
      <c r="G720" s="6" t="s">
        <v>234</v>
      </c>
      <c r="H720" s="6">
        <v>3</v>
      </c>
    </row>
    <row r="721" spans="1:8" ht="30" x14ac:dyDescent="0.25">
      <c r="A721" s="17" t="s">
        <v>1052</v>
      </c>
      <c r="B721" s="17" t="s">
        <v>1052</v>
      </c>
      <c r="C721" s="17" t="s">
        <v>247</v>
      </c>
      <c r="D721" s="17" t="s">
        <v>245</v>
      </c>
      <c r="E721" s="17">
        <v>1.0475809999999999E-3</v>
      </c>
      <c r="F721" s="6" t="s">
        <v>233</v>
      </c>
      <c r="G721" s="6" t="s">
        <v>234</v>
      </c>
      <c r="H721" s="6">
        <v>3</v>
      </c>
    </row>
    <row r="722" spans="1:8" ht="30" x14ac:dyDescent="0.25">
      <c r="A722" s="17" t="s">
        <v>1053</v>
      </c>
      <c r="B722" s="17" t="s">
        <v>1053</v>
      </c>
      <c r="C722" s="17" t="s">
        <v>256</v>
      </c>
      <c r="D722" s="17" t="s">
        <v>254</v>
      </c>
      <c r="E722" s="17">
        <v>8.1312799999999998E-4</v>
      </c>
      <c r="F722" s="6" t="s">
        <v>233</v>
      </c>
      <c r="G722" s="6" t="s">
        <v>234</v>
      </c>
      <c r="H722" s="6">
        <v>3</v>
      </c>
    </row>
    <row r="723" spans="1:8" ht="30" x14ac:dyDescent="0.25">
      <c r="A723" s="17" t="s">
        <v>1054</v>
      </c>
      <c r="B723" s="17" t="s">
        <v>1054</v>
      </c>
      <c r="C723" s="17" t="s">
        <v>250</v>
      </c>
      <c r="D723" s="17" t="s">
        <v>248</v>
      </c>
      <c r="E723" s="17">
        <v>4.3868599999999998E-4</v>
      </c>
      <c r="F723" s="6" t="s">
        <v>233</v>
      </c>
      <c r="G723" s="6" t="s">
        <v>234</v>
      </c>
      <c r="H723" s="6">
        <v>3</v>
      </c>
    </row>
    <row r="724" spans="1:8" ht="30" x14ac:dyDescent="0.25">
      <c r="A724" s="17" t="s">
        <v>1055</v>
      </c>
      <c r="B724" s="17" t="s">
        <v>1055</v>
      </c>
      <c r="C724" s="17" t="s">
        <v>265</v>
      </c>
      <c r="D724" s="17" t="s">
        <v>263</v>
      </c>
      <c r="E724" s="17">
        <v>3.0449399999999999E-4</v>
      </c>
      <c r="F724" s="6" t="s">
        <v>233</v>
      </c>
      <c r="G724" s="6" t="s">
        <v>234</v>
      </c>
      <c r="H724" s="6">
        <v>3</v>
      </c>
    </row>
    <row r="725" spans="1:8" ht="30" x14ac:dyDescent="0.25">
      <c r="A725" s="17" t="s">
        <v>1056</v>
      </c>
      <c r="B725" s="17" t="s">
        <v>1056</v>
      </c>
      <c r="C725" s="17" t="s">
        <v>265</v>
      </c>
      <c r="D725" s="17" t="s">
        <v>263</v>
      </c>
      <c r="E725" s="17">
        <v>3.0449399999999999E-4</v>
      </c>
      <c r="F725" s="6" t="s">
        <v>233</v>
      </c>
      <c r="G725" s="6" t="s">
        <v>234</v>
      </c>
      <c r="H725" s="6">
        <v>3</v>
      </c>
    </row>
    <row r="726" spans="1:8" ht="30" x14ac:dyDescent="0.25">
      <c r="A726" s="17" t="s">
        <v>1057</v>
      </c>
      <c r="B726" s="17" t="s">
        <v>1057</v>
      </c>
      <c r="C726" s="17" t="s">
        <v>256</v>
      </c>
      <c r="D726" s="17" t="s">
        <v>254</v>
      </c>
      <c r="E726" s="17">
        <v>8.1312799999999998E-4</v>
      </c>
      <c r="F726" s="6" t="s">
        <v>233</v>
      </c>
      <c r="G726" s="6" t="s">
        <v>234</v>
      </c>
      <c r="H726" s="6">
        <v>3</v>
      </c>
    </row>
    <row r="727" spans="1:8" ht="30" x14ac:dyDescent="0.25">
      <c r="A727" s="17" t="s">
        <v>1058</v>
      </c>
      <c r="B727" s="17" t="s">
        <v>1058</v>
      </c>
      <c r="C727" s="17" t="s">
        <v>247</v>
      </c>
      <c r="D727" s="17" t="s">
        <v>245</v>
      </c>
      <c r="E727" s="17">
        <v>1.0475809999999999E-3</v>
      </c>
      <c r="F727" s="6" t="s">
        <v>233</v>
      </c>
      <c r="G727" s="6" t="s">
        <v>234</v>
      </c>
      <c r="H727" s="6">
        <v>3</v>
      </c>
    </row>
    <row r="728" spans="1:8" ht="30" x14ac:dyDescent="0.25">
      <c r="A728" s="17" t="s">
        <v>1059</v>
      </c>
      <c r="B728" s="17" t="s">
        <v>1059</v>
      </c>
      <c r="C728" s="17" t="s">
        <v>256</v>
      </c>
      <c r="D728" s="17" t="s">
        <v>254</v>
      </c>
      <c r="E728" s="17">
        <v>8.1312799999999998E-4</v>
      </c>
      <c r="F728" s="6" t="s">
        <v>233</v>
      </c>
      <c r="G728" s="6" t="s">
        <v>234</v>
      </c>
      <c r="H728" s="6">
        <v>3</v>
      </c>
    </row>
    <row r="729" spans="1:8" ht="30" x14ac:dyDescent="0.25">
      <c r="A729" s="17" t="s">
        <v>1060</v>
      </c>
      <c r="B729" s="17" t="s">
        <v>1060</v>
      </c>
      <c r="C729" s="17" t="s">
        <v>271</v>
      </c>
      <c r="D729" s="17" t="s">
        <v>269</v>
      </c>
      <c r="E729" s="17">
        <v>5.2359699999999999E-4</v>
      </c>
      <c r="F729" s="6" t="s">
        <v>233</v>
      </c>
      <c r="G729" s="6" t="s">
        <v>234</v>
      </c>
      <c r="H729" s="6">
        <v>3</v>
      </c>
    </row>
    <row r="730" spans="1:8" ht="30" x14ac:dyDescent="0.25">
      <c r="A730" s="17" t="s">
        <v>1061</v>
      </c>
      <c r="B730" s="17" t="s">
        <v>1061</v>
      </c>
      <c r="C730" s="17" t="s">
        <v>256</v>
      </c>
      <c r="D730" s="17" t="s">
        <v>254</v>
      </c>
      <c r="E730" s="17">
        <v>8.1312799999999998E-4</v>
      </c>
      <c r="F730" s="6" t="s">
        <v>233</v>
      </c>
      <c r="G730" s="6" t="s">
        <v>234</v>
      </c>
      <c r="H730" s="6">
        <v>3</v>
      </c>
    </row>
    <row r="731" spans="1:8" ht="30" x14ac:dyDescent="0.25">
      <c r="A731" s="17" t="s">
        <v>1062</v>
      </c>
      <c r="B731" s="17" t="s">
        <v>1062</v>
      </c>
      <c r="C731" s="17" t="s">
        <v>256</v>
      </c>
      <c r="D731" s="17" t="s">
        <v>254</v>
      </c>
      <c r="E731" s="17">
        <v>8.1312799999999998E-4</v>
      </c>
      <c r="F731" s="6" t="s">
        <v>233</v>
      </c>
      <c r="G731" s="6" t="s">
        <v>234</v>
      </c>
      <c r="H731" s="6">
        <v>3</v>
      </c>
    </row>
    <row r="732" spans="1:8" ht="30" x14ac:dyDescent="0.25">
      <c r="A732" s="17" t="s">
        <v>1063</v>
      </c>
      <c r="B732" s="17" t="s">
        <v>1063</v>
      </c>
      <c r="C732" s="17" t="s">
        <v>413</v>
      </c>
      <c r="D732" s="17" t="s">
        <v>414</v>
      </c>
      <c r="E732" s="17">
        <v>3.1322199999999999E-4</v>
      </c>
      <c r="F732" s="6" t="s">
        <v>233</v>
      </c>
      <c r="G732" s="6" t="s">
        <v>234</v>
      </c>
      <c r="H732" s="6">
        <v>3</v>
      </c>
    </row>
    <row r="733" spans="1:8" ht="30" x14ac:dyDescent="0.25">
      <c r="A733" s="17" t="s">
        <v>1064</v>
      </c>
      <c r="B733" s="17" t="s">
        <v>1064</v>
      </c>
      <c r="C733" s="17" t="s">
        <v>301</v>
      </c>
      <c r="D733" s="17" t="s">
        <v>299</v>
      </c>
      <c r="E733" s="17">
        <v>6.3590900000000004E-4</v>
      </c>
      <c r="F733" s="6" t="s">
        <v>233</v>
      </c>
      <c r="G733" s="6" t="s">
        <v>234</v>
      </c>
      <c r="H733" s="6">
        <v>3</v>
      </c>
    </row>
    <row r="734" spans="1:8" ht="30" x14ac:dyDescent="0.25">
      <c r="A734" s="17" t="s">
        <v>1065</v>
      </c>
      <c r="B734" s="17" t="s">
        <v>1065</v>
      </c>
      <c r="C734" s="17" t="s">
        <v>247</v>
      </c>
      <c r="D734" s="17" t="s">
        <v>245</v>
      </c>
      <c r="E734" s="17">
        <v>1.0475809999999999E-3</v>
      </c>
      <c r="F734" s="6" t="s">
        <v>233</v>
      </c>
      <c r="G734" s="6" t="s">
        <v>234</v>
      </c>
      <c r="H734" s="6">
        <v>3</v>
      </c>
    </row>
    <row r="735" spans="1:8" ht="30" x14ac:dyDescent="0.25">
      <c r="A735" s="17" t="s">
        <v>1066</v>
      </c>
      <c r="B735" s="17" t="s">
        <v>1066</v>
      </c>
      <c r="C735" s="17" t="s">
        <v>256</v>
      </c>
      <c r="D735" s="17" t="s">
        <v>254</v>
      </c>
      <c r="E735" s="17">
        <v>8.1312799999999998E-4</v>
      </c>
      <c r="F735" s="6" t="s">
        <v>233</v>
      </c>
      <c r="G735" s="6" t="s">
        <v>234</v>
      </c>
      <c r="H735" s="6">
        <v>3</v>
      </c>
    </row>
    <row r="736" spans="1:8" ht="30" x14ac:dyDescent="0.25">
      <c r="A736" s="17" t="s">
        <v>1067</v>
      </c>
      <c r="B736" s="17" t="s">
        <v>1067</v>
      </c>
      <c r="C736" s="17" t="s">
        <v>315</v>
      </c>
      <c r="D736" s="17" t="s">
        <v>374</v>
      </c>
      <c r="E736" s="17">
        <v>1.75E-3</v>
      </c>
      <c r="F736" s="6" t="s">
        <v>233</v>
      </c>
      <c r="G736" s="6" t="s">
        <v>234</v>
      </c>
      <c r="H736" s="6">
        <v>3</v>
      </c>
    </row>
    <row r="737" spans="1:8" ht="30" x14ac:dyDescent="0.25">
      <c r="A737" s="17" t="s">
        <v>1068</v>
      </c>
      <c r="B737" s="17" t="s">
        <v>1068</v>
      </c>
      <c r="C737" s="17" t="s">
        <v>271</v>
      </c>
      <c r="D737" s="17" t="s">
        <v>269</v>
      </c>
      <c r="E737" s="17">
        <v>5.2359699999999999E-4</v>
      </c>
      <c r="F737" s="6" t="s">
        <v>233</v>
      </c>
      <c r="G737" s="6" t="s">
        <v>234</v>
      </c>
      <c r="H737" s="6">
        <v>3</v>
      </c>
    </row>
    <row r="738" spans="1:8" ht="30" x14ac:dyDescent="0.25">
      <c r="A738" s="17" t="s">
        <v>1069</v>
      </c>
      <c r="B738" s="17" t="s">
        <v>1069</v>
      </c>
      <c r="C738" s="17" t="s">
        <v>271</v>
      </c>
      <c r="D738" s="17" t="s">
        <v>269</v>
      </c>
      <c r="E738" s="17">
        <v>5.2359699999999999E-4</v>
      </c>
      <c r="F738" s="6" t="s">
        <v>233</v>
      </c>
      <c r="G738" s="6" t="s">
        <v>234</v>
      </c>
      <c r="H738" s="6">
        <v>3</v>
      </c>
    </row>
    <row r="739" spans="1:8" ht="30" x14ac:dyDescent="0.25">
      <c r="A739" s="17" t="s">
        <v>1070</v>
      </c>
      <c r="B739" s="17" t="s">
        <v>1070</v>
      </c>
      <c r="C739" s="17" t="s">
        <v>256</v>
      </c>
      <c r="D739" s="17" t="s">
        <v>254</v>
      </c>
      <c r="E739" s="17">
        <v>8.1312799999999998E-4</v>
      </c>
      <c r="F739" s="6" t="s">
        <v>233</v>
      </c>
      <c r="G739" s="6" t="s">
        <v>234</v>
      </c>
      <c r="H739" s="6">
        <v>3</v>
      </c>
    </row>
    <row r="740" spans="1:8" ht="30" x14ac:dyDescent="0.25">
      <c r="A740" s="17" t="s">
        <v>1071</v>
      </c>
      <c r="B740" s="17" t="s">
        <v>1071</v>
      </c>
      <c r="C740" s="17" t="s">
        <v>256</v>
      </c>
      <c r="D740" s="17" t="s">
        <v>254</v>
      </c>
      <c r="E740" s="17">
        <v>8.1312799999999998E-4</v>
      </c>
      <c r="F740" s="6" t="s">
        <v>233</v>
      </c>
      <c r="G740" s="6" t="s">
        <v>234</v>
      </c>
      <c r="H740" s="6">
        <v>3</v>
      </c>
    </row>
    <row r="741" spans="1:8" ht="30" x14ac:dyDescent="0.25">
      <c r="A741" s="17" t="s">
        <v>1072</v>
      </c>
      <c r="B741" s="17" t="s">
        <v>1072</v>
      </c>
      <c r="C741" s="17" t="s">
        <v>262</v>
      </c>
      <c r="D741" s="17" t="s">
        <v>260</v>
      </c>
      <c r="E741" s="17">
        <v>8.4137000000000003E-4</v>
      </c>
      <c r="F741" s="6" t="s">
        <v>233</v>
      </c>
      <c r="G741" s="6" t="s">
        <v>234</v>
      </c>
      <c r="H741" s="6">
        <v>3</v>
      </c>
    </row>
    <row r="742" spans="1:8" ht="30" x14ac:dyDescent="0.25">
      <c r="A742" s="17" t="s">
        <v>1073</v>
      </c>
      <c r="B742" s="17" t="s">
        <v>1073</v>
      </c>
      <c r="C742" s="17" t="s">
        <v>271</v>
      </c>
      <c r="D742" s="17" t="s">
        <v>269</v>
      </c>
      <c r="E742" s="17">
        <v>5.2359699999999999E-4</v>
      </c>
      <c r="F742" s="6" t="s">
        <v>233</v>
      </c>
      <c r="G742" s="6" t="s">
        <v>234</v>
      </c>
      <c r="H742" s="6">
        <v>3</v>
      </c>
    </row>
    <row r="743" spans="1:8" ht="30" x14ac:dyDescent="0.25">
      <c r="A743" s="17" t="s">
        <v>1074</v>
      </c>
      <c r="B743" s="17" t="s">
        <v>1074</v>
      </c>
      <c r="C743" s="17" t="s">
        <v>247</v>
      </c>
      <c r="D743" s="17" t="s">
        <v>245</v>
      </c>
      <c r="E743" s="17">
        <v>1.0475809999999999E-3</v>
      </c>
      <c r="F743" s="6" t="s">
        <v>233</v>
      </c>
      <c r="G743" s="6" t="s">
        <v>234</v>
      </c>
      <c r="H743" s="6">
        <v>3</v>
      </c>
    </row>
    <row r="744" spans="1:8" ht="30" x14ac:dyDescent="0.25">
      <c r="A744" s="17" t="s">
        <v>1075</v>
      </c>
      <c r="B744" s="17" t="s">
        <v>1075</v>
      </c>
      <c r="C744" s="17" t="s">
        <v>247</v>
      </c>
      <c r="D744" s="17" t="s">
        <v>245</v>
      </c>
      <c r="E744" s="17">
        <v>1.0475809999999999E-3</v>
      </c>
      <c r="F744" s="6" t="s">
        <v>233</v>
      </c>
      <c r="G744" s="6" t="s">
        <v>234</v>
      </c>
      <c r="H744" s="6">
        <v>3</v>
      </c>
    </row>
    <row r="745" spans="1:8" ht="30" x14ac:dyDescent="0.25">
      <c r="A745" s="17" t="s">
        <v>1075</v>
      </c>
      <c r="B745" s="17" t="s">
        <v>1075</v>
      </c>
      <c r="C745" s="17" t="s">
        <v>247</v>
      </c>
      <c r="D745" s="17" t="s">
        <v>245</v>
      </c>
      <c r="E745" s="17">
        <v>1.0475809999999999E-3</v>
      </c>
      <c r="F745" s="6" t="s">
        <v>233</v>
      </c>
      <c r="G745" s="6" t="s">
        <v>234</v>
      </c>
      <c r="H745" s="6">
        <v>3</v>
      </c>
    </row>
    <row r="746" spans="1:8" ht="30" x14ac:dyDescent="0.25">
      <c r="A746" s="17" t="s">
        <v>1074</v>
      </c>
      <c r="B746" s="17" t="s">
        <v>1074</v>
      </c>
      <c r="C746" s="17" t="s">
        <v>247</v>
      </c>
      <c r="D746" s="17" t="s">
        <v>245</v>
      </c>
      <c r="E746" s="17">
        <v>1.0475809999999999E-3</v>
      </c>
      <c r="F746" s="6" t="s">
        <v>233</v>
      </c>
      <c r="G746" s="6" t="s">
        <v>234</v>
      </c>
      <c r="H746" s="6">
        <v>3</v>
      </c>
    </row>
    <row r="747" spans="1:8" ht="30" x14ac:dyDescent="0.25">
      <c r="A747" s="17" t="s">
        <v>1076</v>
      </c>
      <c r="B747" s="17" t="s">
        <v>1076</v>
      </c>
      <c r="C747" s="17" t="s">
        <v>247</v>
      </c>
      <c r="D747" s="17" t="s">
        <v>245</v>
      </c>
      <c r="E747" s="17">
        <v>1.0475809999999999E-3</v>
      </c>
      <c r="F747" s="6" t="s">
        <v>233</v>
      </c>
      <c r="G747" s="6" t="s">
        <v>234</v>
      </c>
      <c r="H747" s="6">
        <v>3</v>
      </c>
    </row>
    <row r="748" spans="1:8" ht="30" x14ac:dyDescent="0.25">
      <c r="A748" s="17" t="s">
        <v>1077</v>
      </c>
      <c r="B748" s="17" t="s">
        <v>1077</v>
      </c>
      <c r="C748" s="17" t="s">
        <v>247</v>
      </c>
      <c r="D748" s="17" t="s">
        <v>245</v>
      </c>
      <c r="E748" s="17">
        <v>1.0475809999999999E-3</v>
      </c>
      <c r="F748" s="6" t="s">
        <v>233</v>
      </c>
      <c r="G748" s="6" t="s">
        <v>234</v>
      </c>
      <c r="H748" s="6">
        <v>3</v>
      </c>
    </row>
    <row r="749" spans="1:8" ht="30" x14ac:dyDescent="0.25">
      <c r="A749" s="17" t="s">
        <v>1078</v>
      </c>
      <c r="B749" s="17" t="s">
        <v>1078</v>
      </c>
      <c r="C749" s="17" t="s">
        <v>247</v>
      </c>
      <c r="D749" s="17" t="s">
        <v>245</v>
      </c>
      <c r="E749" s="17">
        <v>1.0475809999999999E-3</v>
      </c>
      <c r="F749" s="6" t="s">
        <v>233</v>
      </c>
      <c r="G749" s="6" t="s">
        <v>234</v>
      </c>
      <c r="H749" s="6">
        <v>3</v>
      </c>
    </row>
    <row r="750" spans="1:8" ht="30" x14ac:dyDescent="0.25">
      <c r="A750" s="17" t="s">
        <v>1079</v>
      </c>
      <c r="B750" s="17" t="s">
        <v>1079</v>
      </c>
      <c r="C750" s="17" t="s">
        <v>271</v>
      </c>
      <c r="D750" s="17" t="s">
        <v>269</v>
      </c>
      <c r="E750" s="17">
        <v>5.2359699999999999E-4</v>
      </c>
      <c r="F750" s="6" t="s">
        <v>233</v>
      </c>
      <c r="G750" s="6" t="s">
        <v>234</v>
      </c>
      <c r="H750" s="6">
        <v>3</v>
      </c>
    </row>
    <row r="751" spans="1:8" ht="30" x14ac:dyDescent="0.25">
      <c r="A751" s="17" t="s">
        <v>1080</v>
      </c>
      <c r="B751" s="17" t="s">
        <v>1080</v>
      </c>
      <c r="C751" s="17" t="s">
        <v>271</v>
      </c>
      <c r="D751" s="17" t="s">
        <v>269</v>
      </c>
      <c r="E751" s="17">
        <v>5.2359699999999999E-4</v>
      </c>
      <c r="F751" s="6" t="s">
        <v>233</v>
      </c>
      <c r="G751" s="6" t="s">
        <v>234</v>
      </c>
      <c r="H751" s="6">
        <v>3</v>
      </c>
    </row>
    <row r="752" spans="1:8" ht="30" x14ac:dyDescent="0.25">
      <c r="A752" s="17" t="s">
        <v>1077</v>
      </c>
      <c r="B752" s="17" t="s">
        <v>1077</v>
      </c>
      <c r="C752" s="17" t="s">
        <v>247</v>
      </c>
      <c r="D752" s="17" t="s">
        <v>245</v>
      </c>
      <c r="E752" s="17">
        <v>1.0475809999999999E-3</v>
      </c>
      <c r="F752" s="6" t="s">
        <v>233</v>
      </c>
      <c r="G752" s="6" t="s">
        <v>234</v>
      </c>
      <c r="H752" s="6">
        <v>3</v>
      </c>
    </row>
    <row r="753" spans="1:8" ht="30" x14ac:dyDescent="0.25">
      <c r="A753" s="17" t="s">
        <v>1081</v>
      </c>
      <c r="B753" s="17" t="s">
        <v>1081</v>
      </c>
      <c r="C753" s="17" t="s">
        <v>238</v>
      </c>
      <c r="D753" s="17" t="s">
        <v>235</v>
      </c>
      <c r="E753" s="17">
        <v>1.022263E-3</v>
      </c>
      <c r="F753" s="6" t="s">
        <v>233</v>
      </c>
      <c r="G753" s="6" t="s">
        <v>234</v>
      </c>
      <c r="H753" s="6">
        <v>3</v>
      </c>
    </row>
    <row r="754" spans="1:8" ht="30" x14ac:dyDescent="0.25">
      <c r="A754" s="17" t="s">
        <v>1082</v>
      </c>
      <c r="B754" s="17" t="s">
        <v>1082</v>
      </c>
      <c r="C754" s="17" t="s">
        <v>238</v>
      </c>
      <c r="D754" s="17" t="s">
        <v>235</v>
      </c>
      <c r="E754" s="17">
        <v>1.022263E-3</v>
      </c>
      <c r="F754" s="6" t="s">
        <v>233</v>
      </c>
      <c r="G754" s="6" t="s">
        <v>234</v>
      </c>
      <c r="H754" s="6">
        <v>3</v>
      </c>
    </row>
    <row r="755" spans="1:8" ht="30" x14ac:dyDescent="0.25">
      <c r="A755" s="17" t="s">
        <v>1083</v>
      </c>
      <c r="B755" s="17" t="s">
        <v>1083</v>
      </c>
      <c r="C755" s="17" t="s">
        <v>280</v>
      </c>
      <c r="D755" s="17" t="s">
        <v>278</v>
      </c>
      <c r="E755" s="17">
        <v>6.2829699999999999E-4</v>
      </c>
      <c r="F755" s="6" t="s">
        <v>233</v>
      </c>
      <c r="G755" s="6" t="s">
        <v>234</v>
      </c>
      <c r="H755" s="6">
        <v>3</v>
      </c>
    </row>
    <row r="756" spans="1:8" ht="30" x14ac:dyDescent="0.25">
      <c r="A756" s="17" t="s">
        <v>1084</v>
      </c>
      <c r="B756" s="17" t="s">
        <v>1084</v>
      </c>
      <c r="C756" s="17" t="s">
        <v>271</v>
      </c>
      <c r="D756" s="17" t="s">
        <v>269</v>
      </c>
      <c r="E756" s="17">
        <v>5.2359699999999999E-4</v>
      </c>
      <c r="F756" s="6" t="s">
        <v>233</v>
      </c>
      <c r="G756" s="6" t="s">
        <v>234</v>
      </c>
      <c r="H756" s="6">
        <v>3</v>
      </c>
    </row>
    <row r="757" spans="1:8" ht="30" x14ac:dyDescent="0.25">
      <c r="A757" s="17" t="s">
        <v>1085</v>
      </c>
      <c r="B757" s="17" t="s">
        <v>1085</v>
      </c>
      <c r="C757" s="17" t="s">
        <v>346</v>
      </c>
      <c r="D757" s="17" t="s">
        <v>347</v>
      </c>
      <c r="E757" s="17">
        <v>2.10657E-4</v>
      </c>
      <c r="F757" s="6" t="s">
        <v>233</v>
      </c>
      <c r="G757" s="6" t="s">
        <v>234</v>
      </c>
      <c r="H757" s="6">
        <v>3</v>
      </c>
    </row>
    <row r="758" spans="1:8" ht="30" x14ac:dyDescent="0.25">
      <c r="A758" s="17" t="s">
        <v>1086</v>
      </c>
      <c r="B758" s="17" t="s">
        <v>1086</v>
      </c>
      <c r="C758" s="17" t="s">
        <v>256</v>
      </c>
      <c r="D758" s="17" t="s">
        <v>254</v>
      </c>
      <c r="E758" s="17">
        <v>8.1312799999999998E-4</v>
      </c>
      <c r="F758" s="6" t="s">
        <v>233</v>
      </c>
      <c r="G758" s="6" t="s">
        <v>234</v>
      </c>
      <c r="H758" s="6">
        <v>3</v>
      </c>
    </row>
    <row r="759" spans="1:8" ht="30" x14ac:dyDescent="0.25">
      <c r="A759" s="17" t="s">
        <v>1087</v>
      </c>
      <c r="B759" s="17" t="s">
        <v>1087</v>
      </c>
      <c r="C759" s="17" t="s">
        <v>737</v>
      </c>
      <c r="D759" s="17" t="s">
        <v>738</v>
      </c>
      <c r="E759" s="17">
        <v>1.81306E-4</v>
      </c>
      <c r="F759" s="6" t="s">
        <v>233</v>
      </c>
      <c r="G759" s="6" t="s">
        <v>234</v>
      </c>
      <c r="H759" s="6">
        <v>3</v>
      </c>
    </row>
    <row r="760" spans="1:8" ht="30" x14ac:dyDescent="0.25">
      <c r="A760" s="17" t="s">
        <v>1088</v>
      </c>
      <c r="B760" s="17" t="s">
        <v>1088</v>
      </c>
      <c r="C760" s="17" t="s">
        <v>737</v>
      </c>
      <c r="D760" s="17" t="s">
        <v>738</v>
      </c>
      <c r="E760" s="17">
        <v>1.81306E-4</v>
      </c>
      <c r="F760" s="6" t="s">
        <v>233</v>
      </c>
      <c r="G760" s="6" t="s">
        <v>234</v>
      </c>
      <c r="H760" s="6">
        <v>3</v>
      </c>
    </row>
    <row r="761" spans="1:8" ht="30" x14ac:dyDescent="0.25">
      <c r="A761" s="17" t="s">
        <v>1089</v>
      </c>
      <c r="B761" s="17" t="s">
        <v>1089</v>
      </c>
      <c r="C761" s="17" t="s">
        <v>737</v>
      </c>
      <c r="D761" s="17" t="s">
        <v>738</v>
      </c>
      <c r="E761" s="17">
        <v>1.81306E-4</v>
      </c>
      <c r="F761" s="6" t="s">
        <v>233</v>
      </c>
      <c r="G761" s="6" t="s">
        <v>234</v>
      </c>
      <c r="H761" s="6">
        <v>3</v>
      </c>
    </row>
    <row r="762" spans="1:8" ht="30" x14ac:dyDescent="0.25">
      <c r="A762" s="17" t="s">
        <v>1090</v>
      </c>
      <c r="B762" s="17" t="s">
        <v>1090</v>
      </c>
      <c r="C762" s="17" t="s">
        <v>737</v>
      </c>
      <c r="D762" s="17" t="s">
        <v>738</v>
      </c>
      <c r="E762" s="17">
        <v>1.81306E-4</v>
      </c>
      <c r="F762" s="6" t="s">
        <v>233</v>
      </c>
      <c r="G762" s="6" t="s">
        <v>234</v>
      </c>
      <c r="H762" s="6">
        <v>3</v>
      </c>
    </row>
    <row r="763" spans="1:8" ht="30" x14ac:dyDescent="0.25">
      <c r="A763" s="17" t="s">
        <v>1091</v>
      </c>
      <c r="B763" s="17" t="s">
        <v>1091</v>
      </c>
      <c r="C763" s="17" t="s">
        <v>407</v>
      </c>
      <c r="D763" s="17" t="s">
        <v>408</v>
      </c>
      <c r="E763" s="17">
        <v>1.6713599999999999E-4</v>
      </c>
      <c r="F763" s="6" t="s">
        <v>233</v>
      </c>
      <c r="G763" s="6" t="s">
        <v>234</v>
      </c>
      <c r="H763" s="6">
        <v>3</v>
      </c>
    </row>
    <row r="764" spans="1:8" ht="30" x14ac:dyDescent="0.25">
      <c r="A764" s="17" t="s">
        <v>1092</v>
      </c>
      <c r="B764" s="17" t="s">
        <v>1092</v>
      </c>
      <c r="C764" s="17" t="s">
        <v>265</v>
      </c>
      <c r="D764" s="17" t="s">
        <v>263</v>
      </c>
      <c r="E764" s="17">
        <v>3.0449399999999999E-4</v>
      </c>
      <c r="F764" s="6" t="s">
        <v>233</v>
      </c>
      <c r="G764" s="6" t="s">
        <v>234</v>
      </c>
      <c r="H764" s="6">
        <v>3</v>
      </c>
    </row>
    <row r="765" spans="1:8" ht="30" x14ac:dyDescent="0.25">
      <c r="A765" s="17" t="s">
        <v>1093</v>
      </c>
      <c r="B765" s="17" t="s">
        <v>1093</v>
      </c>
      <c r="C765" s="17" t="s">
        <v>244</v>
      </c>
      <c r="D765" s="17" t="s">
        <v>242</v>
      </c>
      <c r="E765" s="17">
        <v>5.4284299999999999E-4</v>
      </c>
      <c r="F765" s="6" t="s">
        <v>233</v>
      </c>
      <c r="G765" s="6" t="s">
        <v>234</v>
      </c>
      <c r="H765" s="6">
        <v>3</v>
      </c>
    </row>
    <row r="766" spans="1:8" ht="30" x14ac:dyDescent="0.25">
      <c r="A766" s="17" t="s">
        <v>1094</v>
      </c>
      <c r="B766" s="17" t="s">
        <v>1094</v>
      </c>
      <c r="C766" s="17" t="s">
        <v>346</v>
      </c>
      <c r="D766" s="17" t="s">
        <v>347</v>
      </c>
      <c r="E766" s="17">
        <v>2.10657E-4</v>
      </c>
      <c r="F766" s="6" t="s">
        <v>233</v>
      </c>
      <c r="G766" s="6" t="s">
        <v>234</v>
      </c>
      <c r="H766" s="6">
        <v>3</v>
      </c>
    </row>
    <row r="767" spans="1:8" ht="30" x14ac:dyDescent="0.25">
      <c r="A767" s="17" t="s">
        <v>1095</v>
      </c>
      <c r="B767" s="17" t="s">
        <v>1095</v>
      </c>
      <c r="C767" s="17" t="s">
        <v>250</v>
      </c>
      <c r="D767" s="17" t="s">
        <v>248</v>
      </c>
      <c r="E767" s="17">
        <v>4.3868599999999998E-4</v>
      </c>
      <c r="F767" s="6" t="s">
        <v>233</v>
      </c>
      <c r="G767" s="6" t="s">
        <v>234</v>
      </c>
      <c r="H767" s="6">
        <v>3</v>
      </c>
    </row>
    <row r="768" spans="1:8" ht="30" x14ac:dyDescent="0.25">
      <c r="A768" s="17" t="s">
        <v>1096</v>
      </c>
      <c r="B768" s="17" t="s">
        <v>1096</v>
      </c>
      <c r="C768" s="17" t="s">
        <v>250</v>
      </c>
      <c r="D768" s="17" t="s">
        <v>248</v>
      </c>
      <c r="E768" s="17">
        <v>4.3868599999999998E-4</v>
      </c>
      <c r="F768" s="6" t="s">
        <v>233</v>
      </c>
      <c r="G768" s="6" t="s">
        <v>234</v>
      </c>
      <c r="H768" s="6">
        <v>3</v>
      </c>
    </row>
    <row r="769" spans="1:8" ht="30" x14ac:dyDescent="0.25">
      <c r="A769" s="17" t="s">
        <v>1097</v>
      </c>
      <c r="B769" s="17" t="s">
        <v>1097</v>
      </c>
      <c r="C769" s="17" t="s">
        <v>256</v>
      </c>
      <c r="D769" s="17" t="s">
        <v>254</v>
      </c>
      <c r="E769" s="17">
        <v>8.1312799999999998E-4</v>
      </c>
      <c r="F769" s="6" t="s">
        <v>233</v>
      </c>
      <c r="G769" s="6" t="s">
        <v>234</v>
      </c>
      <c r="H769" s="6">
        <v>3</v>
      </c>
    </row>
    <row r="770" spans="1:8" ht="30" x14ac:dyDescent="0.25">
      <c r="A770" s="17" t="s">
        <v>1098</v>
      </c>
      <c r="B770" s="17" t="s">
        <v>1098</v>
      </c>
      <c r="C770" s="17" t="s">
        <v>737</v>
      </c>
      <c r="D770" s="17" t="s">
        <v>738</v>
      </c>
      <c r="E770" s="17">
        <v>1.81306E-4</v>
      </c>
      <c r="F770" s="6" t="s">
        <v>233</v>
      </c>
      <c r="G770" s="6" t="s">
        <v>234</v>
      </c>
      <c r="H770" s="6">
        <v>3</v>
      </c>
    </row>
    <row r="771" spans="1:8" ht="30" x14ac:dyDescent="0.25">
      <c r="A771" s="17" t="s">
        <v>383</v>
      </c>
      <c r="B771" s="17" t="s">
        <v>383</v>
      </c>
      <c r="C771" s="17" t="s">
        <v>265</v>
      </c>
      <c r="D771" s="17" t="s">
        <v>263</v>
      </c>
      <c r="E771" s="17">
        <v>3.0449399999999999E-4</v>
      </c>
      <c r="F771" s="6" t="s">
        <v>233</v>
      </c>
      <c r="G771" s="6" t="s">
        <v>234</v>
      </c>
      <c r="H771" s="6">
        <v>3</v>
      </c>
    </row>
    <row r="772" spans="1:8" ht="30" x14ac:dyDescent="0.25">
      <c r="A772" s="17" t="s">
        <v>1099</v>
      </c>
      <c r="B772" s="17" t="s">
        <v>1099</v>
      </c>
      <c r="C772" s="17" t="s">
        <v>247</v>
      </c>
      <c r="D772" s="17" t="s">
        <v>245</v>
      </c>
      <c r="E772" s="17">
        <v>1.0475809999999999E-3</v>
      </c>
      <c r="F772" s="6" t="s">
        <v>233</v>
      </c>
      <c r="G772" s="6" t="s">
        <v>234</v>
      </c>
      <c r="H772" s="6">
        <v>3</v>
      </c>
    </row>
    <row r="773" spans="1:8" ht="30" x14ac:dyDescent="0.25">
      <c r="A773" s="17" t="s">
        <v>1100</v>
      </c>
      <c r="B773" s="17" t="s">
        <v>1100</v>
      </c>
      <c r="C773" s="17" t="s">
        <v>250</v>
      </c>
      <c r="D773" s="17" t="s">
        <v>248</v>
      </c>
      <c r="E773" s="17">
        <v>4.3868599999999998E-4</v>
      </c>
      <c r="F773" s="6" t="s">
        <v>233</v>
      </c>
      <c r="G773" s="6" t="s">
        <v>234</v>
      </c>
      <c r="H773" s="6">
        <v>3</v>
      </c>
    </row>
    <row r="774" spans="1:8" ht="30" x14ac:dyDescent="0.25">
      <c r="A774" s="17" t="s">
        <v>421</v>
      </c>
      <c r="B774" s="17" t="s">
        <v>421</v>
      </c>
      <c r="C774" s="17" t="s">
        <v>256</v>
      </c>
      <c r="D774" s="17" t="s">
        <v>254</v>
      </c>
      <c r="E774" s="17">
        <v>8.1312799999999998E-4</v>
      </c>
      <c r="F774" s="6" t="s">
        <v>233</v>
      </c>
      <c r="G774" s="6" t="s">
        <v>234</v>
      </c>
      <c r="H774" s="6">
        <v>3</v>
      </c>
    </row>
    <row r="775" spans="1:8" ht="30" x14ac:dyDescent="0.25">
      <c r="A775" s="17" t="s">
        <v>1101</v>
      </c>
      <c r="B775" s="17" t="s">
        <v>1101</v>
      </c>
      <c r="C775" s="17" t="s">
        <v>247</v>
      </c>
      <c r="D775" s="17" t="s">
        <v>245</v>
      </c>
      <c r="E775" s="17">
        <v>1.0475809999999999E-3</v>
      </c>
      <c r="F775" s="6" t="s">
        <v>233</v>
      </c>
      <c r="G775" s="6" t="s">
        <v>234</v>
      </c>
      <c r="H775" s="6">
        <v>3</v>
      </c>
    </row>
    <row r="776" spans="1:8" ht="30" x14ac:dyDescent="0.25">
      <c r="A776" s="17" t="s">
        <v>1102</v>
      </c>
      <c r="B776" s="17" t="s">
        <v>1102</v>
      </c>
      <c r="C776" s="17" t="s">
        <v>737</v>
      </c>
      <c r="D776" s="17" t="s">
        <v>738</v>
      </c>
      <c r="E776" s="17">
        <v>1.81306E-4</v>
      </c>
      <c r="F776" s="6" t="s">
        <v>233</v>
      </c>
      <c r="G776" s="6" t="s">
        <v>234</v>
      </c>
      <c r="H776" s="6">
        <v>3</v>
      </c>
    </row>
    <row r="777" spans="1:8" ht="30" x14ac:dyDescent="0.25">
      <c r="A777" s="17" t="s">
        <v>463</v>
      </c>
      <c r="B777" s="17" t="s">
        <v>463</v>
      </c>
      <c r="C777" s="17" t="s">
        <v>346</v>
      </c>
      <c r="D777" s="17" t="s">
        <v>347</v>
      </c>
      <c r="E777" s="17">
        <v>2.10657E-4</v>
      </c>
      <c r="F777" s="6" t="s">
        <v>233</v>
      </c>
      <c r="G777" s="6" t="s">
        <v>234</v>
      </c>
      <c r="H777" s="6">
        <v>3</v>
      </c>
    </row>
    <row r="778" spans="1:8" ht="30" x14ac:dyDescent="0.25">
      <c r="A778" s="17" t="s">
        <v>1103</v>
      </c>
      <c r="B778" s="17" t="s">
        <v>1103</v>
      </c>
      <c r="C778" s="17" t="s">
        <v>250</v>
      </c>
      <c r="D778" s="17" t="s">
        <v>248</v>
      </c>
      <c r="E778" s="17">
        <v>4.3868599999999998E-4</v>
      </c>
      <c r="F778" s="6" t="s">
        <v>233</v>
      </c>
      <c r="G778" s="6" t="s">
        <v>234</v>
      </c>
      <c r="H778" s="6">
        <v>3</v>
      </c>
    </row>
    <row r="779" spans="1:8" ht="30" x14ac:dyDescent="0.25">
      <c r="A779" s="17" t="s">
        <v>1104</v>
      </c>
      <c r="B779" s="17" t="s">
        <v>1104</v>
      </c>
      <c r="C779" s="17" t="s">
        <v>250</v>
      </c>
      <c r="D779" s="17" t="s">
        <v>248</v>
      </c>
      <c r="E779" s="17">
        <v>4.3868599999999998E-4</v>
      </c>
      <c r="F779" s="6" t="s">
        <v>233</v>
      </c>
      <c r="G779" s="6" t="s">
        <v>234</v>
      </c>
      <c r="H779" s="6">
        <v>3</v>
      </c>
    </row>
    <row r="780" spans="1:8" ht="30" x14ac:dyDescent="0.25">
      <c r="A780" s="17" t="s">
        <v>1105</v>
      </c>
      <c r="B780" s="17" t="s">
        <v>1105</v>
      </c>
      <c r="C780" s="17" t="s">
        <v>250</v>
      </c>
      <c r="D780" s="17" t="s">
        <v>248</v>
      </c>
      <c r="E780" s="17">
        <v>4.3868599999999998E-4</v>
      </c>
      <c r="F780" s="6" t="s">
        <v>233</v>
      </c>
      <c r="G780" s="6" t="s">
        <v>234</v>
      </c>
      <c r="H780" s="6">
        <v>3</v>
      </c>
    </row>
    <row r="781" spans="1:8" ht="30" x14ac:dyDescent="0.25">
      <c r="A781" s="17" t="s">
        <v>1106</v>
      </c>
      <c r="B781" s="17" t="s">
        <v>1106</v>
      </c>
      <c r="C781" s="17" t="s">
        <v>250</v>
      </c>
      <c r="D781" s="17" t="s">
        <v>248</v>
      </c>
      <c r="E781" s="17">
        <v>4.3868599999999998E-4</v>
      </c>
      <c r="F781" s="6" t="s">
        <v>233</v>
      </c>
      <c r="G781" s="6" t="s">
        <v>234</v>
      </c>
      <c r="H781" s="6">
        <v>3</v>
      </c>
    </row>
    <row r="782" spans="1:8" ht="30" x14ac:dyDescent="0.25">
      <c r="A782" s="17" t="s">
        <v>1107</v>
      </c>
      <c r="B782" s="17" t="s">
        <v>1107</v>
      </c>
      <c r="C782" s="17" t="s">
        <v>250</v>
      </c>
      <c r="D782" s="17" t="s">
        <v>248</v>
      </c>
      <c r="E782" s="17">
        <v>4.3868599999999998E-4</v>
      </c>
      <c r="F782" s="6" t="s">
        <v>233</v>
      </c>
      <c r="G782" s="6" t="s">
        <v>234</v>
      </c>
      <c r="H782" s="6">
        <v>3</v>
      </c>
    </row>
    <row r="783" spans="1:8" ht="30" x14ac:dyDescent="0.25">
      <c r="A783" s="17" t="s">
        <v>1108</v>
      </c>
      <c r="B783" s="17" t="s">
        <v>1108</v>
      </c>
      <c r="C783" s="17" t="s">
        <v>743</v>
      </c>
      <c r="D783" s="17" t="s">
        <v>744</v>
      </c>
      <c r="E783" s="17">
        <v>3.813E-4</v>
      </c>
      <c r="F783" s="6" t="s">
        <v>233</v>
      </c>
      <c r="G783" s="6" t="s">
        <v>234</v>
      </c>
      <c r="H783" s="6">
        <v>3</v>
      </c>
    </row>
    <row r="784" spans="1:8" ht="30" x14ac:dyDescent="0.25">
      <c r="A784" s="17" t="s">
        <v>1109</v>
      </c>
      <c r="B784" s="17" t="s">
        <v>1109</v>
      </c>
      <c r="C784" s="17" t="s">
        <v>407</v>
      </c>
      <c r="D784" s="17" t="s">
        <v>408</v>
      </c>
      <c r="E784" s="17">
        <v>1.6713599999999999E-4</v>
      </c>
      <c r="F784" s="6" t="s">
        <v>233</v>
      </c>
      <c r="G784" s="6" t="s">
        <v>234</v>
      </c>
      <c r="H784" s="6">
        <v>3</v>
      </c>
    </row>
    <row r="785" spans="1:8" ht="30" x14ac:dyDescent="0.25">
      <c r="A785" s="17" t="s">
        <v>1110</v>
      </c>
      <c r="B785" s="17" t="s">
        <v>1110</v>
      </c>
      <c r="C785" s="17" t="s">
        <v>301</v>
      </c>
      <c r="D785" s="17" t="s">
        <v>299</v>
      </c>
      <c r="E785" s="17">
        <v>6.3590900000000004E-4</v>
      </c>
      <c r="F785" s="6" t="s">
        <v>233</v>
      </c>
      <c r="G785" s="6" t="s">
        <v>234</v>
      </c>
      <c r="H785" s="6">
        <v>3</v>
      </c>
    </row>
    <row r="786" spans="1:8" ht="30" x14ac:dyDescent="0.25">
      <c r="A786" s="17" t="s">
        <v>1111</v>
      </c>
      <c r="B786" s="17" t="s">
        <v>1111</v>
      </c>
      <c r="C786" s="17" t="s">
        <v>346</v>
      </c>
      <c r="D786" s="17" t="s">
        <v>347</v>
      </c>
      <c r="E786" s="17">
        <v>2.10657E-4</v>
      </c>
      <c r="F786" s="6" t="s">
        <v>233</v>
      </c>
      <c r="G786" s="6" t="s">
        <v>234</v>
      </c>
      <c r="H786" s="6">
        <v>3</v>
      </c>
    </row>
    <row r="787" spans="1:8" ht="30" x14ac:dyDescent="0.25">
      <c r="A787" s="17" t="s">
        <v>1112</v>
      </c>
      <c r="B787" s="17" t="s">
        <v>1112</v>
      </c>
      <c r="C787" s="17" t="s">
        <v>250</v>
      </c>
      <c r="D787" s="17" t="s">
        <v>248</v>
      </c>
      <c r="E787" s="17">
        <v>4.3868599999999998E-4</v>
      </c>
      <c r="F787" s="6" t="s">
        <v>233</v>
      </c>
      <c r="G787" s="6" t="s">
        <v>234</v>
      </c>
      <c r="H787" s="6">
        <v>3</v>
      </c>
    </row>
    <row r="788" spans="1:8" ht="30" x14ac:dyDescent="0.25">
      <c r="A788" s="6" t="s">
        <v>1113</v>
      </c>
      <c r="B788" s="6" t="s">
        <v>1113</v>
      </c>
      <c r="C788" s="17" t="s">
        <v>271</v>
      </c>
      <c r="D788" s="17" t="s">
        <v>269</v>
      </c>
      <c r="E788" s="17">
        <v>5.2359699999999999E-4</v>
      </c>
      <c r="F788" s="6" t="s">
        <v>233</v>
      </c>
      <c r="G788" s="6" t="s">
        <v>234</v>
      </c>
      <c r="H788" s="6">
        <v>3</v>
      </c>
    </row>
    <row r="789" spans="1:8" ht="30" x14ac:dyDescent="0.25">
      <c r="A789" s="6" t="s">
        <v>1114</v>
      </c>
      <c r="B789" s="6" t="s">
        <v>611</v>
      </c>
      <c r="C789" s="17" t="s">
        <v>244</v>
      </c>
      <c r="D789" s="17" t="s">
        <v>242</v>
      </c>
      <c r="E789" s="17">
        <v>5.4284299999999999E-4</v>
      </c>
      <c r="F789" s="6" t="s">
        <v>233</v>
      </c>
      <c r="G789" s="6" t="s">
        <v>234</v>
      </c>
      <c r="H789" s="6">
        <v>3</v>
      </c>
    </row>
    <row r="790" spans="1:8" ht="30" x14ac:dyDescent="0.25">
      <c r="A790" s="18" t="s">
        <v>1115</v>
      </c>
      <c r="B790" s="18" t="s">
        <v>1115</v>
      </c>
      <c r="C790" s="17" t="s">
        <v>301</v>
      </c>
      <c r="D790" s="17" t="s">
        <v>299</v>
      </c>
      <c r="E790" s="17">
        <v>6.3590900000000004E-4</v>
      </c>
      <c r="F790" s="6" t="s">
        <v>233</v>
      </c>
      <c r="G790" s="6" t="s">
        <v>234</v>
      </c>
      <c r="H790" s="6">
        <v>3</v>
      </c>
    </row>
    <row r="791" spans="1:8" ht="30" x14ac:dyDescent="0.25">
      <c r="A791" s="6" t="s">
        <v>1116</v>
      </c>
      <c r="B791" s="17" t="s">
        <v>477</v>
      </c>
      <c r="C791" s="17" t="s">
        <v>301</v>
      </c>
      <c r="D791" s="17" t="s">
        <v>299</v>
      </c>
      <c r="E791" s="17">
        <v>6.3590900000000004E-4</v>
      </c>
      <c r="F791" s="6" t="s">
        <v>233</v>
      </c>
      <c r="G791" s="6" t="s">
        <v>234</v>
      </c>
      <c r="H791" s="6">
        <v>3</v>
      </c>
    </row>
    <row r="792" spans="1:8" ht="30" x14ac:dyDescent="0.25">
      <c r="A792" s="18" t="s">
        <v>1117</v>
      </c>
      <c r="B792" s="18" t="s">
        <v>1117</v>
      </c>
      <c r="C792" s="17" t="s">
        <v>301</v>
      </c>
      <c r="D792" s="17" t="s">
        <v>299</v>
      </c>
      <c r="E792" s="17">
        <v>6.3590900000000004E-4</v>
      </c>
      <c r="F792" s="6" t="s">
        <v>233</v>
      </c>
      <c r="G792" s="6" t="s">
        <v>234</v>
      </c>
      <c r="H792" s="6">
        <v>3</v>
      </c>
    </row>
    <row r="793" spans="1:8" ht="30" x14ac:dyDescent="0.25">
      <c r="A793" s="6" t="s">
        <v>1118</v>
      </c>
      <c r="B793" s="6" t="s">
        <v>481</v>
      </c>
      <c r="C793" s="17" t="s">
        <v>313</v>
      </c>
      <c r="D793" s="17" t="s">
        <v>311</v>
      </c>
      <c r="E793" s="17">
        <v>4.5576999999999998E-4</v>
      </c>
      <c r="F793" s="6" t="s">
        <v>233</v>
      </c>
      <c r="G793" s="6" t="s">
        <v>234</v>
      </c>
      <c r="H793" s="6">
        <v>3</v>
      </c>
    </row>
    <row r="794" spans="1:8" ht="30" x14ac:dyDescent="0.25">
      <c r="A794" s="17" t="s">
        <v>1119</v>
      </c>
      <c r="B794" s="17" t="s">
        <v>1119</v>
      </c>
      <c r="C794" s="17" t="s">
        <v>271</v>
      </c>
      <c r="D794" s="17" t="s">
        <v>269</v>
      </c>
      <c r="E794" s="17">
        <v>5.2359699999999999E-4</v>
      </c>
      <c r="F794" s="6" t="s">
        <v>233</v>
      </c>
      <c r="G794" s="6" t="s">
        <v>234</v>
      </c>
      <c r="H794" s="6">
        <v>3</v>
      </c>
    </row>
    <row r="795" spans="1:8" ht="30" x14ac:dyDescent="0.25">
      <c r="A795" s="18" t="s">
        <v>1120</v>
      </c>
      <c r="B795" s="17" t="s">
        <v>688</v>
      </c>
      <c r="C795" s="17" t="s">
        <v>310</v>
      </c>
      <c r="D795" s="17" t="s">
        <v>308</v>
      </c>
      <c r="E795" s="17">
        <v>5.3341800000000002E-4</v>
      </c>
      <c r="F795" s="6" t="s">
        <v>233</v>
      </c>
      <c r="G795" s="6" t="s">
        <v>234</v>
      </c>
      <c r="H795" s="6">
        <v>3</v>
      </c>
    </row>
    <row r="796" spans="1:8" x14ac:dyDescent="0.25">
      <c r="A796" s="6"/>
      <c r="B796" s="17"/>
      <c r="C796" s="17"/>
      <c r="D796" s="17"/>
      <c r="E796" s="17"/>
      <c r="F796" s="6" t="s">
        <v>233</v>
      </c>
      <c r="G796" s="6" t="s">
        <v>234</v>
      </c>
      <c r="H796" s="6">
        <v>3</v>
      </c>
    </row>
    <row r="797" spans="1:8" ht="30" x14ac:dyDescent="0.25">
      <c r="A797" s="6" t="s">
        <v>1121</v>
      </c>
      <c r="B797" s="6" t="s">
        <v>1121</v>
      </c>
      <c r="C797" s="17" t="s">
        <v>310</v>
      </c>
      <c r="D797" s="17" t="s">
        <v>308</v>
      </c>
      <c r="E797" s="17">
        <v>5.3341800000000002E-4</v>
      </c>
      <c r="F797" s="6" t="s">
        <v>233</v>
      </c>
      <c r="G797" s="6" t="s">
        <v>234</v>
      </c>
      <c r="H797" s="6">
        <v>3</v>
      </c>
    </row>
    <row r="798" spans="1:8" ht="30" x14ac:dyDescent="0.25">
      <c r="A798" s="18" t="s">
        <v>1122</v>
      </c>
      <c r="B798" s="18" t="s">
        <v>1122</v>
      </c>
      <c r="C798" s="17" t="s">
        <v>310</v>
      </c>
      <c r="D798" s="17" t="s">
        <v>308</v>
      </c>
      <c r="E798" s="17">
        <v>5.3341800000000002E-4</v>
      </c>
      <c r="F798" s="6" t="s">
        <v>233</v>
      </c>
      <c r="G798" s="6" t="s">
        <v>234</v>
      </c>
      <c r="H798" s="6">
        <v>3</v>
      </c>
    </row>
    <row r="799" spans="1:8" ht="30" x14ac:dyDescent="0.25">
      <c r="A799" s="17" t="s">
        <v>1006</v>
      </c>
      <c r="B799" s="17" t="s">
        <v>1006</v>
      </c>
      <c r="C799" s="17" t="s">
        <v>280</v>
      </c>
      <c r="D799" s="17" t="s">
        <v>278</v>
      </c>
      <c r="E799" s="17">
        <v>6.2829699999999999E-4</v>
      </c>
      <c r="F799" s="6" t="s">
        <v>233</v>
      </c>
      <c r="G799" s="6" t="s">
        <v>234</v>
      </c>
      <c r="H799" s="6">
        <v>3</v>
      </c>
    </row>
    <row r="800" spans="1:8" ht="30" x14ac:dyDescent="0.25">
      <c r="A800" s="6" t="s">
        <v>1123</v>
      </c>
      <c r="B800" s="6" t="s">
        <v>1123</v>
      </c>
      <c r="C800" s="17" t="s">
        <v>301</v>
      </c>
      <c r="D800" s="17" t="s">
        <v>299</v>
      </c>
      <c r="E800" s="17">
        <v>6.3590900000000004E-4</v>
      </c>
      <c r="F800" s="6" t="s">
        <v>233</v>
      </c>
      <c r="G800" s="6" t="s">
        <v>234</v>
      </c>
      <c r="H800" s="6">
        <v>3</v>
      </c>
    </row>
    <row r="801" spans="1:8" ht="30" x14ac:dyDescent="0.25">
      <c r="A801" s="18" t="s">
        <v>1124</v>
      </c>
      <c r="B801" s="18" t="s">
        <v>1124</v>
      </c>
      <c r="C801" s="17" t="s">
        <v>271</v>
      </c>
      <c r="D801" s="17" t="s">
        <v>269</v>
      </c>
      <c r="E801" s="17">
        <v>5.2359699999999999E-4</v>
      </c>
      <c r="F801" s="6" t="s">
        <v>233</v>
      </c>
      <c r="G801" s="6" t="s">
        <v>234</v>
      </c>
      <c r="H801" s="6">
        <v>3</v>
      </c>
    </row>
    <row r="802" spans="1:8" ht="30" x14ac:dyDescent="0.25">
      <c r="A802" s="6" t="s">
        <v>1125</v>
      </c>
      <c r="B802" s="6" t="s">
        <v>1125</v>
      </c>
      <c r="C802" s="17" t="s">
        <v>271</v>
      </c>
      <c r="D802" s="17" t="s">
        <v>269</v>
      </c>
      <c r="E802" s="17">
        <v>5.2359699999999999E-4</v>
      </c>
      <c r="F802" s="6" t="s">
        <v>233</v>
      </c>
      <c r="G802" s="6" t="s">
        <v>234</v>
      </c>
      <c r="H802" s="6">
        <v>3</v>
      </c>
    </row>
    <row r="803" spans="1:8" ht="30" x14ac:dyDescent="0.25">
      <c r="A803" s="18" t="s">
        <v>1126</v>
      </c>
      <c r="B803" s="18" t="s">
        <v>1126</v>
      </c>
      <c r="C803" s="17" t="s">
        <v>271</v>
      </c>
      <c r="D803" s="17" t="s">
        <v>269</v>
      </c>
      <c r="E803" s="17">
        <v>5.2359699999999999E-4</v>
      </c>
      <c r="F803" s="6" t="s">
        <v>233</v>
      </c>
      <c r="G803" s="6" t="s">
        <v>234</v>
      </c>
      <c r="H803" s="6">
        <v>3</v>
      </c>
    </row>
    <row r="804" spans="1:8" ht="30" x14ac:dyDescent="0.25">
      <c r="A804" s="18" t="s">
        <v>1127</v>
      </c>
      <c r="B804" s="18" t="s">
        <v>1127</v>
      </c>
      <c r="C804" s="17" t="s">
        <v>271</v>
      </c>
      <c r="D804" s="17" t="s">
        <v>269</v>
      </c>
      <c r="E804" s="17">
        <v>5.2359699999999999E-4</v>
      </c>
      <c r="F804" s="6" t="s">
        <v>233</v>
      </c>
      <c r="G804" s="6" t="s">
        <v>234</v>
      </c>
      <c r="H804" s="6">
        <v>3</v>
      </c>
    </row>
    <row r="805" spans="1:8" ht="30" x14ac:dyDescent="0.25">
      <c r="A805" s="6" t="s">
        <v>1128</v>
      </c>
      <c r="B805" s="6" t="s">
        <v>1128</v>
      </c>
      <c r="C805" s="17" t="s">
        <v>271</v>
      </c>
      <c r="D805" s="17" t="s">
        <v>269</v>
      </c>
      <c r="E805" s="17">
        <v>5.2359699999999999E-4</v>
      </c>
      <c r="F805" s="6" t="s">
        <v>233</v>
      </c>
      <c r="G805" s="6" t="s">
        <v>234</v>
      </c>
      <c r="H805" s="6">
        <v>3</v>
      </c>
    </row>
    <row r="806" spans="1:8" ht="30" x14ac:dyDescent="0.25">
      <c r="A806" s="18" t="s">
        <v>1129</v>
      </c>
      <c r="B806" s="18" t="s">
        <v>1129</v>
      </c>
      <c r="C806" s="17" t="s">
        <v>271</v>
      </c>
      <c r="D806" s="17" t="s">
        <v>269</v>
      </c>
      <c r="E806" s="17">
        <v>5.2359699999999999E-4</v>
      </c>
      <c r="F806" s="6" t="s">
        <v>233</v>
      </c>
      <c r="G806" s="6" t="s">
        <v>234</v>
      </c>
      <c r="H806" s="6">
        <v>3</v>
      </c>
    </row>
    <row r="807" spans="1:8" ht="30" x14ac:dyDescent="0.25">
      <c r="A807" s="18" t="s">
        <v>1130</v>
      </c>
      <c r="B807" s="18" t="s">
        <v>1130</v>
      </c>
      <c r="C807" s="17" t="s">
        <v>271</v>
      </c>
      <c r="D807" s="17" t="s">
        <v>269</v>
      </c>
      <c r="E807" s="17">
        <v>5.2359699999999999E-4</v>
      </c>
      <c r="F807" s="6" t="s">
        <v>233</v>
      </c>
      <c r="G807" s="6" t="s">
        <v>234</v>
      </c>
      <c r="H807" s="6">
        <v>3</v>
      </c>
    </row>
    <row r="808" spans="1:8" ht="30" x14ac:dyDescent="0.25">
      <c r="A808" s="18" t="s">
        <v>1131</v>
      </c>
      <c r="B808" s="18" t="s">
        <v>1131</v>
      </c>
      <c r="C808" s="17" t="s">
        <v>271</v>
      </c>
      <c r="D808" s="17" t="s">
        <v>269</v>
      </c>
      <c r="E808" s="17">
        <v>5.2359699999999999E-4</v>
      </c>
      <c r="F808" s="6" t="s">
        <v>233</v>
      </c>
      <c r="G808" s="6" t="s">
        <v>234</v>
      </c>
      <c r="H808" s="6">
        <v>3</v>
      </c>
    </row>
    <row r="809" spans="1:8" ht="30" x14ac:dyDescent="0.25">
      <c r="A809" s="18" t="s">
        <v>1132</v>
      </c>
      <c r="B809" s="18" t="s">
        <v>1132</v>
      </c>
      <c r="C809" s="17" t="s">
        <v>244</v>
      </c>
      <c r="D809" s="17" t="s">
        <v>242</v>
      </c>
      <c r="E809" s="17">
        <v>5.4284299999999999E-4</v>
      </c>
      <c r="F809" s="6" t="s">
        <v>233</v>
      </c>
      <c r="G809" s="6" t="s">
        <v>234</v>
      </c>
      <c r="H809" s="6">
        <v>3</v>
      </c>
    </row>
    <row r="810" spans="1:8" ht="30" x14ac:dyDescent="0.25">
      <c r="A810" s="6" t="s">
        <v>1133</v>
      </c>
      <c r="B810" s="6" t="s">
        <v>1133</v>
      </c>
      <c r="C810" s="17" t="s">
        <v>280</v>
      </c>
      <c r="D810" s="17" t="s">
        <v>278</v>
      </c>
      <c r="E810" s="17">
        <v>6.2829699999999999E-4</v>
      </c>
      <c r="F810" s="6" t="s">
        <v>233</v>
      </c>
      <c r="G810" s="6" t="s">
        <v>234</v>
      </c>
      <c r="H810" s="6">
        <v>3</v>
      </c>
    </row>
    <row r="811" spans="1:8" ht="30" x14ac:dyDescent="0.25">
      <c r="A811" s="6" t="s">
        <v>1134</v>
      </c>
      <c r="B811" s="6" t="s">
        <v>611</v>
      </c>
      <c r="C811" s="17" t="s">
        <v>244</v>
      </c>
      <c r="D811" s="17" t="s">
        <v>242</v>
      </c>
      <c r="E811" s="17">
        <v>5.4284299999999999E-4</v>
      </c>
      <c r="F811" s="6" t="s">
        <v>233</v>
      </c>
      <c r="G811" s="6" t="s">
        <v>234</v>
      </c>
      <c r="H811" s="6">
        <v>3</v>
      </c>
    </row>
    <row r="812" spans="1:8" ht="30" x14ac:dyDescent="0.25">
      <c r="A812" s="6" t="s">
        <v>1135</v>
      </c>
      <c r="B812" s="6" t="s">
        <v>1135</v>
      </c>
      <c r="C812" s="17" t="s">
        <v>280</v>
      </c>
      <c r="D812" s="17" t="s">
        <v>278</v>
      </c>
      <c r="E812" s="17">
        <v>6.2829699999999999E-4</v>
      </c>
      <c r="F812" s="6" t="s">
        <v>233</v>
      </c>
      <c r="G812" s="6" t="s">
        <v>234</v>
      </c>
      <c r="H812" s="6">
        <v>3</v>
      </c>
    </row>
    <row r="813" spans="1:8" ht="30" x14ac:dyDescent="0.25">
      <c r="A813" s="18" t="s">
        <v>1136</v>
      </c>
      <c r="B813" s="18" t="s">
        <v>1136</v>
      </c>
      <c r="C813" s="17" t="s">
        <v>271</v>
      </c>
      <c r="D813" s="17" t="s">
        <v>269</v>
      </c>
      <c r="E813" s="17">
        <v>5.2359699999999999E-4</v>
      </c>
      <c r="F813" s="6" t="s">
        <v>233</v>
      </c>
      <c r="G813" s="6" t="s">
        <v>234</v>
      </c>
      <c r="H813" s="6">
        <v>3</v>
      </c>
    </row>
    <row r="814" spans="1:8" ht="30" x14ac:dyDescent="0.25">
      <c r="A814" s="6" t="s">
        <v>1137</v>
      </c>
      <c r="B814" s="17" t="s">
        <v>1013</v>
      </c>
      <c r="C814" s="17" t="s">
        <v>313</v>
      </c>
      <c r="D814" s="17" t="s">
        <v>269</v>
      </c>
      <c r="E814" s="17">
        <v>5.2359699999999999E-4</v>
      </c>
      <c r="F814" s="6" t="s">
        <v>233</v>
      </c>
      <c r="G814" s="6" t="s">
        <v>234</v>
      </c>
      <c r="H814" s="6">
        <v>3</v>
      </c>
    </row>
    <row r="815" spans="1:8" ht="30" x14ac:dyDescent="0.25">
      <c r="A815" s="18" t="s">
        <v>1138</v>
      </c>
      <c r="B815" s="18" t="s">
        <v>1138</v>
      </c>
      <c r="C815" s="17" t="s">
        <v>283</v>
      </c>
      <c r="D815" s="17" t="s">
        <v>281</v>
      </c>
      <c r="E815" s="17">
        <v>5.4019300000000001E-4</v>
      </c>
      <c r="F815" s="6" t="s">
        <v>233</v>
      </c>
      <c r="G815" s="6" t="s">
        <v>234</v>
      </c>
      <c r="H815" s="6">
        <v>3</v>
      </c>
    </row>
    <row r="816" spans="1:8" ht="30" x14ac:dyDescent="0.25">
      <c r="A816" s="6" t="s">
        <v>1139</v>
      </c>
      <c r="B816" s="6" t="s">
        <v>1139</v>
      </c>
      <c r="C816" s="17" t="s">
        <v>271</v>
      </c>
      <c r="D816" s="17" t="s">
        <v>269</v>
      </c>
      <c r="E816" s="17">
        <v>5.2359699999999999E-4</v>
      </c>
      <c r="F816" s="6" t="s">
        <v>233</v>
      </c>
      <c r="G816" s="6" t="s">
        <v>234</v>
      </c>
      <c r="H816" s="6">
        <v>3</v>
      </c>
    </row>
    <row r="817" spans="1:8" ht="30" x14ac:dyDescent="0.25">
      <c r="A817" s="18" t="s">
        <v>1140</v>
      </c>
      <c r="B817" s="18" t="s">
        <v>1140</v>
      </c>
      <c r="C817" s="17" t="s">
        <v>238</v>
      </c>
      <c r="D817" s="17" t="s">
        <v>235</v>
      </c>
      <c r="E817" s="17">
        <v>1.022263E-3</v>
      </c>
      <c r="F817" s="6" t="s">
        <v>233</v>
      </c>
      <c r="G817" s="6" t="s">
        <v>234</v>
      </c>
      <c r="H817" s="6">
        <v>3</v>
      </c>
    </row>
    <row r="818" spans="1:8" ht="30" x14ac:dyDescent="0.25">
      <c r="A818" s="6" t="s">
        <v>1141</v>
      </c>
      <c r="B818" s="6" t="s">
        <v>1141</v>
      </c>
      <c r="C818" s="17" t="s">
        <v>271</v>
      </c>
      <c r="D818" s="17" t="s">
        <v>269</v>
      </c>
      <c r="E818" s="17">
        <v>5.2359699999999999E-4</v>
      </c>
      <c r="F818" s="6" t="s">
        <v>233</v>
      </c>
      <c r="G818" s="6" t="s">
        <v>234</v>
      </c>
      <c r="H818" s="6">
        <v>3</v>
      </c>
    </row>
    <row r="819" spans="1:8" ht="30" x14ac:dyDescent="0.25">
      <c r="A819" s="6" t="s">
        <v>1142</v>
      </c>
      <c r="B819" s="6" t="s">
        <v>1142</v>
      </c>
      <c r="C819" s="17" t="s">
        <v>271</v>
      </c>
      <c r="D819" s="17" t="s">
        <v>269</v>
      </c>
      <c r="E819" s="17">
        <v>5.2359699999999999E-4</v>
      </c>
      <c r="F819" s="6" t="s">
        <v>233</v>
      </c>
      <c r="G819" s="6" t="s">
        <v>234</v>
      </c>
      <c r="H819" s="6">
        <v>3</v>
      </c>
    </row>
    <row r="820" spans="1:8" ht="30" x14ac:dyDescent="0.25">
      <c r="A820" s="17" t="s">
        <v>1143</v>
      </c>
      <c r="B820" s="17" t="s">
        <v>1143</v>
      </c>
      <c r="C820" s="17" t="s">
        <v>295</v>
      </c>
      <c r="D820" s="17" t="s">
        <v>299</v>
      </c>
      <c r="E820" s="17">
        <v>4.2299999999999998E-4</v>
      </c>
      <c r="F820" s="6" t="s">
        <v>233</v>
      </c>
      <c r="G820" s="6" t="s">
        <v>234</v>
      </c>
      <c r="H820" s="6">
        <v>3</v>
      </c>
    </row>
    <row r="821" spans="1:8" ht="30" x14ac:dyDescent="0.25">
      <c r="A821" s="17" t="s">
        <v>1144</v>
      </c>
      <c r="B821" s="17" t="s">
        <v>1144</v>
      </c>
      <c r="C821" s="17" t="s">
        <v>295</v>
      </c>
      <c r="D821" s="17" t="s">
        <v>299</v>
      </c>
      <c r="E821" s="17">
        <v>4.2299999999999998E-4</v>
      </c>
      <c r="F821" s="6" t="s">
        <v>233</v>
      </c>
      <c r="G821" s="6" t="s">
        <v>234</v>
      </c>
      <c r="H821" s="6">
        <v>3</v>
      </c>
    </row>
    <row r="822" spans="1:8" ht="30" x14ac:dyDescent="0.25">
      <c r="A822" s="17" t="s">
        <v>1145</v>
      </c>
      <c r="B822" s="17" t="s">
        <v>1145</v>
      </c>
      <c r="C822" s="17" t="s">
        <v>271</v>
      </c>
      <c r="D822" s="17" t="s">
        <v>269</v>
      </c>
      <c r="E822" s="17">
        <v>5.2359699999999999E-4</v>
      </c>
      <c r="F822" s="6" t="s">
        <v>233</v>
      </c>
      <c r="G822" s="6" t="s">
        <v>234</v>
      </c>
      <c r="H822" s="6">
        <v>3</v>
      </c>
    </row>
    <row r="823" spans="1:8" ht="30" x14ac:dyDescent="0.25">
      <c r="A823" s="17" t="s">
        <v>1146</v>
      </c>
      <c r="B823" s="17" t="s">
        <v>1146</v>
      </c>
      <c r="C823" s="17" t="s">
        <v>271</v>
      </c>
      <c r="D823" s="17" t="s">
        <v>269</v>
      </c>
      <c r="E823" s="17">
        <v>5.2359699999999999E-4</v>
      </c>
      <c r="F823" s="6" t="s">
        <v>233</v>
      </c>
      <c r="G823" s="6" t="s">
        <v>234</v>
      </c>
      <c r="H823" s="6">
        <v>3</v>
      </c>
    </row>
    <row r="824" spans="1:8" ht="30" x14ac:dyDescent="0.25">
      <c r="A824" s="17" t="s">
        <v>1147</v>
      </c>
      <c r="B824" s="17" t="s">
        <v>1147</v>
      </c>
      <c r="C824" s="17" t="s">
        <v>271</v>
      </c>
      <c r="D824" s="17" t="s">
        <v>269</v>
      </c>
      <c r="E824" s="17">
        <v>5.2359699999999999E-4</v>
      </c>
      <c r="F824" s="6" t="s">
        <v>233</v>
      </c>
      <c r="G824" s="6" t="s">
        <v>234</v>
      </c>
      <c r="H824" s="6">
        <v>3</v>
      </c>
    </row>
    <row r="825" spans="1:8" ht="30" x14ac:dyDescent="0.25">
      <c r="A825" s="17" t="s">
        <v>1148</v>
      </c>
      <c r="B825" s="17" t="s">
        <v>1148</v>
      </c>
      <c r="C825" s="17" t="s">
        <v>271</v>
      </c>
      <c r="D825" s="17" t="s">
        <v>269</v>
      </c>
      <c r="E825" s="17">
        <v>5.2359699999999999E-4</v>
      </c>
      <c r="F825" s="6" t="s">
        <v>233</v>
      </c>
      <c r="G825" s="6" t="s">
        <v>234</v>
      </c>
      <c r="H825" s="6">
        <v>3</v>
      </c>
    </row>
    <row r="826" spans="1:8" ht="30" x14ac:dyDescent="0.25">
      <c r="A826" s="17" t="s">
        <v>579</v>
      </c>
      <c r="B826" s="17" t="s">
        <v>579</v>
      </c>
      <c r="C826" s="17" t="s">
        <v>271</v>
      </c>
      <c r="D826" s="17" t="s">
        <v>269</v>
      </c>
      <c r="E826" s="17">
        <v>5.2359699999999999E-4</v>
      </c>
      <c r="F826" s="6" t="s">
        <v>233</v>
      </c>
      <c r="G826" s="6" t="s">
        <v>234</v>
      </c>
      <c r="H826" s="6">
        <v>3</v>
      </c>
    </row>
    <row r="827" spans="1:8" ht="30" x14ac:dyDescent="0.25">
      <c r="A827" s="17" t="s">
        <v>1149</v>
      </c>
      <c r="B827" s="17" t="s">
        <v>1149</v>
      </c>
      <c r="C827" s="17" t="s">
        <v>271</v>
      </c>
      <c r="D827" s="17" t="s">
        <v>269</v>
      </c>
      <c r="E827" s="17">
        <v>5.2359699999999999E-4</v>
      </c>
      <c r="F827" s="6" t="s">
        <v>233</v>
      </c>
      <c r="G827" s="6" t="s">
        <v>234</v>
      </c>
      <c r="H827" s="6">
        <v>3</v>
      </c>
    </row>
    <row r="828" spans="1:8" ht="30" x14ac:dyDescent="0.25">
      <c r="A828" s="17" t="s">
        <v>1150</v>
      </c>
      <c r="B828" s="17" t="s">
        <v>1150</v>
      </c>
      <c r="C828" s="17" t="s">
        <v>271</v>
      </c>
      <c r="D828" s="17" t="s">
        <v>269</v>
      </c>
      <c r="E828" s="17">
        <v>5.2359699999999999E-4</v>
      </c>
      <c r="F828" s="6" t="s">
        <v>233</v>
      </c>
      <c r="G828" s="6" t="s">
        <v>234</v>
      </c>
      <c r="H828" s="6">
        <v>3</v>
      </c>
    </row>
    <row r="829" spans="1:8" ht="30" x14ac:dyDescent="0.25">
      <c r="A829" s="17" t="s">
        <v>1151</v>
      </c>
      <c r="B829" s="17" t="s">
        <v>1151</v>
      </c>
      <c r="C829" s="17" t="s">
        <v>271</v>
      </c>
      <c r="D829" s="17" t="s">
        <v>269</v>
      </c>
      <c r="E829" s="17">
        <v>5.2359699999999999E-4</v>
      </c>
      <c r="F829" s="6" t="s">
        <v>233</v>
      </c>
      <c r="G829" s="6" t="s">
        <v>234</v>
      </c>
      <c r="H829" s="6">
        <v>3</v>
      </c>
    </row>
    <row r="830" spans="1:8" ht="30" x14ac:dyDescent="0.25">
      <c r="A830" s="17" t="s">
        <v>1152</v>
      </c>
      <c r="B830" s="17" t="s">
        <v>1152</v>
      </c>
      <c r="C830" s="17" t="s">
        <v>271</v>
      </c>
      <c r="D830" s="17" t="s">
        <v>269</v>
      </c>
      <c r="E830" s="17">
        <v>5.2359699999999999E-4</v>
      </c>
      <c r="F830" s="6" t="s">
        <v>233</v>
      </c>
      <c r="G830" s="6" t="s">
        <v>234</v>
      </c>
      <c r="H830" s="6">
        <v>3</v>
      </c>
    </row>
    <row r="831" spans="1:8" ht="30" x14ac:dyDescent="0.25">
      <c r="A831" s="17" t="s">
        <v>1153</v>
      </c>
      <c r="B831" s="17" t="s">
        <v>1153</v>
      </c>
      <c r="C831" s="17" t="s">
        <v>271</v>
      </c>
      <c r="D831" s="17" t="s">
        <v>269</v>
      </c>
      <c r="E831" s="17">
        <v>5.2359699999999999E-4</v>
      </c>
      <c r="F831" s="6" t="s">
        <v>233</v>
      </c>
      <c r="G831" s="6" t="s">
        <v>234</v>
      </c>
      <c r="H831" s="6">
        <v>3</v>
      </c>
    </row>
    <row r="832" spans="1:8" ht="30" x14ac:dyDescent="0.25">
      <c r="A832" s="17" t="s">
        <v>1154</v>
      </c>
      <c r="B832" s="17" t="s">
        <v>1154</v>
      </c>
      <c r="C832" s="17" t="s">
        <v>271</v>
      </c>
      <c r="D832" s="17" t="s">
        <v>269</v>
      </c>
      <c r="E832" s="17">
        <v>5.2359699999999999E-4</v>
      </c>
      <c r="F832" s="6" t="s">
        <v>233</v>
      </c>
      <c r="G832" s="6" t="s">
        <v>234</v>
      </c>
      <c r="H832" s="6">
        <v>3</v>
      </c>
    </row>
    <row r="833" spans="1:8" ht="30" x14ac:dyDescent="0.25">
      <c r="A833" s="17" t="s">
        <v>1155</v>
      </c>
      <c r="B833" s="17" t="s">
        <v>1155</v>
      </c>
      <c r="C833" s="17" t="s">
        <v>244</v>
      </c>
      <c r="D833" s="17" t="s">
        <v>242</v>
      </c>
      <c r="E833" s="17">
        <v>1.2049999999999999E-3</v>
      </c>
      <c r="F833" s="6" t="s">
        <v>233</v>
      </c>
      <c r="G833" s="6" t="s">
        <v>234</v>
      </c>
      <c r="H833" s="6">
        <v>3</v>
      </c>
    </row>
    <row r="834" spans="1:8" ht="30" x14ac:dyDescent="0.25">
      <c r="A834" s="17" t="s">
        <v>1156</v>
      </c>
      <c r="B834" s="17" t="s">
        <v>1156</v>
      </c>
      <c r="C834" s="17" t="s">
        <v>244</v>
      </c>
      <c r="D834" s="17" t="s">
        <v>242</v>
      </c>
      <c r="E834" s="17">
        <v>1.2049999999999999E-3</v>
      </c>
      <c r="F834" s="6" t="s">
        <v>233</v>
      </c>
      <c r="G834" s="6" t="s">
        <v>234</v>
      </c>
      <c r="H834" s="6">
        <v>3</v>
      </c>
    </row>
    <row r="835" spans="1:8" ht="30" x14ac:dyDescent="0.25">
      <c r="A835" s="17" t="s">
        <v>1157</v>
      </c>
      <c r="B835" s="17" t="s">
        <v>1157</v>
      </c>
      <c r="C835" s="17" t="s">
        <v>271</v>
      </c>
      <c r="D835" s="17" t="s">
        <v>269</v>
      </c>
      <c r="E835" s="17">
        <v>5.2359699999999999E-4</v>
      </c>
      <c r="F835" s="6" t="s">
        <v>233</v>
      </c>
      <c r="G835" s="6" t="s">
        <v>234</v>
      </c>
      <c r="H835" s="6">
        <v>3</v>
      </c>
    </row>
    <row r="836" spans="1:8" ht="30" x14ac:dyDescent="0.25">
      <c r="A836" s="17" t="s">
        <v>1158</v>
      </c>
      <c r="B836" s="17" t="s">
        <v>1158</v>
      </c>
      <c r="C836" s="17" t="s">
        <v>271</v>
      </c>
      <c r="D836" s="17" t="s">
        <v>269</v>
      </c>
      <c r="E836" s="17">
        <v>5.2359699999999999E-4</v>
      </c>
      <c r="F836" s="6" t="s">
        <v>233</v>
      </c>
      <c r="G836" s="6" t="s">
        <v>234</v>
      </c>
      <c r="H836" s="6">
        <v>3</v>
      </c>
    </row>
    <row r="837" spans="1:8" ht="30" x14ac:dyDescent="0.25">
      <c r="A837" s="17" t="s">
        <v>1159</v>
      </c>
      <c r="B837" s="17" t="s">
        <v>1159</v>
      </c>
      <c r="C837" s="17" t="s">
        <v>271</v>
      </c>
      <c r="D837" s="17" t="s">
        <v>269</v>
      </c>
      <c r="E837" s="17">
        <v>5.2359699999999999E-4</v>
      </c>
      <c r="F837" s="6" t="s">
        <v>233</v>
      </c>
      <c r="G837" s="6" t="s">
        <v>234</v>
      </c>
      <c r="H837" s="6">
        <v>3</v>
      </c>
    </row>
    <row r="838" spans="1:8" ht="30" x14ac:dyDescent="0.25">
      <c r="A838" s="17" t="s">
        <v>1160</v>
      </c>
      <c r="B838" s="17" t="s">
        <v>1160</v>
      </c>
      <c r="C838" s="17" t="s">
        <v>271</v>
      </c>
      <c r="D838" s="17" t="s">
        <v>269</v>
      </c>
      <c r="E838" s="17">
        <v>5.2359699999999999E-4</v>
      </c>
      <c r="F838" s="6" t="s">
        <v>233</v>
      </c>
      <c r="G838" s="6" t="s">
        <v>234</v>
      </c>
      <c r="H838" s="6">
        <v>3</v>
      </c>
    </row>
    <row r="839" spans="1:8" ht="30" x14ac:dyDescent="0.25">
      <c r="A839" s="17" t="s">
        <v>581</v>
      </c>
      <c r="B839" s="17" t="s">
        <v>581</v>
      </c>
      <c r="C839" s="17" t="s">
        <v>271</v>
      </c>
      <c r="D839" s="17" t="s">
        <v>269</v>
      </c>
      <c r="E839" s="17">
        <v>5.2359699999999999E-4</v>
      </c>
      <c r="F839" s="6" t="s">
        <v>233</v>
      </c>
      <c r="G839" s="6" t="s">
        <v>234</v>
      </c>
      <c r="H839" s="6">
        <v>3</v>
      </c>
    </row>
    <row r="840" spans="1:8" ht="30" x14ac:dyDescent="0.25">
      <c r="A840" s="17" t="s">
        <v>1161</v>
      </c>
      <c r="B840" s="17" t="s">
        <v>1161</v>
      </c>
      <c r="C840" s="17" t="s">
        <v>271</v>
      </c>
      <c r="D840" s="17" t="s">
        <v>269</v>
      </c>
      <c r="E840" s="17">
        <v>5.2359699999999999E-4</v>
      </c>
      <c r="F840" s="6" t="s">
        <v>233</v>
      </c>
      <c r="G840" s="6" t="s">
        <v>234</v>
      </c>
      <c r="H840" s="6">
        <v>3</v>
      </c>
    </row>
    <row r="841" spans="1:8" ht="30" x14ac:dyDescent="0.25">
      <c r="A841" s="17" t="s">
        <v>557</v>
      </c>
      <c r="B841" s="17" t="s">
        <v>557</v>
      </c>
      <c r="C841" s="17" t="s">
        <v>271</v>
      </c>
      <c r="D841" s="17" t="s">
        <v>269</v>
      </c>
      <c r="E841" s="17">
        <v>5.2359699999999999E-4</v>
      </c>
      <c r="F841" s="6" t="s">
        <v>233</v>
      </c>
      <c r="G841" s="6" t="s">
        <v>234</v>
      </c>
      <c r="H841" s="6">
        <v>3</v>
      </c>
    </row>
    <row r="842" spans="1:8" ht="30" x14ac:dyDescent="0.25">
      <c r="A842" s="17" t="s">
        <v>1126</v>
      </c>
      <c r="B842" s="17" t="s">
        <v>1126</v>
      </c>
      <c r="C842" s="17" t="s">
        <v>271</v>
      </c>
      <c r="D842" s="17" t="s">
        <v>269</v>
      </c>
      <c r="E842" s="17">
        <v>5.2359699999999999E-4</v>
      </c>
      <c r="F842" s="6" t="s">
        <v>233</v>
      </c>
      <c r="G842" s="6" t="s">
        <v>234</v>
      </c>
      <c r="H842" s="6">
        <v>3</v>
      </c>
    </row>
    <row r="843" spans="1:8" ht="30" x14ac:dyDescent="0.25">
      <c r="A843" s="17" t="s">
        <v>1162</v>
      </c>
      <c r="B843" s="17" t="s">
        <v>1162</v>
      </c>
      <c r="C843" s="17" t="s">
        <v>271</v>
      </c>
      <c r="D843" s="17" t="s">
        <v>269</v>
      </c>
      <c r="E843" s="17">
        <v>5.2359699999999999E-4</v>
      </c>
      <c r="F843" s="6" t="s">
        <v>233</v>
      </c>
      <c r="G843" s="6" t="s">
        <v>234</v>
      </c>
      <c r="H843" s="6">
        <v>3</v>
      </c>
    </row>
    <row r="844" spans="1:8" ht="30" x14ac:dyDescent="0.25">
      <c r="A844" s="17" t="s">
        <v>1163</v>
      </c>
      <c r="B844" s="17" t="s">
        <v>1163</v>
      </c>
      <c r="C844" s="17" t="s">
        <v>271</v>
      </c>
      <c r="D844" s="17" t="s">
        <v>269</v>
      </c>
      <c r="E844" s="17">
        <v>5.2359699999999999E-4</v>
      </c>
      <c r="F844" s="6" t="s">
        <v>233</v>
      </c>
      <c r="G844" s="6" t="s">
        <v>234</v>
      </c>
      <c r="H844" s="6">
        <v>3</v>
      </c>
    </row>
    <row r="845" spans="1:8" ht="30" x14ac:dyDescent="0.25">
      <c r="A845" s="17" t="s">
        <v>1164</v>
      </c>
      <c r="B845" s="17" t="s">
        <v>1164</v>
      </c>
      <c r="C845" s="17" t="s">
        <v>271</v>
      </c>
      <c r="D845" s="17" t="s">
        <v>269</v>
      </c>
      <c r="E845" s="17">
        <v>5.2359699999999999E-4</v>
      </c>
      <c r="F845" s="6" t="s">
        <v>233</v>
      </c>
      <c r="G845" s="6" t="s">
        <v>234</v>
      </c>
      <c r="H845" s="6">
        <v>3</v>
      </c>
    </row>
    <row r="846" spans="1:8" ht="30" x14ac:dyDescent="0.25">
      <c r="A846" s="17" t="s">
        <v>1165</v>
      </c>
      <c r="B846" s="17" t="s">
        <v>1165</v>
      </c>
      <c r="C846" s="17" t="s">
        <v>271</v>
      </c>
      <c r="D846" s="17" t="s">
        <v>269</v>
      </c>
      <c r="E846" s="17">
        <v>5.2359699999999999E-4</v>
      </c>
      <c r="F846" s="6" t="s">
        <v>233</v>
      </c>
      <c r="G846" s="6" t="s">
        <v>234</v>
      </c>
      <c r="H846" s="6">
        <v>3</v>
      </c>
    </row>
    <row r="847" spans="1:8" ht="30" x14ac:dyDescent="0.25">
      <c r="A847" s="17" t="s">
        <v>578</v>
      </c>
      <c r="B847" s="17" t="s">
        <v>578</v>
      </c>
      <c r="C847" s="17" t="s">
        <v>271</v>
      </c>
      <c r="D847" s="17" t="s">
        <v>269</v>
      </c>
      <c r="E847" s="17">
        <v>5.2359699999999999E-4</v>
      </c>
      <c r="F847" s="6" t="s">
        <v>233</v>
      </c>
      <c r="G847" s="6" t="s">
        <v>234</v>
      </c>
      <c r="H847" s="6">
        <v>3</v>
      </c>
    </row>
    <row r="848" spans="1:8" ht="30" x14ac:dyDescent="0.25">
      <c r="A848" s="17" t="s">
        <v>534</v>
      </c>
      <c r="B848" s="17" t="s">
        <v>534</v>
      </c>
      <c r="C848" s="17" t="s">
        <v>271</v>
      </c>
      <c r="D848" s="17" t="s">
        <v>269</v>
      </c>
      <c r="E848" s="17">
        <v>5.2359699999999999E-4</v>
      </c>
      <c r="F848" s="6" t="s">
        <v>233</v>
      </c>
      <c r="G848" s="6" t="s">
        <v>234</v>
      </c>
      <c r="H848" s="6">
        <v>3</v>
      </c>
    </row>
    <row r="849" spans="1:8" ht="30" x14ac:dyDescent="0.25">
      <c r="A849" s="17" t="s">
        <v>1166</v>
      </c>
      <c r="B849" s="17" t="s">
        <v>1166</v>
      </c>
      <c r="C849" s="17" t="s">
        <v>271</v>
      </c>
      <c r="D849" s="17" t="s">
        <v>269</v>
      </c>
      <c r="E849" s="17">
        <v>5.2359699999999999E-4</v>
      </c>
      <c r="F849" s="6" t="s">
        <v>233</v>
      </c>
      <c r="G849" s="6" t="s">
        <v>234</v>
      </c>
      <c r="H849" s="6">
        <v>3</v>
      </c>
    </row>
    <row r="850" spans="1:8" ht="30" x14ac:dyDescent="0.25">
      <c r="A850" s="17" t="s">
        <v>1167</v>
      </c>
      <c r="B850" s="17" t="s">
        <v>1167</v>
      </c>
      <c r="C850" s="17" t="s">
        <v>271</v>
      </c>
      <c r="D850" s="17" t="s">
        <v>269</v>
      </c>
      <c r="E850" s="17">
        <v>5.2359699999999999E-4</v>
      </c>
      <c r="F850" s="6" t="s">
        <v>233</v>
      </c>
      <c r="G850" s="6" t="s">
        <v>234</v>
      </c>
      <c r="H850" s="6">
        <v>3</v>
      </c>
    </row>
    <row r="851" spans="1:8" ht="30" x14ac:dyDescent="0.25">
      <c r="A851" s="17" t="s">
        <v>1168</v>
      </c>
      <c r="B851" s="17" t="s">
        <v>1168</v>
      </c>
      <c r="C851" s="17" t="s">
        <v>271</v>
      </c>
      <c r="D851" s="17" t="s">
        <v>269</v>
      </c>
      <c r="E851" s="17">
        <v>5.2359699999999999E-4</v>
      </c>
      <c r="F851" s="6" t="s">
        <v>233</v>
      </c>
      <c r="G851" s="6" t="s">
        <v>234</v>
      </c>
      <c r="H851" s="6">
        <v>3</v>
      </c>
    </row>
    <row r="852" spans="1:8" ht="30" x14ac:dyDescent="0.25">
      <c r="A852" s="17" t="s">
        <v>1169</v>
      </c>
      <c r="B852" s="17" t="s">
        <v>1169</v>
      </c>
      <c r="C852" s="17" t="s">
        <v>271</v>
      </c>
      <c r="D852" s="17" t="s">
        <v>269</v>
      </c>
      <c r="E852" s="17">
        <v>5.2359699999999999E-4</v>
      </c>
      <c r="F852" s="6" t="s">
        <v>233</v>
      </c>
      <c r="G852" s="6" t="s">
        <v>234</v>
      </c>
      <c r="H852" s="6">
        <v>3</v>
      </c>
    </row>
    <row r="853" spans="1:8" ht="30" x14ac:dyDescent="0.25">
      <c r="A853" s="17" t="s">
        <v>1170</v>
      </c>
      <c r="B853" s="17" t="s">
        <v>1170</v>
      </c>
      <c r="C853" s="17" t="s">
        <v>271</v>
      </c>
      <c r="D853" s="17" t="s">
        <v>269</v>
      </c>
      <c r="E853" s="17">
        <v>5.2359699999999999E-4</v>
      </c>
      <c r="F853" s="6" t="s">
        <v>233</v>
      </c>
      <c r="G853" s="6" t="s">
        <v>234</v>
      </c>
      <c r="H853" s="6">
        <v>3</v>
      </c>
    </row>
    <row r="854" spans="1:8" ht="30" x14ac:dyDescent="0.25">
      <c r="A854" s="17" t="s">
        <v>1171</v>
      </c>
      <c r="B854" s="17" t="s">
        <v>1171</v>
      </c>
      <c r="C854" s="17" t="s">
        <v>271</v>
      </c>
      <c r="D854" s="17" t="s">
        <v>269</v>
      </c>
      <c r="E854" s="17">
        <v>5.2359699999999999E-4</v>
      </c>
      <c r="F854" s="6" t="s">
        <v>233</v>
      </c>
      <c r="G854" s="6" t="s">
        <v>234</v>
      </c>
      <c r="H854" s="6">
        <v>3</v>
      </c>
    </row>
    <row r="855" spans="1:8" ht="30" x14ac:dyDescent="0.25">
      <c r="A855" s="17" t="s">
        <v>579</v>
      </c>
      <c r="B855" s="17" t="s">
        <v>579</v>
      </c>
      <c r="C855" s="17" t="s">
        <v>271</v>
      </c>
      <c r="D855" s="17" t="s">
        <v>269</v>
      </c>
      <c r="E855" s="17">
        <v>5.2359699999999999E-4</v>
      </c>
      <c r="F855" s="6" t="s">
        <v>233</v>
      </c>
      <c r="G855" s="6" t="s">
        <v>234</v>
      </c>
      <c r="H855" s="6">
        <v>3</v>
      </c>
    </row>
    <row r="856" spans="1:8" ht="30" x14ac:dyDescent="0.25">
      <c r="A856" s="17" t="s">
        <v>578</v>
      </c>
      <c r="B856" s="17" t="s">
        <v>578</v>
      </c>
      <c r="C856" s="17" t="s">
        <v>271</v>
      </c>
      <c r="D856" s="17" t="s">
        <v>269</v>
      </c>
      <c r="E856" s="17">
        <v>5.2359699999999999E-4</v>
      </c>
      <c r="F856" s="6" t="s">
        <v>233</v>
      </c>
      <c r="G856" s="6" t="s">
        <v>234</v>
      </c>
      <c r="H856" s="6">
        <v>3</v>
      </c>
    </row>
    <row r="857" spans="1:8" ht="30" x14ac:dyDescent="0.25">
      <c r="A857" s="17" t="s">
        <v>1147</v>
      </c>
      <c r="B857" s="17" t="s">
        <v>1147</v>
      </c>
      <c r="C857" s="17" t="s">
        <v>271</v>
      </c>
      <c r="D857" s="17" t="s">
        <v>269</v>
      </c>
      <c r="E857" s="17">
        <v>5.2359699999999999E-4</v>
      </c>
      <c r="F857" s="6" t="s">
        <v>233</v>
      </c>
      <c r="G857" s="6" t="s">
        <v>234</v>
      </c>
      <c r="H857" s="6">
        <v>3</v>
      </c>
    </row>
    <row r="858" spans="1:8" ht="30" x14ac:dyDescent="0.25">
      <c r="A858" s="17" t="s">
        <v>1172</v>
      </c>
      <c r="B858" s="17" t="s">
        <v>1172</v>
      </c>
      <c r="C858" s="17" t="s">
        <v>271</v>
      </c>
      <c r="D858" s="17" t="s">
        <v>269</v>
      </c>
      <c r="E858" s="17">
        <v>5.2359699999999999E-4</v>
      </c>
      <c r="F858" s="6" t="s">
        <v>233</v>
      </c>
      <c r="G858" s="6" t="s">
        <v>234</v>
      </c>
      <c r="H858" s="6">
        <v>3</v>
      </c>
    </row>
    <row r="859" spans="1:8" ht="30" x14ac:dyDescent="0.25">
      <c r="A859" s="17" t="s">
        <v>1173</v>
      </c>
      <c r="B859" s="17" t="s">
        <v>1173</v>
      </c>
      <c r="C859" s="17" t="s">
        <v>271</v>
      </c>
      <c r="D859" s="17" t="s">
        <v>269</v>
      </c>
      <c r="E859" s="17">
        <v>5.2359699999999999E-4</v>
      </c>
      <c r="F859" s="6" t="s">
        <v>233</v>
      </c>
      <c r="G859" s="6" t="s">
        <v>234</v>
      </c>
      <c r="H859" s="6">
        <v>3</v>
      </c>
    </row>
    <row r="860" spans="1:8" ht="30" x14ac:dyDescent="0.25">
      <c r="A860" s="17" t="s">
        <v>1153</v>
      </c>
      <c r="B860" s="17" t="s">
        <v>1153</v>
      </c>
      <c r="C860" s="17" t="s">
        <v>271</v>
      </c>
      <c r="D860" s="17" t="s">
        <v>269</v>
      </c>
      <c r="E860" s="17">
        <v>5.2359699999999999E-4</v>
      </c>
      <c r="F860" s="6" t="s">
        <v>233</v>
      </c>
      <c r="G860" s="6" t="s">
        <v>234</v>
      </c>
      <c r="H860" s="6">
        <v>3</v>
      </c>
    </row>
    <row r="861" spans="1:8" ht="30" x14ac:dyDescent="0.25">
      <c r="A861" s="17" t="s">
        <v>1174</v>
      </c>
      <c r="B861" s="17" t="s">
        <v>1174</v>
      </c>
      <c r="C861" s="17" t="s">
        <v>271</v>
      </c>
      <c r="D861" s="17" t="s">
        <v>269</v>
      </c>
      <c r="E861" s="17">
        <v>5.2359699999999999E-4</v>
      </c>
      <c r="F861" s="6" t="s">
        <v>233</v>
      </c>
      <c r="G861" s="6" t="s">
        <v>234</v>
      </c>
      <c r="H861" s="6">
        <v>3</v>
      </c>
    </row>
    <row r="862" spans="1:8" ht="30" x14ac:dyDescent="0.25">
      <c r="A862" s="17" t="s">
        <v>1175</v>
      </c>
      <c r="B862" s="17" t="s">
        <v>1175</v>
      </c>
      <c r="C862" s="17" t="s">
        <v>271</v>
      </c>
      <c r="D862" s="17" t="s">
        <v>269</v>
      </c>
      <c r="E862" s="17">
        <v>5.2359699999999999E-4</v>
      </c>
      <c r="F862" s="6" t="s">
        <v>233</v>
      </c>
      <c r="G862" s="6" t="s">
        <v>234</v>
      </c>
      <c r="H862" s="6">
        <v>3</v>
      </c>
    </row>
    <row r="863" spans="1:8" ht="30" x14ac:dyDescent="0.25">
      <c r="A863" s="17" t="s">
        <v>1176</v>
      </c>
      <c r="B863" s="17" t="s">
        <v>1176</v>
      </c>
      <c r="C863" s="17" t="s">
        <v>271</v>
      </c>
      <c r="D863" s="17" t="s">
        <v>269</v>
      </c>
      <c r="E863" s="17">
        <v>5.2359699999999999E-4</v>
      </c>
      <c r="F863" s="6" t="s">
        <v>233</v>
      </c>
      <c r="G863" s="6" t="s">
        <v>234</v>
      </c>
      <c r="H863" s="6">
        <v>3</v>
      </c>
    </row>
    <row r="864" spans="1:8" ht="30" x14ac:dyDescent="0.25">
      <c r="A864" s="17" t="s">
        <v>1177</v>
      </c>
      <c r="B864" s="17" t="s">
        <v>1177</v>
      </c>
      <c r="C864" s="17" t="s">
        <v>271</v>
      </c>
      <c r="D864" s="17" t="s">
        <v>269</v>
      </c>
      <c r="E864" s="17">
        <v>5.2359699999999999E-4</v>
      </c>
      <c r="F864" s="6" t="s">
        <v>233</v>
      </c>
      <c r="G864" s="6" t="s">
        <v>234</v>
      </c>
      <c r="H864" s="6">
        <v>3</v>
      </c>
    </row>
    <row r="865" spans="1:8" ht="30" x14ac:dyDescent="0.25">
      <c r="A865" s="17" t="s">
        <v>547</v>
      </c>
      <c r="B865" s="17" t="s">
        <v>547</v>
      </c>
      <c r="C865" s="17" t="s">
        <v>271</v>
      </c>
      <c r="D865" s="17" t="s">
        <v>269</v>
      </c>
      <c r="E865" s="17">
        <v>5.2359699999999999E-4</v>
      </c>
      <c r="F865" s="6" t="s">
        <v>233</v>
      </c>
      <c r="G865" s="6" t="s">
        <v>234</v>
      </c>
      <c r="H865" s="6">
        <v>3</v>
      </c>
    </row>
    <row r="866" spans="1:8" ht="30" x14ac:dyDescent="0.25">
      <c r="A866" s="17" t="s">
        <v>1127</v>
      </c>
      <c r="B866" s="17" t="s">
        <v>1127</v>
      </c>
      <c r="C866" s="17" t="s">
        <v>271</v>
      </c>
      <c r="D866" s="17" t="s">
        <v>269</v>
      </c>
      <c r="E866" s="17">
        <v>5.2359699999999999E-4</v>
      </c>
      <c r="F866" s="6" t="s">
        <v>233</v>
      </c>
      <c r="G866" s="6" t="s">
        <v>234</v>
      </c>
      <c r="H866" s="6">
        <v>3</v>
      </c>
    </row>
    <row r="867" spans="1:8" ht="30" x14ac:dyDescent="0.25">
      <c r="A867" s="17" t="s">
        <v>1178</v>
      </c>
      <c r="B867" s="17" t="s">
        <v>1178</v>
      </c>
      <c r="C867" s="17" t="s">
        <v>271</v>
      </c>
      <c r="D867" s="17" t="s">
        <v>269</v>
      </c>
      <c r="E867" s="17">
        <v>5.2359699999999999E-4</v>
      </c>
      <c r="F867" s="6" t="s">
        <v>233</v>
      </c>
      <c r="G867" s="6" t="s">
        <v>234</v>
      </c>
      <c r="H867" s="6">
        <v>3</v>
      </c>
    </row>
    <row r="868" spans="1:8" ht="30" x14ac:dyDescent="0.25">
      <c r="A868" s="17" t="s">
        <v>1179</v>
      </c>
      <c r="B868" s="17" t="s">
        <v>1179</v>
      </c>
      <c r="C868" s="17" t="s">
        <v>271</v>
      </c>
      <c r="D868" s="17" t="s">
        <v>269</v>
      </c>
      <c r="E868" s="17">
        <v>5.2359699999999999E-4</v>
      </c>
      <c r="F868" s="6" t="s">
        <v>233</v>
      </c>
      <c r="G868" s="6" t="s">
        <v>234</v>
      </c>
      <c r="H868" s="6">
        <v>3</v>
      </c>
    </row>
    <row r="869" spans="1:8" ht="30" x14ac:dyDescent="0.25">
      <c r="A869" s="17" t="s">
        <v>1180</v>
      </c>
      <c r="B869" s="17" t="s">
        <v>1180</v>
      </c>
      <c r="C869" s="17" t="s">
        <v>271</v>
      </c>
      <c r="D869" s="17" t="s">
        <v>269</v>
      </c>
      <c r="E869" s="17">
        <v>5.2359699999999999E-4</v>
      </c>
      <c r="F869" s="6" t="s">
        <v>233</v>
      </c>
      <c r="G869" s="6" t="s">
        <v>234</v>
      </c>
      <c r="H869" s="6">
        <v>3</v>
      </c>
    </row>
    <row r="870" spans="1:8" ht="30" x14ac:dyDescent="0.25">
      <c r="A870" s="17" t="s">
        <v>1181</v>
      </c>
      <c r="B870" s="17" t="s">
        <v>1181</v>
      </c>
      <c r="C870" s="17" t="s">
        <v>271</v>
      </c>
      <c r="D870" s="17" t="s">
        <v>269</v>
      </c>
      <c r="E870" s="17">
        <v>5.2359699999999999E-4</v>
      </c>
      <c r="F870" s="6" t="s">
        <v>233</v>
      </c>
      <c r="G870" s="6" t="s">
        <v>234</v>
      </c>
      <c r="H870" s="6">
        <v>3</v>
      </c>
    </row>
    <row r="871" spans="1:8" ht="30" x14ac:dyDescent="0.25">
      <c r="A871" s="17" t="s">
        <v>1182</v>
      </c>
      <c r="B871" s="17" t="s">
        <v>1182</v>
      </c>
      <c r="C871" s="17" t="s">
        <v>271</v>
      </c>
      <c r="D871" s="17" t="s">
        <v>269</v>
      </c>
      <c r="E871" s="17">
        <v>5.2359699999999999E-4</v>
      </c>
      <c r="F871" s="6" t="s">
        <v>233</v>
      </c>
      <c r="G871" s="6" t="s">
        <v>234</v>
      </c>
      <c r="H871" s="6">
        <v>3</v>
      </c>
    </row>
    <row r="872" spans="1:8" ht="30" x14ac:dyDescent="0.25">
      <c r="A872" s="17" t="s">
        <v>1183</v>
      </c>
      <c r="B872" s="17" t="s">
        <v>1183</v>
      </c>
      <c r="C872" s="17" t="s">
        <v>271</v>
      </c>
      <c r="D872" s="17" t="s">
        <v>269</v>
      </c>
      <c r="E872" s="17">
        <v>5.2359699999999999E-4</v>
      </c>
      <c r="F872" s="6" t="s">
        <v>233</v>
      </c>
      <c r="G872" s="6" t="s">
        <v>234</v>
      </c>
      <c r="H872" s="6">
        <v>3</v>
      </c>
    </row>
    <row r="873" spans="1:8" ht="30" x14ac:dyDescent="0.25">
      <c r="A873" s="17" t="s">
        <v>1184</v>
      </c>
      <c r="B873" s="17" t="s">
        <v>1184</v>
      </c>
      <c r="C873" s="17" t="s">
        <v>271</v>
      </c>
      <c r="D873" s="17" t="s">
        <v>269</v>
      </c>
      <c r="E873" s="17">
        <v>5.2359699999999999E-4</v>
      </c>
      <c r="F873" s="6" t="s">
        <v>233</v>
      </c>
      <c r="G873" s="6" t="s">
        <v>234</v>
      </c>
      <c r="H873" s="6">
        <v>3</v>
      </c>
    </row>
    <row r="874" spans="1:8" ht="30" x14ac:dyDescent="0.25">
      <c r="A874" s="17" t="s">
        <v>1185</v>
      </c>
      <c r="B874" s="17" t="s">
        <v>1185</v>
      </c>
      <c r="C874" s="17" t="s">
        <v>271</v>
      </c>
      <c r="D874" s="17" t="s">
        <v>269</v>
      </c>
      <c r="E874" s="17">
        <v>5.2359699999999999E-4</v>
      </c>
      <c r="F874" s="6" t="s">
        <v>233</v>
      </c>
      <c r="G874" s="6" t="s">
        <v>234</v>
      </c>
      <c r="H874" s="6">
        <v>3</v>
      </c>
    </row>
    <row r="875" spans="1:8" ht="30" x14ac:dyDescent="0.25">
      <c r="A875" s="17" t="s">
        <v>1186</v>
      </c>
      <c r="B875" s="17" t="s">
        <v>1186</v>
      </c>
      <c r="C875" s="17" t="s">
        <v>271</v>
      </c>
      <c r="D875" s="17" t="s">
        <v>269</v>
      </c>
      <c r="E875" s="17">
        <v>5.2359699999999999E-4</v>
      </c>
      <c r="F875" s="6" t="s">
        <v>233</v>
      </c>
      <c r="G875" s="6" t="s">
        <v>234</v>
      </c>
      <c r="H875" s="6">
        <v>3</v>
      </c>
    </row>
    <row r="876" spans="1:8" ht="30" x14ac:dyDescent="0.25">
      <c r="A876" s="17" t="s">
        <v>1187</v>
      </c>
      <c r="B876" s="17" t="s">
        <v>1187</v>
      </c>
      <c r="C876" s="17" t="s">
        <v>271</v>
      </c>
      <c r="D876" s="17" t="s">
        <v>269</v>
      </c>
      <c r="E876" s="17">
        <v>5.2359699999999999E-4</v>
      </c>
      <c r="F876" s="6" t="s">
        <v>233</v>
      </c>
      <c r="G876" s="6" t="s">
        <v>234</v>
      </c>
      <c r="H876" s="6">
        <v>3</v>
      </c>
    </row>
    <row r="877" spans="1:8" ht="30" x14ac:dyDescent="0.25">
      <c r="A877" s="17" t="s">
        <v>1188</v>
      </c>
      <c r="B877" s="17" t="s">
        <v>1188</v>
      </c>
      <c r="C877" s="17" t="s">
        <v>271</v>
      </c>
      <c r="D877" s="17" t="s">
        <v>269</v>
      </c>
      <c r="E877" s="17">
        <v>5.2359699999999999E-4</v>
      </c>
      <c r="F877" s="6" t="s">
        <v>233</v>
      </c>
      <c r="G877" s="6" t="s">
        <v>234</v>
      </c>
      <c r="H877" s="6">
        <v>3</v>
      </c>
    </row>
    <row r="878" spans="1:8" ht="30" x14ac:dyDescent="0.25">
      <c r="A878" s="17" t="s">
        <v>1189</v>
      </c>
      <c r="B878" s="17" t="s">
        <v>1189</v>
      </c>
      <c r="C878" s="17" t="s">
        <v>271</v>
      </c>
      <c r="D878" s="17" t="s">
        <v>269</v>
      </c>
      <c r="E878" s="17">
        <v>5.2359699999999999E-4</v>
      </c>
      <c r="F878" s="6" t="s">
        <v>233</v>
      </c>
      <c r="G878" s="6" t="s">
        <v>234</v>
      </c>
      <c r="H878" s="6">
        <v>3</v>
      </c>
    </row>
    <row r="879" spans="1:8" ht="30" x14ac:dyDescent="0.25">
      <c r="A879" s="17" t="s">
        <v>1190</v>
      </c>
      <c r="B879" s="17" t="s">
        <v>1190</v>
      </c>
      <c r="C879" s="17" t="s">
        <v>271</v>
      </c>
      <c r="D879" s="17" t="s">
        <v>269</v>
      </c>
      <c r="E879" s="17">
        <v>5.2359699999999999E-4</v>
      </c>
      <c r="F879" s="6" t="s">
        <v>233</v>
      </c>
      <c r="G879" s="6" t="s">
        <v>234</v>
      </c>
      <c r="H879" s="6">
        <v>3</v>
      </c>
    </row>
    <row r="880" spans="1:8" ht="30" x14ac:dyDescent="0.25">
      <c r="A880" s="17" t="s">
        <v>1191</v>
      </c>
      <c r="B880" s="17" t="s">
        <v>1191</v>
      </c>
      <c r="C880" s="17" t="s">
        <v>271</v>
      </c>
      <c r="D880" s="17" t="s">
        <v>269</v>
      </c>
      <c r="E880" s="17">
        <v>5.2359699999999999E-4</v>
      </c>
      <c r="F880" s="6" t="s">
        <v>233</v>
      </c>
      <c r="G880" s="6" t="s">
        <v>234</v>
      </c>
      <c r="H880" s="6">
        <v>3</v>
      </c>
    </row>
    <row r="881" spans="1:8" ht="30" x14ac:dyDescent="0.25">
      <c r="A881" s="17" t="s">
        <v>1192</v>
      </c>
      <c r="B881" s="17" t="s">
        <v>1192</v>
      </c>
      <c r="C881" s="17" t="s">
        <v>271</v>
      </c>
      <c r="D881" s="17" t="s">
        <v>269</v>
      </c>
      <c r="E881" s="17">
        <v>5.2359699999999999E-4</v>
      </c>
      <c r="F881" s="6" t="s">
        <v>233</v>
      </c>
      <c r="G881" s="6" t="s">
        <v>234</v>
      </c>
      <c r="H881" s="6">
        <v>3</v>
      </c>
    </row>
    <row r="882" spans="1:8" ht="30" x14ac:dyDescent="0.25">
      <c r="A882" s="17" t="s">
        <v>1193</v>
      </c>
      <c r="B882" s="17" t="s">
        <v>1193</v>
      </c>
      <c r="C882" s="17" t="s">
        <v>271</v>
      </c>
      <c r="D882" s="17" t="s">
        <v>269</v>
      </c>
      <c r="E882" s="17">
        <v>5.2359699999999999E-4</v>
      </c>
      <c r="F882" s="6" t="s">
        <v>233</v>
      </c>
      <c r="G882" s="6" t="s">
        <v>234</v>
      </c>
      <c r="H882" s="6">
        <v>3</v>
      </c>
    </row>
    <row r="883" spans="1:8" ht="30" x14ac:dyDescent="0.25">
      <c r="A883" s="17" t="s">
        <v>1194</v>
      </c>
      <c r="B883" s="17" t="s">
        <v>1194</v>
      </c>
      <c r="C883" s="17" t="s">
        <v>271</v>
      </c>
      <c r="D883" s="17" t="s">
        <v>269</v>
      </c>
      <c r="E883" s="17">
        <v>5.2359699999999999E-4</v>
      </c>
      <c r="F883" s="6" t="s">
        <v>233</v>
      </c>
      <c r="G883" s="6" t="s">
        <v>234</v>
      </c>
      <c r="H883" s="6">
        <v>3</v>
      </c>
    </row>
    <row r="884" spans="1:8" ht="30" x14ac:dyDescent="0.25">
      <c r="A884" s="17" t="s">
        <v>1195</v>
      </c>
      <c r="B884" s="17" t="s">
        <v>1195</v>
      </c>
      <c r="C884" s="17" t="s">
        <v>271</v>
      </c>
      <c r="D884" s="17" t="s">
        <v>269</v>
      </c>
      <c r="E884" s="17">
        <v>5.2359699999999999E-4</v>
      </c>
      <c r="F884" s="6" t="s">
        <v>233</v>
      </c>
      <c r="G884" s="6" t="s">
        <v>234</v>
      </c>
      <c r="H884" s="6">
        <v>3</v>
      </c>
    </row>
    <row r="885" spans="1:8" ht="30" x14ac:dyDescent="0.25">
      <c r="A885" s="17" t="s">
        <v>1196</v>
      </c>
      <c r="B885" s="17" t="s">
        <v>1196</v>
      </c>
      <c r="C885" s="17" t="s">
        <v>271</v>
      </c>
      <c r="D885" s="17" t="s">
        <v>269</v>
      </c>
      <c r="E885" s="17">
        <v>5.2359699999999999E-4</v>
      </c>
      <c r="F885" s="6" t="s">
        <v>233</v>
      </c>
      <c r="G885" s="6" t="s">
        <v>234</v>
      </c>
      <c r="H885" s="6">
        <v>3</v>
      </c>
    </row>
    <row r="886" spans="1:8" ht="30" x14ac:dyDescent="0.25">
      <c r="A886" s="17" t="s">
        <v>1197</v>
      </c>
      <c r="B886" s="17" t="s">
        <v>1197</v>
      </c>
      <c r="C886" s="17" t="s">
        <v>271</v>
      </c>
      <c r="D886" s="17" t="s">
        <v>269</v>
      </c>
      <c r="E886" s="17">
        <v>5.2359699999999999E-4</v>
      </c>
      <c r="F886" s="6" t="s">
        <v>233</v>
      </c>
      <c r="G886" s="6" t="s">
        <v>234</v>
      </c>
      <c r="H886" s="6">
        <v>3</v>
      </c>
    </row>
    <row r="887" spans="1:8" ht="30" x14ac:dyDescent="0.25">
      <c r="A887" s="17" t="s">
        <v>1198</v>
      </c>
      <c r="B887" s="17" t="s">
        <v>1198</v>
      </c>
      <c r="C887" s="17" t="s">
        <v>271</v>
      </c>
      <c r="D887" s="17" t="s">
        <v>269</v>
      </c>
      <c r="E887" s="17">
        <v>5.2359699999999999E-4</v>
      </c>
      <c r="F887" s="6" t="s">
        <v>233</v>
      </c>
      <c r="G887" s="6" t="s">
        <v>234</v>
      </c>
      <c r="H887" s="6">
        <v>3</v>
      </c>
    </row>
    <row r="888" spans="1:8" ht="30" x14ac:dyDescent="0.25">
      <c r="A888" s="17" t="s">
        <v>1125</v>
      </c>
      <c r="B888" s="17" t="s">
        <v>1125</v>
      </c>
      <c r="C888" s="17" t="s">
        <v>271</v>
      </c>
      <c r="D888" s="17" t="s">
        <v>269</v>
      </c>
      <c r="E888" s="17">
        <v>5.2359699999999999E-4</v>
      </c>
      <c r="F888" s="6" t="s">
        <v>233</v>
      </c>
      <c r="G888" s="6" t="s">
        <v>234</v>
      </c>
      <c r="H888" s="6">
        <v>3</v>
      </c>
    </row>
    <row r="889" spans="1:8" ht="30" x14ac:dyDescent="0.25">
      <c r="A889" s="17" t="s">
        <v>1199</v>
      </c>
      <c r="B889" s="17" t="s">
        <v>1199</v>
      </c>
      <c r="C889" s="17" t="s">
        <v>271</v>
      </c>
      <c r="D889" s="17" t="s">
        <v>269</v>
      </c>
      <c r="E889" s="17">
        <v>5.2359699999999999E-4</v>
      </c>
      <c r="F889" s="6" t="s">
        <v>233</v>
      </c>
      <c r="G889" s="6" t="s">
        <v>234</v>
      </c>
      <c r="H889" s="6">
        <v>3</v>
      </c>
    </row>
    <row r="890" spans="1:8" ht="30" x14ac:dyDescent="0.25">
      <c r="A890" s="17" t="s">
        <v>1200</v>
      </c>
      <c r="B890" s="17" t="s">
        <v>1200</v>
      </c>
      <c r="C890" s="17" t="s">
        <v>271</v>
      </c>
      <c r="D890" s="17" t="s">
        <v>269</v>
      </c>
      <c r="E890" s="17">
        <v>5.2359699999999999E-4</v>
      </c>
      <c r="F890" s="6" t="s">
        <v>233</v>
      </c>
      <c r="G890" s="6" t="s">
        <v>234</v>
      </c>
      <c r="H890" s="6">
        <v>3</v>
      </c>
    </row>
    <row r="891" spans="1:8" ht="30" x14ac:dyDescent="0.25">
      <c r="A891" s="17" t="s">
        <v>1201</v>
      </c>
      <c r="B891" s="17" t="s">
        <v>1201</v>
      </c>
      <c r="C891" s="17" t="s">
        <v>271</v>
      </c>
      <c r="D891" s="17" t="s">
        <v>269</v>
      </c>
      <c r="E891" s="17">
        <v>5.2359699999999999E-4</v>
      </c>
      <c r="F891" s="6" t="s">
        <v>233</v>
      </c>
      <c r="G891" s="6" t="s">
        <v>234</v>
      </c>
      <c r="H891" s="6">
        <v>3</v>
      </c>
    </row>
    <row r="892" spans="1:8" ht="30" x14ac:dyDescent="0.25">
      <c r="A892" s="17" t="s">
        <v>1202</v>
      </c>
      <c r="B892" s="17" t="s">
        <v>1202</v>
      </c>
      <c r="C892" s="17" t="s">
        <v>271</v>
      </c>
      <c r="D892" s="17" t="s">
        <v>269</v>
      </c>
      <c r="E892" s="17">
        <v>5.2359699999999999E-4</v>
      </c>
      <c r="F892" s="6" t="s">
        <v>233</v>
      </c>
      <c r="G892" s="6" t="s">
        <v>234</v>
      </c>
      <c r="H892" s="6">
        <v>3</v>
      </c>
    </row>
    <row r="893" spans="1:8" ht="30" x14ac:dyDescent="0.25">
      <c r="A893" s="17" t="s">
        <v>1183</v>
      </c>
      <c r="B893" s="17" t="s">
        <v>1183</v>
      </c>
      <c r="C893" s="17" t="s">
        <v>271</v>
      </c>
      <c r="D893" s="17" t="s">
        <v>269</v>
      </c>
      <c r="E893" s="17">
        <v>5.2359699999999999E-4</v>
      </c>
      <c r="F893" s="6" t="s">
        <v>233</v>
      </c>
      <c r="G893" s="6" t="s">
        <v>234</v>
      </c>
      <c r="H893" s="6">
        <v>3</v>
      </c>
    </row>
    <row r="894" spans="1:8" ht="30" x14ac:dyDescent="0.25">
      <c r="A894" s="17" t="s">
        <v>1182</v>
      </c>
      <c r="B894" s="17" t="s">
        <v>1182</v>
      </c>
      <c r="C894" s="17" t="s">
        <v>271</v>
      </c>
      <c r="D894" s="17" t="s">
        <v>269</v>
      </c>
      <c r="E894" s="17">
        <v>5.2359699999999999E-4</v>
      </c>
      <c r="F894" s="6" t="s">
        <v>233</v>
      </c>
      <c r="G894" s="6" t="s">
        <v>234</v>
      </c>
      <c r="H894" s="6">
        <v>3</v>
      </c>
    </row>
    <row r="895" spans="1:8" ht="30" x14ac:dyDescent="0.25">
      <c r="A895" s="17" t="s">
        <v>1126</v>
      </c>
      <c r="B895" s="17" t="s">
        <v>1126</v>
      </c>
      <c r="C895" s="17" t="s">
        <v>271</v>
      </c>
      <c r="D895" s="17" t="s">
        <v>269</v>
      </c>
      <c r="E895" s="17">
        <v>5.2359699999999999E-4</v>
      </c>
      <c r="F895" s="6" t="s">
        <v>233</v>
      </c>
      <c r="G895" s="6" t="s">
        <v>234</v>
      </c>
      <c r="H895" s="6">
        <v>3</v>
      </c>
    </row>
    <row r="896" spans="1:8" ht="30" x14ac:dyDescent="0.25">
      <c r="A896" s="17" t="s">
        <v>1203</v>
      </c>
      <c r="B896" s="17" t="s">
        <v>1203</v>
      </c>
      <c r="C896" s="17" t="s">
        <v>271</v>
      </c>
      <c r="D896" s="17" t="s">
        <v>269</v>
      </c>
      <c r="E896" s="17">
        <v>5.2359699999999999E-4</v>
      </c>
      <c r="F896" s="6" t="s">
        <v>233</v>
      </c>
      <c r="G896" s="6" t="s">
        <v>234</v>
      </c>
      <c r="H896" s="6">
        <v>3</v>
      </c>
    </row>
    <row r="897" spans="1:8" ht="30" x14ac:dyDescent="0.25">
      <c r="A897" s="17" t="s">
        <v>1204</v>
      </c>
      <c r="B897" s="17" t="s">
        <v>1204</v>
      </c>
      <c r="C897" s="17" t="s">
        <v>271</v>
      </c>
      <c r="D897" s="17" t="s">
        <v>269</v>
      </c>
      <c r="E897" s="17">
        <v>5.2359699999999999E-4</v>
      </c>
      <c r="F897" s="6" t="s">
        <v>233</v>
      </c>
      <c r="G897" s="6" t="s">
        <v>234</v>
      </c>
      <c r="H897" s="6">
        <v>3</v>
      </c>
    </row>
    <row r="898" spans="1:8" ht="30" x14ac:dyDescent="0.25">
      <c r="A898" s="17" t="s">
        <v>1205</v>
      </c>
      <c r="B898" s="17" t="s">
        <v>1205</v>
      </c>
      <c r="C898" s="17" t="s">
        <v>271</v>
      </c>
      <c r="D898" s="17" t="s">
        <v>269</v>
      </c>
      <c r="E898" s="17">
        <v>5.2359699999999999E-4</v>
      </c>
      <c r="F898" s="6" t="s">
        <v>233</v>
      </c>
      <c r="G898" s="6" t="s">
        <v>234</v>
      </c>
      <c r="H898" s="6">
        <v>3</v>
      </c>
    </row>
    <row r="899" spans="1:8" ht="30" x14ac:dyDescent="0.25">
      <c r="A899" s="17" t="s">
        <v>578</v>
      </c>
      <c r="B899" s="17" t="s">
        <v>578</v>
      </c>
      <c r="C899" s="17" t="s">
        <v>271</v>
      </c>
      <c r="D899" s="17" t="s">
        <v>269</v>
      </c>
      <c r="E899" s="17">
        <v>5.2359699999999999E-4</v>
      </c>
      <c r="F899" s="6" t="s">
        <v>233</v>
      </c>
      <c r="G899" s="6" t="s">
        <v>234</v>
      </c>
      <c r="H899" s="6">
        <v>3</v>
      </c>
    </row>
    <row r="900" spans="1:8" ht="30" x14ac:dyDescent="0.25">
      <c r="A900" s="17" t="s">
        <v>1206</v>
      </c>
      <c r="B900" s="17" t="s">
        <v>1206</v>
      </c>
      <c r="C900" s="17" t="s">
        <v>271</v>
      </c>
      <c r="D900" s="17" t="s">
        <v>269</v>
      </c>
      <c r="E900" s="17">
        <v>5.2359699999999999E-4</v>
      </c>
      <c r="F900" s="6" t="s">
        <v>233</v>
      </c>
      <c r="G900" s="6" t="s">
        <v>234</v>
      </c>
      <c r="H900" s="6">
        <v>3</v>
      </c>
    </row>
    <row r="901" spans="1:8" ht="30" x14ac:dyDescent="0.25">
      <c r="A901" s="17" t="s">
        <v>1207</v>
      </c>
      <c r="B901" s="17" t="s">
        <v>1207</v>
      </c>
      <c r="C901" s="17" t="s">
        <v>271</v>
      </c>
      <c r="D901" s="17" t="s">
        <v>269</v>
      </c>
      <c r="E901" s="17">
        <v>5.2359699999999999E-4</v>
      </c>
      <c r="F901" s="6" t="s">
        <v>233</v>
      </c>
      <c r="G901" s="6" t="s">
        <v>234</v>
      </c>
      <c r="H901" s="6">
        <v>3</v>
      </c>
    </row>
    <row r="902" spans="1:8" ht="30" x14ac:dyDescent="0.25">
      <c r="A902" s="17" t="s">
        <v>1208</v>
      </c>
      <c r="B902" s="17" t="s">
        <v>1208</v>
      </c>
      <c r="C902" s="17" t="s">
        <v>271</v>
      </c>
      <c r="D902" s="17" t="s">
        <v>269</v>
      </c>
      <c r="E902" s="17">
        <v>5.2359699999999999E-4</v>
      </c>
      <c r="F902" s="6" t="s">
        <v>233</v>
      </c>
      <c r="G902" s="6" t="s">
        <v>234</v>
      </c>
      <c r="H902" s="6">
        <v>3</v>
      </c>
    </row>
    <row r="903" spans="1:8" ht="30" x14ac:dyDescent="0.25">
      <c r="A903" s="17" t="s">
        <v>1209</v>
      </c>
      <c r="B903" s="17" t="s">
        <v>1209</v>
      </c>
      <c r="C903" s="17" t="s">
        <v>271</v>
      </c>
      <c r="D903" s="17" t="s">
        <v>269</v>
      </c>
      <c r="E903" s="17">
        <v>5.2359699999999999E-4</v>
      </c>
      <c r="F903" s="6" t="s">
        <v>233</v>
      </c>
      <c r="G903" s="6" t="s">
        <v>234</v>
      </c>
      <c r="H903" s="6">
        <v>3</v>
      </c>
    </row>
    <row r="904" spans="1:8" ht="30" x14ac:dyDescent="0.25">
      <c r="A904" s="17" t="s">
        <v>547</v>
      </c>
      <c r="B904" s="17" t="s">
        <v>547</v>
      </c>
      <c r="C904" s="17" t="s">
        <v>271</v>
      </c>
      <c r="D904" s="17" t="s">
        <v>269</v>
      </c>
      <c r="E904" s="17">
        <v>5.2359699999999999E-4</v>
      </c>
      <c r="F904" s="6" t="s">
        <v>233</v>
      </c>
      <c r="G904" s="6" t="s">
        <v>234</v>
      </c>
      <c r="H904" s="6">
        <v>3</v>
      </c>
    </row>
    <row r="905" spans="1:8" ht="30" x14ac:dyDescent="0.25">
      <c r="A905" s="17" t="s">
        <v>1183</v>
      </c>
      <c r="B905" s="17" t="s">
        <v>1183</v>
      </c>
      <c r="C905" s="17" t="s">
        <v>271</v>
      </c>
      <c r="D905" s="17" t="s">
        <v>269</v>
      </c>
      <c r="E905" s="17">
        <v>5.2359699999999999E-4</v>
      </c>
      <c r="F905" s="6" t="s">
        <v>233</v>
      </c>
      <c r="G905" s="6" t="s">
        <v>234</v>
      </c>
      <c r="H905" s="6">
        <v>3</v>
      </c>
    </row>
    <row r="906" spans="1:8" ht="30" x14ac:dyDescent="0.25">
      <c r="A906" s="17" t="s">
        <v>1191</v>
      </c>
      <c r="B906" s="17" t="s">
        <v>1191</v>
      </c>
      <c r="C906" s="17" t="s">
        <v>271</v>
      </c>
      <c r="D906" s="17" t="s">
        <v>269</v>
      </c>
      <c r="E906" s="17">
        <v>5.2359699999999999E-4</v>
      </c>
      <c r="F906" s="6" t="s">
        <v>233</v>
      </c>
      <c r="G906" s="6" t="s">
        <v>234</v>
      </c>
      <c r="H906" s="6">
        <v>3</v>
      </c>
    </row>
    <row r="907" spans="1:8" ht="30" x14ac:dyDescent="0.25">
      <c r="A907" s="17" t="s">
        <v>1210</v>
      </c>
      <c r="B907" s="17" t="s">
        <v>1210</v>
      </c>
      <c r="C907" s="17" t="s">
        <v>271</v>
      </c>
      <c r="D907" s="17" t="s">
        <v>269</v>
      </c>
      <c r="E907" s="17">
        <v>5.2359699999999999E-4</v>
      </c>
      <c r="F907" s="6" t="s">
        <v>233</v>
      </c>
      <c r="G907" s="6" t="s">
        <v>234</v>
      </c>
      <c r="H907" s="6">
        <v>3</v>
      </c>
    </row>
    <row r="908" spans="1:8" ht="30" x14ac:dyDescent="0.25">
      <c r="A908" s="17" t="s">
        <v>1211</v>
      </c>
      <c r="B908" s="17" t="s">
        <v>1211</v>
      </c>
      <c r="C908" s="17" t="s">
        <v>271</v>
      </c>
      <c r="D908" s="17" t="s">
        <v>269</v>
      </c>
      <c r="E908" s="17">
        <v>5.2359699999999999E-4</v>
      </c>
      <c r="F908" s="6" t="s">
        <v>233</v>
      </c>
      <c r="G908" s="6" t="s">
        <v>234</v>
      </c>
      <c r="H908" s="6">
        <v>3</v>
      </c>
    </row>
    <row r="909" spans="1:8" ht="30" x14ac:dyDescent="0.25">
      <c r="A909" s="17" t="s">
        <v>1212</v>
      </c>
      <c r="B909" s="17" t="s">
        <v>1212</v>
      </c>
      <c r="C909" s="17" t="s">
        <v>271</v>
      </c>
      <c r="D909" s="17" t="s">
        <v>269</v>
      </c>
      <c r="E909" s="17">
        <v>5.2359699999999999E-4</v>
      </c>
      <c r="F909" s="6" t="s">
        <v>233</v>
      </c>
      <c r="G909" s="6" t="s">
        <v>234</v>
      </c>
      <c r="H909" s="6">
        <v>3</v>
      </c>
    </row>
    <row r="910" spans="1:8" ht="30" x14ac:dyDescent="0.25">
      <c r="A910" s="17" t="s">
        <v>1147</v>
      </c>
      <c r="B910" s="17" t="s">
        <v>1147</v>
      </c>
      <c r="C910" s="17" t="s">
        <v>271</v>
      </c>
      <c r="D910" s="17" t="s">
        <v>269</v>
      </c>
      <c r="E910" s="17">
        <v>5.2359699999999999E-4</v>
      </c>
      <c r="F910" s="6" t="s">
        <v>233</v>
      </c>
      <c r="G910" s="6" t="s">
        <v>234</v>
      </c>
      <c r="H910" s="6">
        <v>3</v>
      </c>
    </row>
    <row r="911" spans="1:8" ht="30" x14ac:dyDescent="0.25">
      <c r="A911" s="17" t="s">
        <v>1213</v>
      </c>
      <c r="B911" s="17" t="s">
        <v>1213</v>
      </c>
      <c r="C911" s="17" t="s">
        <v>271</v>
      </c>
      <c r="D911" s="17" t="s">
        <v>269</v>
      </c>
      <c r="E911" s="17">
        <v>5.2359699999999999E-4</v>
      </c>
      <c r="F911" s="6" t="s">
        <v>233</v>
      </c>
      <c r="G911" s="6" t="s">
        <v>234</v>
      </c>
      <c r="H911" s="6">
        <v>3</v>
      </c>
    </row>
    <row r="912" spans="1:8" ht="30" x14ac:dyDescent="0.25">
      <c r="A912" s="17" t="s">
        <v>1214</v>
      </c>
      <c r="B912" s="17" t="s">
        <v>1214</v>
      </c>
      <c r="C912" s="17" t="s">
        <v>244</v>
      </c>
      <c r="D912" s="17" t="s">
        <v>242</v>
      </c>
      <c r="E912" s="17">
        <v>1.2049999999999999E-3</v>
      </c>
      <c r="F912" s="6" t="s">
        <v>233</v>
      </c>
      <c r="G912" s="6" t="s">
        <v>234</v>
      </c>
      <c r="H912" s="6">
        <v>3</v>
      </c>
    </row>
    <row r="913" spans="1:8" ht="30" x14ac:dyDescent="0.25">
      <c r="A913" s="17" t="s">
        <v>1215</v>
      </c>
      <c r="B913" s="17" t="s">
        <v>1215</v>
      </c>
      <c r="C913" s="17" t="s">
        <v>271</v>
      </c>
      <c r="D913" s="17" t="s">
        <v>269</v>
      </c>
      <c r="E913" s="17">
        <v>5.2359699999999999E-4</v>
      </c>
      <c r="F913" s="6" t="s">
        <v>233</v>
      </c>
      <c r="G913" s="6" t="s">
        <v>234</v>
      </c>
      <c r="H913" s="6">
        <v>3</v>
      </c>
    </row>
    <row r="914" spans="1:8" ht="30" x14ac:dyDescent="0.25">
      <c r="A914" s="17" t="s">
        <v>540</v>
      </c>
      <c r="B914" s="17" t="s">
        <v>540</v>
      </c>
      <c r="C914" s="17" t="s">
        <v>271</v>
      </c>
      <c r="D914" s="17" t="s">
        <v>269</v>
      </c>
      <c r="E914" s="17">
        <v>5.2359699999999999E-4</v>
      </c>
      <c r="F914" s="6" t="s">
        <v>233</v>
      </c>
      <c r="G914" s="6" t="s">
        <v>234</v>
      </c>
      <c r="H914" s="6">
        <v>3</v>
      </c>
    </row>
    <row r="915" spans="1:8" ht="30" x14ac:dyDescent="0.25">
      <c r="A915" s="17" t="s">
        <v>1216</v>
      </c>
      <c r="B915" s="17" t="s">
        <v>1216</v>
      </c>
      <c r="C915" s="17" t="s">
        <v>271</v>
      </c>
      <c r="D915" s="17" t="s">
        <v>269</v>
      </c>
      <c r="E915" s="17">
        <v>5.2359699999999999E-4</v>
      </c>
      <c r="F915" s="6" t="s">
        <v>233</v>
      </c>
      <c r="G915" s="6" t="s">
        <v>234</v>
      </c>
      <c r="H915" s="6">
        <v>3</v>
      </c>
    </row>
    <row r="916" spans="1:8" ht="30" x14ac:dyDescent="0.25">
      <c r="A916" s="17" t="s">
        <v>1217</v>
      </c>
      <c r="B916" s="17" t="s">
        <v>1217</v>
      </c>
      <c r="C916" s="17" t="s">
        <v>271</v>
      </c>
      <c r="D916" s="17" t="s">
        <v>269</v>
      </c>
      <c r="E916" s="17">
        <v>5.2359699999999999E-4</v>
      </c>
      <c r="F916" s="6" t="s">
        <v>233</v>
      </c>
      <c r="G916" s="6" t="s">
        <v>234</v>
      </c>
      <c r="H916" s="6">
        <v>3</v>
      </c>
    </row>
    <row r="917" spans="1:8" ht="30" x14ac:dyDescent="0.25">
      <c r="A917" s="17" t="s">
        <v>1187</v>
      </c>
      <c r="B917" s="17" t="s">
        <v>1187</v>
      </c>
      <c r="C917" s="17" t="s">
        <v>271</v>
      </c>
      <c r="D917" s="17" t="s">
        <v>269</v>
      </c>
      <c r="E917" s="17">
        <v>5.2359699999999999E-4</v>
      </c>
      <c r="F917" s="6" t="s">
        <v>233</v>
      </c>
      <c r="G917" s="6" t="s">
        <v>234</v>
      </c>
      <c r="H917" s="6">
        <v>3</v>
      </c>
    </row>
    <row r="918" spans="1:8" ht="30" x14ac:dyDescent="0.25">
      <c r="A918" s="17" t="s">
        <v>1218</v>
      </c>
      <c r="B918" s="17" t="s">
        <v>1218</v>
      </c>
      <c r="C918" s="17" t="s">
        <v>271</v>
      </c>
      <c r="D918" s="17" t="s">
        <v>269</v>
      </c>
      <c r="E918" s="17">
        <v>5.2359699999999999E-4</v>
      </c>
      <c r="F918" s="6" t="s">
        <v>233</v>
      </c>
      <c r="G918" s="6" t="s">
        <v>234</v>
      </c>
      <c r="H918" s="6">
        <v>3</v>
      </c>
    </row>
    <row r="919" spans="1:8" ht="30" x14ac:dyDescent="0.25">
      <c r="A919" s="17" t="s">
        <v>1219</v>
      </c>
      <c r="B919" s="17" t="s">
        <v>1219</v>
      </c>
      <c r="C919" s="17" t="s">
        <v>271</v>
      </c>
      <c r="D919" s="17" t="s">
        <v>269</v>
      </c>
      <c r="E919" s="17">
        <v>5.2359699999999999E-4</v>
      </c>
      <c r="F919" s="6" t="s">
        <v>233</v>
      </c>
      <c r="G919" s="6" t="s">
        <v>234</v>
      </c>
      <c r="H919" s="6">
        <v>3</v>
      </c>
    </row>
    <row r="920" spans="1:8" ht="30" x14ac:dyDescent="0.25">
      <c r="A920" s="17" t="s">
        <v>1220</v>
      </c>
      <c r="B920" s="17" t="s">
        <v>1220</v>
      </c>
      <c r="C920" s="17" t="s">
        <v>271</v>
      </c>
      <c r="D920" s="17" t="s">
        <v>269</v>
      </c>
      <c r="E920" s="17">
        <v>5.2359699999999999E-4</v>
      </c>
      <c r="F920" s="6" t="s">
        <v>233</v>
      </c>
      <c r="G920" s="6" t="s">
        <v>234</v>
      </c>
      <c r="H920" s="6">
        <v>3</v>
      </c>
    </row>
    <row r="921" spans="1:8" ht="30" x14ac:dyDescent="0.25">
      <c r="A921" s="17" t="s">
        <v>1221</v>
      </c>
      <c r="B921" s="17" t="s">
        <v>1221</v>
      </c>
      <c r="C921" s="17" t="s">
        <v>271</v>
      </c>
      <c r="D921" s="17" t="s">
        <v>269</v>
      </c>
      <c r="E921" s="17">
        <v>5.2359699999999999E-4</v>
      </c>
      <c r="F921" s="6" t="s">
        <v>233</v>
      </c>
      <c r="G921" s="6" t="s">
        <v>234</v>
      </c>
      <c r="H921" s="6">
        <v>3</v>
      </c>
    </row>
    <row r="922" spans="1:8" ht="30" x14ac:dyDescent="0.25">
      <c r="A922" s="17" t="s">
        <v>1195</v>
      </c>
      <c r="B922" s="17" t="s">
        <v>1195</v>
      </c>
      <c r="C922" s="17" t="s">
        <v>271</v>
      </c>
      <c r="D922" s="17" t="s">
        <v>269</v>
      </c>
      <c r="E922" s="17">
        <v>5.2359699999999999E-4</v>
      </c>
      <c r="F922" s="6" t="s">
        <v>233</v>
      </c>
      <c r="G922" s="6" t="s">
        <v>234</v>
      </c>
      <c r="H922" s="6">
        <v>3</v>
      </c>
    </row>
    <row r="923" spans="1:8" ht="30" x14ac:dyDescent="0.25">
      <c r="A923" s="17" t="s">
        <v>1196</v>
      </c>
      <c r="B923" s="17" t="s">
        <v>1196</v>
      </c>
      <c r="C923" s="17" t="s">
        <v>271</v>
      </c>
      <c r="D923" s="17" t="s">
        <v>269</v>
      </c>
      <c r="E923" s="17">
        <v>5.2359699999999999E-4</v>
      </c>
      <c r="F923" s="6" t="s">
        <v>233</v>
      </c>
      <c r="G923" s="6" t="s">
        <v>234</v>
      </c>
      <c r="H923" s="6">
        <v>3</v>
      </c>
    </row>
    <row r="924" spans="1:8" ht="30" x14ac:dyDescent="0.25">
      <c r="A924" s="17" t="s">
        <v>1176</v>
      </c>
      <c r="B924" s="17" t="s">
        <v>1176</v>
      </c>
      <c r="C924" s="17" t="s">
        <v>271</v>
      </c>
      <c r="D924" s="17" t="s">
        <v>269</v>
      </c>
      <c r="E924" s="17">
        <v>5.2359699999999999E-4</v>
      </c>
      <c r="F924" s="6" t="s">
        <v>233</v>
      </c>
      <c r="G924" s="6" t="s">
        <v>234</v>
      </c>
      <c r="H924" s="6">
        <v>3</v>
      </c>
    </row>
    <row r="925" spans="1:8" ht="30" x14ac:dyDescent="0.25">
      <c r="A925" s="17" t="s">
        <v>1125</v>
      </c>
      <c r="B925" s="17" t="s">
        <v>1125</v>
      </c>
      <c r="C925" s="17" t="s">
        <v>271</v>
      </c>
      <c r="D925" s="17" t="s">
        <v>269</v>
      </c>
      <c r="E925" s="17">
        <v>5.2359699999999999E-4</v>
      </c>
      <c r="F925" s="6" t="s">
        <v>233</v>
      </c>
      <c r="G925" s="6" t="s">
        <v>234</v>
      </c>
      <c r="H925" s="6">
        <v>3</v>
      </c>
    </row>
    <row r="926" spans="1:8" ht="30" x14ac:dyDescent="0.25">
      <c r="A926" s="17" t="s">
        <v>1222</v>
      </c>
      <c r="B926" s="17" t="s">
        <v>1222</v>
      </c>
      <c r="C926" s="17" t="s">
        <v>271</v>
      </c>
      <c r="D926" s="17" t="s">
        <v>269</v>
      </c>
      <c r="E926" s="17">
        <v>5.2359699999999999E-4</v>
      </c>
      <c r="F926" s="6" t="s">
        <v>233</v>
      </c>
      <c r="G926" s="6" t="s">
        <v>234</v>
      </c>
      <c r="H926" s="6">
        <v>3</v>
      </c>
    </row>
    <row r="927" spans="1:8" ht="30" x14ac:dyDescent="0.25">
      <c r="A927" s="17" t="s">
        <v>1166</v>
      </c>
      <c r="B927" s="17" t="s">
        <v>1166</v>
      </c>
      <c r="C927" s="17" t="s">
        <v>271</v>
      </c>
      <c r="D927" s="17" t="s">
        <v>269</v>
      </c>
      <c r="E927" s="17">
        <v>5.2359699999999999E-4</v>
      </c>
      <c r="F927" s="6" t="s">
        <v>233</v>
      </c>
      <c r="G927" s="6" t="s">
        <v>234</v>
      </c>
      <c r="H927" s="6">
        <v>3</v>
      </c>
    </row>
    <row r="928" spans="1:8" ht="30" x14ac:dyDescent="0.25">
      <c r="A928" s="17" t="s">
        <v>1223</v>
      </c>
      <c r="B928" s="17" t="s">
        <v>1223</v>
      </c>
      <c r="C928" s="17" t="s">
        <v>271</v>
      </c>
      <c r="D928" s="17" t="s">
        <v>269</v>
      </c>
      <c r="E928" s="17">
        <v>5.2359699999999999E-4</v>
      </c>
      <c r="F928" s="6" t="s">
        <v>233</v>
      </c>
      <c r="G928" s="6" t="s">
        <v>234</v>
      </c>
      <c r="H928" s="6">
        <v>3</v>
      </c>
    </row>
    <row r="929" spans="1:8" ht="30" x14ac:dyDescent="0.25">
      <c r="A929" s="17" t="s">
        <v>1224</v>
      </c>
      <c r="B929" s="17" t="s">
        <v>1224</v>
      </c>
      <c r="C929" s="17" t="s">
        <v>271</v>
      </c>
      <c r="D929" s="17" t="s">
        <v>269</v>
      </c>
      <c r="E929" s="17">
        <v>5.2359699999999999E-4</v>
      </c>
      <c r="F929" s="6" t="s">
        <v>233</v>
      </c>
      <c r="G929" s="6" t="s">
        <v>234</v>
      </c>
      <c r="H929" s="6">
        <v>3</v>
      </c>
    </row>
    <row r="930" spans="1:8" ht="30" x14ac:dyDescent="0.25">
      <c r="A930" s="17" t="s">
        <v>1225</v>
      </c>
      <c r="B930" s="17" t="s">
        <v>1225</v>
      </c>
      <c r="C930" s="17" t="s">
        <v>271</v>
      </c>
      <c r="D930" s="17" t="s">
        <v>269</v>
      </c>
      <c r="E930" s="17">
        <v>5.2359699999999999E-4</v>
      </c>
      <c r="F930" s="6" t="s">
        <v>233</v>
      </c>
      <c r="G930" s="6" t="s">
        <v>234</v>
      </c>
      <c r="H930" s="6">
        <v>3</v>
      </c>
    </row>
    <row r="931" spans="1:8" ht="30" x14ac:dyDescent="0.25">
      <c r="A931" s="17" t="s">
        <v>1226</v>
      </c>
      <c r="B931" s="17" t="s">
        <v>1226</v>
      </c>
      <c r="C931" s="17" t="s">
        <v>271</v>
      </c>
      <c r="D931" s="17" t="s">
        <v>269</v>
      </c>
      <c r="E931" s="17">
        <v>5.2359699999999999E-4</v>
      </c>
      <c r="F931" s="6" t="s">
        <v>233</v>
      </c>
      <c r="G931" s="6" t="s">
        <v>234</v>
      </c>
      <c r="H931" s="6">
        <v>3</v>
      </c>
    </row>
    <row r="932" spans="1:8" ht="30" x14ac:dyDescent="0.25">
      <c r="A932" s="17" t="s">
        <v>1217</v>
      </c>
      <c r="B932" s="17" t="s">
        <v>1217</v>
      </c>
      <c r="C932" s="17" t="s">
        <v>271</v>
      </c>
      <c r="D932" s="17" t="s">
        <v>269</v>
      </c>
      <c r="E932" s="17">
        <v>5.2359699999999999E-4</v>
      </c>
      <c r="F932" s="6" t="s">
        <v>233</v>
      </c>
      <c r="G932" s="6" t="s">
        <v>234</v>
      </c>
      <c r="H932" s="6">
        <v>3</v>
      </c>
    </row>
    <row r="933" spans="1:8" ht="30" x14ac:dyDescent="0.25">
      <c r="A933" s="17" t="s">
        <v>1158</v>
      </c>
      <c r="B933" s="17" t="s">
        <v>1158</v>
      </c>
      <c r="C933" s="17" t="s">
        <v>271</v>
      </c>
      <c r="D933" s="17" t="s">
        <v>269</v>
      </c>
      <c r="E933" s="17">
        <v>5.2359699999999999E-4</v>
      </c>
      <c r="F933" s="6" t="s">
        <v>233</v>
      </c>
      <c r="G933" s="6" t="s">
        <v>234</v>
      </c>
      <c r="H933" s="6">
        <v>3</v>
      </c>
    </row>
    <row r="934" spans="1:8" ht="30" x14ac:dyDescent="0.25">
      <c r="A934" s="17" t="s">
        <v>1218</v>
      </c>
      <c r="B934" s="17" t="s">
        <v>1218</v>
      </c>
      <c r="C934" s="17" t="s">
        <v>271</v>
      </c>
      <c r="D934" s="17" t="s">
        <v>269</v>
      </c>
      <c r="E934" s="17">
        <v>5.2359699999999999E-4</v>
      </c>
      <c r="F934" s="6" t="s">
        <v>233</v>
      </c>
      <c r="G934" s="6" t="s">
        <v>234</v>
      </c>
      <c r="H934" s="6">
        <v>3</v>
      </c>
    </row>
    <row r="935" spans="1:8" ht="30" x14ac:dyDescent="0.25">
      <c r="A935" s="17" t="s">
        <v>1227</v>
      </c>
      <c r="B935" s="17" t="s">
        <v>1227</v>
      </c>
      <c r="C935" s="17" t="s">
        <v>271</v>
      </c>
      <c r="D935" s="17" t="s">
        <v>269</v>
      </c>
      <c r="E935" s="17">
        <v>5.2359699999999999E-4</v>
      </c>
      <c r="F935" s="6" t="s">
        <v>233</v>
      </c>
      <c r="G935" s="6" t="s">
        <v>234</v>
      </c>
      <c r="H935" s="6">
        <v>3</v>
      </c>
    </row>
    <row r="936" spans="1:8" ht="30" x14ac:dyDescent="0.25">
      <c r="A936" s="17" t="s">
        <v>1194</v>
      </c>
      <c r="B936" s="17" t="s">
        <v>1194</v>
      </c>
      <c r="C936" s="17" t="s">
        <v>271</v>
      </c>
      <c r="D936" s="17" t="s">
        <v>269</v>
      </c>
      <c r="E936" s="17">
        <v>5.2359699999999999E-4</v>
      </c>
      <c r="F936" s="6" t="s">
        <v>233</v>
      </c>
      <c r="G936" s="6" t="s">
        <v>234</v>
      </c>
      <c r="H936" s="6">
        <v>3</v>
      </c>
    </row>
    <row r="937" spans="1:8" ht="30" x14ac:dyDescent="0.25">
      <c r="A937" s="17" t="s">
        <v>1192</v>
      </c>
      <c r="B937" s="17" t="s">
        <v>1192</v>
      </c>
      <c r="C937" s="17" t="s">
        <v>271</v>
      </c>
      <c r="D937" s="17" t="s">
        <v>269</v>
      </c>
      <c r="E937" s="17">
        <v>5.2359699999999999E-4</v>
      </c>
      <c r="F937" s="6" t="s">
        <v>233</v>
      </c>
      <c r="G937" s="6" t="s">
        <v>234</v>
      </c>
      <c r="H937" s="6">
        <v>3</v>
      </c>
    </row>
    <row r="938" spans="1:8" ht="30" x14ac:dyDescent="0.25">
      <c r="A938" s="17" t="s">
        <v>1189</v>
      </c>
      <c r="B938" s="17" t="s">
        <v>1189</v>
      </c>
      <c r="C938" s="17" t="s">
        <v>271</v>
      </c>
      <c r="D938" s="17" t="s">
        <v>269</v>
      </c>
      <c r="E938" s="17">
        <v>5.2359699999999999E-4</v>
      </c>
      <c r="F938" s="6" t="s">
        <v>233</v>
      </c>
      <c r="G938" s="6" t="s">
        <v>234</v>
      </c>
      <c r="H938" s="6">
        <v>3</v>
      </c>
    </row>
    <row r="939" spans="1:8" ht="30" x14ac:dyDescent="0.25">
      <c r="A939" s="17" t="s">
        <v>1228</v>
      </c>
      <c r="B939" s="17" t="s">
        <v>1228</v>
      </c>
      <c r="C939" s="17" t="s">
        <v>271</v>
      </c>
      <c r="D939" s="17" t="s">
        <v>269</v>
      </c>
      <c r="E939" s="17">
        <v>5.2359699999999999E-4</v>
      </c>
      <c r="F939" s="6" t="s">
        <v>233</v>
      </c>
      <c r="G939" s="6" t="s">
        <v>234</v>
      </c>
      <c r="H939" s="6">
        <v>3</v>
      </c>
    </row>
    <row r="940" spans="1:8" ht="30" x14ac:dyDescent="0.25">
      <c r="A940" s="17" t="s">
        <v>1193</v>
      </c>
      <c r="B940" s="17" t="s">
        <v>1193</v>
      </c>
      <c r="C940" s="17" t="s">
        <v>271</v>
      </c>
      <c r="D940" s="17" t="s">
        <v>269</v>
      </c>
      <c r="E940" s="17">
        <v>5.2359699999999999E-4</v>
      </c>
      <c r="F940" s="6" t="s">
        <v>233</v>
      </c>
      <c r="G940" s="6" t="s">
        <v>234</v>
      </c>
      <c r="H940" s="6">
        <v>3</v>
      </c>
    </row>
    <row r="941" spans="1:8" ht="30" x14ac:dyDescent="0.25">
      <c r="A941" s="17" t="s">
        <v>1199</v>
      </c>
      <c r="B941" s="17" t="s">
        <v>1199</v>
      </c>
      <c r="C941" s="17" t="s">
        <v>271</v>
      </c>
      <c r="D941" s="17" t="s">
        <v>269</v>
      </c>
      <c r="E941" s="17">
        <v>5.2359699999999999E-4</v>
      </c>
      <c r="F941" s="6" t="s">
        <v>233</v>
      </c>
      <c r="G941" s="6" t="s">
        <v>234</v>
      </c>
      <c r="H941" s="6">
        <v>3</v>
      </c>
    </row>
    <row r="942" spans="1:8" ht="30" x14ac:dyDescent="0.25">
      <c r="A942" s="17" t="s">
        <v>1229</v>
      </c>
      <c r="B942" s="17" t="s">
        <v>1229</v>
      </c>
      <c r="C942" s="17" t="s">
        <v>271</v>
      </c>
      <c r="D942" s="17" t="s">
        <v>269</v>
      </c>
      <c r="E942" s="17">
        <v>5.2359699999999999E-4</v>
      </c>
      <c r="F942" s="6" t="s">
        <v>233</v>
      </c>
      <c r="G942" s="6" t="s">
        <v>234</v>
      </c>
      <c r="H942" s="6">
        <v>3</v>
      </c>
    </row>
    <row r="943" spans="1:8" ht="30" x14ac:dyDescent="0.25">
      <c r="A943" s="17" t="s">
        <v>1174</v>
      </c>
      <c r="B943" s="17" t="s">
        <v>1174</v>
      </c>
      <c r="C943" s="17" t="s">
        <v>271</v>
      </c>
      <c r="D943" s="17" t="s">
        <v>269</v>
      </c>
      <c r="E943" s="17">
        <v>5.2359699999999999E-4</v>
      </c>
      <c r="F943" s="6" t="s">
        <v>233</v>
      </c>
      <c r="G943" s="6" t="s">
        <v>234</v>
      </c>
      <c r="H943" s="6">
        <v>3</v>
      </c>
    </row>
    <row r="944" spans="1:8" ht="30" x14ac:dyDescent="0.25">
      <c r="A944" s="17" t="s">
        <v>1142</v>
      </c>
      <c r="B944" s="17" t="s">
        <v>1142</v>
      </c>
      <c r="C944" s="17" t="s">
        <v>271</v>
      </c>
      <c r="D944" s="17" t="s">
        <v>269</v>
      </c>
      <c r="E944" s="17">
        <v>5.2359699999999999E-4</v>
      </c>
      <c r="F944" s="6" t="s">
        <v>233</v>
      </c>
      <c r="G944" s="6" t="s">
        <v>234</v>
      </c>
      <c r="H944" s="6">
        <v>3</v>
      </c>
    </row>
    <row r="945" spans="1:8" ht="30" x14ac:dyDescent="0.25">
      <c r="A945" s="17" t="s">
        <v>1230</v>
      </c>
      <c r="B945" s="17" t="s">
        <v>1230</v>
      </c>
      <c r="C945" s="17" t="s">
        <v>271</v>
      </c>
      <c r="D945" s="17" t="s">
        <v>269</v>
      </c>
      <c r="E945" s="17">
        <v>5.2359699999999999E-4</v>
      </c>
      <c r="F945" s="6" t="s">
        <v>233</v>
      </c>
      <c r="G945" s="6" t="s">
        <v>234</v>
      </c>
      <c r="H945" s="6">
        <v>3</v>
      </c>
    </row>
    <row r="946" spans="1:8" ht="30" x14ac:dyDescent="0.25">
      <c r="A946" s="17" t="s">
        <v>1231</v>
      </c>
      <c r="B946" s="17" t="s">
        <v>1231</v>
      </c>
      <c r="C946" s="17" t="s">
        <v>271</v>
      </c>
      <c r="D946" s="17" t="s">
        <v>269</v>
      </c>
      <c r="E946" s="17">
        <v>5.2359699999999999E-4</v>
      </c>
      <c r="F946" s="6" t="s">
        <v>233</v>
      </c>
      <c r="G946" s="6" t="s">
        <v>234</v>
      </c>
      <c r="H946" s="6">
        <v>3</v>
      </c>
    </row>
    <row r="947" spans="1:8" ht="30" x14ac:dyDescent="0.25">
      <c r="A947" s="17" t="s">
        <v>1223</v>
      </c>
      <c r="B947" s="17" t="s">
        <v>1223</v>
      </c>
      <c r="C947" s="17" t="s">
        <v>271</v>
      </c>
      <c r="D947" s="17" t="s">
        <v>269</v>
      </c>
      <c r="E947" s="17">
        <v>5.2359699999999999E-4</v>
      </c>
      <c r="F947" s="6" t="s">
        <v>233</v>
      </c>
      <c r="G947" s="6" t="s">
        <v>234</v>
      </c>
      <c r="H947" s="6">
        <v>3</v>
      </c>
    </row>
    <row r="948" spans="1:8" ht="30" x14ac:dyDescent="0.25">
      <c r="A948" s="17" t="s">
        <v>1232</v>
      </c>
      <c r="B948" s="17" t="s">
        <v>1232</v>
      </c>
      <c r="C948" s="17" t="s">
        <v>271</v>
      </c>
      <c r="D948" s="17" t="s">
        <v>269</v>
      </c>
      <c r="E948" s="17">
        <v>5.2359699999999999E-4</v>
      </c>
      <c r="F948" s="6" t="s">
        <v>233</v>
      </c>
      <c r="G948" s="6" t="s">
        <v>234</v>
      </c>
      <c r="H948" s="6">
        <v>3</v>
      </c>
    </row>
    <row r="949" spans="1:8" ht="30" x14ac:dyDescent="0.25">
      <c r="A949" s="17" t="s">
        <v>561</v>
      </c>
      <c r="B949" s="17" t="s">
        <v>561</v>
      </c>
      <c r="C949" s="17" t="s">
        <v>271</v>
      </c>
      <c r="D949" s="17" t="s">
        <v>269</v>
      </c>
      <c r="E949" s="17">
        <v>5.2359699999999999E-4</v>
      </c>
      <c r="F949" s="6" t="s">
        <v>233</v>
      </c>
      <c r="G949" s="6" t="s">
        <v>234</v>
      </c>
      <c r="H949" s="6">
        <v>3</v>
      </c>
    </row>
    <row r="950" spans="1:8" ht="30" x14ac:dyDescent="0.25">
      <c r="A950" s="17" t="s">
        <v>1233</v>
      </c>
      <c r="B950" s="17" t="s">
        <v>1233</v>
      </c>
      <c r="C950" s="17" t="s">
        <v>271</v>
      </c>
      <c r="D950" s="17" t="s">
        <v>269</v>
      </c>
      <c r="E950" s="17">
        <v>5.2359699999999999E-4</v>
      </c>
      <c r="F950" s="6" t="s">
        <v>233</v>
      </c>
      <c r="G950" s="6" t="s">
        <v>234</v>
      </c>
      <c r="H950" s="6">
        <v>3</v>
      </c>
    </row>
    <row r="951" spans="1:8" ht="30" x14ac:dyDescent="0.25">
      <c r="A951" s="17" t="s">
        <v>1145</v>
      </c>
      <c r="B951" s="17" t="s">
        <v>1145</v>
      </c>
      <c r="C951" s="17" t="s">
        <v>271</v>
      </c>
      <c r="D951" s="17" t="s">
        <v>269</v>
      </c>
      <c r="E951" s="17">
        <v>5.2359699999999999E-4</v>
      </c>
      <c r="F951" s="6" t="s">
        <v>233</v>
      </c>
      <c r="G951" s="6" t="s">
        <v>234</v>
      </c>
      <c r="H951" s="6">
        <v>3</v>
      </c>
    </row>
    <row r="952" spans="1:8" ht="30" x14ac:dyDescent="0.25">
      <c r="A952" s="17" t="s">
        <v>1183</v>
      </c>
      <c r="B952" s="17" t="s">
        <v>1183</v>
      </c>
      <c r="C952" s="17" t="s">
        <v>271</v>
      </c>
      <c r="D952" s="17" t="s">
        <v>269</v>
      </c>
      <c r="E952" s="17">
        <v>5.2359699999999999E-4</v>
      </c>
      <c r="F952" s="6" t="s">
        <v>233</v>
      </c>
      <c r="G952" s="6" t="s">
        <v>234</v>
      </c>
      <c r="H952" s="6">
        <v>3</v>
      </c>
    </row>
    <row r="953" spans="1:8" ht="30" x14ac:dyDescent="0.25">
      <c r="A953" s="17" t="s">
        <v>1234</v>
      </c>
      <c r="B953" s="17" t="s">
        <v>1234</v>
      </c>
      <c r="C953" s="17" t="s">
        <v>271</v>
      </c>
      <c r="D953" s="17" t="s">
        <v>269</v>
      </c>
      <c r="E953" s="17">
        <v>5.2359699999999999E-4</v>
      </c>
      <c r="F953" s="6" t="s">
        <v>233</v>
      </c>
      <c r="G953" s="6" t="s">
        <v>234</v>
      </c>
      <c r="H953" s="6">
        <v>3</v>
      </c>
    </row>
    <row r="954" spans="1:8" ht="30" x14ac:dyDescent="0.25">
      <c r="A954" s="17" t="s">
        <v>1176</v>
      </c>
      <c r="B954" s="17" t="s">
        <v>1176</v>
      </c>
      <c r="C954" s="17" t="s">
        <v>271</v>
      </c>
      <c r="D954" s="17" t="s">
        <v>269</v>
      </c>
      <c r="E954" s="17">
        <v>5.2359699999999999E-4</v>
      </c>
      <c r="F954" s="6" t="s">
        <v>233</v>
      </c>
      <c r="G954" s="6" t="s">
        <v>234</v>
      </c>
      <c r="H954" s="6">
        <v>3</v>
      </c>
    </row>
    <row r="955" spans="1:8" ht="30" x14ac:dyDescent="0.25">
      <c r="A955" s="17" t="s">
        <v>1235</v>
      </c>
      <c r="B955" s="17" t="s">
        <v>1235</v>
      </c>
      <c r="C955" s="17" t="s">
        <v>271</v>
      </c>
      <c r="D955" s="17" t="s">
        <v>269</v>
      </c>
      <c r="E955" s="17">
        <v>5.2359699999999999E-4</v>
      </c>
      <c r="F955" s="6" t="s">
        <v>233</v>
      </c>
      <c r="G955" s="6" t="s">
        <v>234</v>
      </c>
      <c r="H955" s="6">
        <v>3</v>
      </c>
    </row>
    <row r="956" spans="1:8" ht="30" x14ac:dyDescent="0.25">
      <c r="A956" s="17" t="s">
        <v>1236</v>
      </c>
      <c r="B956" s="17" t="s">
        <v>1236</v>
      </c>
      <c r="C956" s="17" t="s">
        <v>271</v>
      </c>
      <c r="D956" s="17" t="s">
        <v>269</v>
      </c>
      <c r="E956" s="17">
        <v>5.2359699999999999E-4</v>
      </c>
      <c r="F956" s="6" t="s">
        <v>233</v>
      </c>
      <c r="G956" s="6" t="s">
        <v>234</v>
      </c>
      <c r="H956" s="6">
        <v>3</v>
      </c>
    </row>
    <row r="957" spans="1:8" ht="30" x14ac:dyDescent="0.25">
      <c r="A957" s="17" t="s">
        <v>1213</v>
      </c>
      <c r="B957" s="17" t="s">
        <v>1213</v>
      </c>
      <c r="C957" s="17" t="s">
        <v>271</v>
      </c>
      <c r="D957" s="17" t="s">
        <v>269</v>
      </c>
      <c r="E957" s="17">
        <v>5.2359699999999999E-4</v>
      </c>
      <c r="F957" s="6" t="s">
        <v>233</v>
      </c>
      <c r="G957" s="6" t="s">
        <v>234</v>
      </c>
      <c r="H957" s="6">
        <v>3</v>
      </c>
    </row>
    <row r="958" spans="1:8" ht="30" x14ac:dyDescent="0.25">
      <c r="A958" s="17" t="s">
        <v>1237</v>
      </c>
      <c r="B958" s="17" t="s">
        <v>1237</v>
      </c>
      <c r="C958" s="17" t="s">
        <v>271</v>
      </c>
      <c r="D958" s="17" t="s">
        <v>269</v>
      </c>
      <c r="E958" s="17">
        <v>5.2359699999999999E-4</v>
      </c>
      <c r="F958" s="6" t="s">
        <v>233</v>
      </c>
      <c r="G958" s="6" t="s">
        <v>234</v>
      </c>
      <c r="H958" s="6">
        <v>3</v>
      </c>
    </row>
    <row r="959" spans="1:8" ht="30" x14ac:dyDescent="0.25">
      <c r="A959" s="17" t="s">
        <v>1172</v>
      </c>
      <c r="B959" s="17" t="s">
        <v>1172</v>
      </c>
      <c r="C959" s="17" t="s">
        <v>271</v>
      </c>
      <c r="D959" s="17" t="s">
        <v>269</v>
      </c>
      <c r="E959" s="17">
        <v>5.2359699999999999E-4</v>
      </c>
      <c r="F959" s="6" t="s">
        <v>233</v>
      </c>
      <c r="G959" s="6" t="s">
        <v>234</v>
      </c>
      <c r="H959" s="6">
        <v>3</v>
      </c>
    </row>
    <row r="960" spans="1:8" ht="30" x14ac:dyDescent="0.25">
      <c r="A960" s="17" t="s">
        <v>1146</v>
      </c>
      <c r="B960" s="17" t="s">
        <v>1146</v>
      </c>
      <c r="C960" s="17" t="s">
        <v>271</v>
      </c>
      <c r="D960" s="17" t="s">
        <v>269</v>
      </c>
      <c r="E960" s="17">
        <v>5.2359699999999999E-4</v>
      </c>
      <c r="F960" s="6" t="s">
        <v>233</v>
      </c>
      <c r="G960" s="6" t="s">
        <v>234</v>
      </c>
      <c r="H960" s="6">
        <v>3</v>
      </c>
    </row>
    <row r="961" spans="1:8" ht="30" x14ac:dyDescent="0.25">
      <c r="A961" s="17" t="s">
        <v>540</v>
      </c>
      <c r="B961" s="17" t="s">
        <v>540</v>
      </c>
      <c r="C961" s="17" t="s">
        <v>271</v>
      </c>
      <c r="D961" s="17" t="s">
        <v>269</v>
      </c>
      <c r="E961" s="17">
        <v>5.2359699999999999E-4</v>
      </c>
      <c r="F961" s="6" t="s">
        <v>233</v>
      </c>
      <c r="G961" s="6" t="s">
        <v>234</v>
      </c>
      <c r="H961" s="6">
        <v>3</v>
      </c>
    </row>
    <row r="962" spans="1:8" ht="30" x14ac:dyDescent="0.25">
      <c r="A962" s="17" t="s">
        <v>546</v>
      </c>
      <c r="B962" s="17" t="s">
        <v>546</v>
      </c>
      <c r="C962" s="17" t="s">
        <v>271</v>
      </c>
      <c r="D962" s="17" t="s">
        <v>269</v>
      </c>
      <c r="E962" s="17">
        <v>5.2359699999999999E-4</v>
      </c>
      <c r="F962" s="6" t="s">
        <v>233</v>
      </c>
      <c r="G962" s="6" t="s">
        <v>234</v>
      </c>
      <c r="H962" s="6">
        <v>3</v>
      </c>
    </row>
    <row r="963" spans="1:8" ht="30" x14ac:dyDescent="0.25">
      <c r="A963" s="17" t="s">
        <v>1127</v>
      </c>
      <c r="B963" s="17" t="s">
        <v>1127</v>
      </c>
      <c r="C963" s="17" t="s">
        <v>271</v>
      </c>
      <c r="D963" s="17" t="s">
        <v>269</v>
      </c>
      <c r="E963" s="17">
        <v>5.2359699999999999E-4</v>
      </c>
      <c r="F963" s="6" t="s">
        <v>233</v>
      </c>
      <c r="G963" s="6" t="s">
        <v>234</v>
      </c>
      <c r="H963" s="6">
        <v>3</v>
      </c>
    </row>
    <row r="964" spans="1:8" ht="30" x14ac:dyDescent="0.25">
      <c r="A964" s="17" t="s">
        <v>547</v>
      </c>
      <c r="B964" s="17" t="s">
        <v>547</v>
      </c>
      <c r="C964" s="17" t="s">
        <v>271</v>
      </c>
      <c r="D964" s="17" t="s">
        <v>269</v>
      </c>
      <c r="E964" s="17">
        <v>5.2359699999999999E-4</v>
      </c>
      <c r="F964" s="6" t="s">
        <v>233</v>
      </c>
      <c r="G964" s="6" t="s">
        <v>234</v>
      </c>
      <c r="H964" s="6">
        <v>3</v>
      </c>
    </row>
    <row r="965" spans="1:8" ht="30" x14ac:dyDescent="0.25">
      <c r="A965" s="17" t="s">
        <v>546</v>
      </c>
      <c r="B965" s="17" t="s">
        <v>546</v>
      </c>
      <c r="C965" s="17" t="s">
        <v>271</v>
      </c>
      <c r="D965" s="17" t="s">
        <v>269</v>
      </c>
      <c r="E965" s="17">
        <v>5.2359699999999999E-4</v>
      </c>
      <c r="F965" s="6" t="s">
        <v>233</v>
      </c>
      <c r="G965" s="6" t="s">
        <v>234</v>
      </c>
      <c r="H965" s="6">
        <v>3</v>
      </c>
    </row>
    <row r="966" spans="1:8" ht="30" x14ac:dyDescent="0.25">
      <c r="A966" s="17" t="s">
        <v>1238</v>
      </c>
      <c r="B966" s="17" t="s">
        <v>1238</v>
      </c>
      <c r="C966" s="17" t="s">
        <v>244</v>
      </c>
      <c r="D966" s="17" t="s">
        <v>242</v>
      </c>
      <c r="E966" s="17">
        <v>1.2049999999999999E-3</v>
      </c>
      <c r="F966" s="6" t="s">
        <v>233</v>
      </c>
      <c r="G966" s="6" t="s">
        <v>234</v>
      </c>
      <c r="H966" s="6">
        <v>3</v>
      </c>
    </row>
    <row r="967" spans="1:8" ht="30" x14ac:dyDescent="0.25">
      <c r="A967" s="17" t="s">
        <v>1158</v>
      </c>
      <c r="B967" s="17" t="s">
        <v>1158</v>
      </c>
      <c r="C967" s="17" t="s">
        <v>271</v>
      </c>
      <c r="D967" s="17" t="s">
        <v>269</v>
      </c>
      <c r="E967" s="17">
        <v>5.2359699999999999E-4</v>
      </c>
      <c r="F967" s="6" t="s">
        <v>233</v>
      </c>
      <c r="G967" s="6" t="s">
        <v>234</v>
      </c>
      <c r="H967" s="6">
        <v>3</v>
      </c>
    </row>
    <row r="968" spans="1:8" ht="30" x14ac:dyDescent="0.25">
      <c r="A968" s="17" t="s">
        <v>1230</v>
      </c>
      <c r="B968" s="17" t="s">
        <v>1230</v>
      </c>
      <c r="C968" s="17" t="s">
        <v>271</v>
      </c>
      <c r="D968" s="17" t="s">
        <v>269</v>
      </c>
      <c r="E968" s="17">
        <v>5.2359699999999999E-4</v>
      </c>
      <c r="F968" s="6" t="s">
        <v>233</v>
      </c>
      <c r="G968" s="6" t="s">
        <v>234</v>
      </c>
      <c r="H968" s="6">
        <v>3</v>
      </c>
    </row>
    <row r="969" spans="1:8" ht="30" x14ac:dyDescent="0.25">
      <c r="A969" s="17" t="s">
        <v>1187</v>
      </c>
      <c r="B969" s="17" t="s">
        <v>1187</v>
      </c>
      <c r="C969" s="17" t="s">
        <v>271</v>
      </c>
      <c r="D969" s="17" t="s">
        <v>269</v>
      </c>
      <c r="E969" s="17">
        <v>5.2359699999999999E-4</v>
      </c>
      <c r="F969" s="6" t="s">
        <v>233</v>
      </c>
      <c r="G969" s="6" t="s">
        <v>234</v>
      </c>
      <c r="H969" s="6">
        <v>3</v>
      </c>
    </row>
    <row r="970" spans="1:8" ht="30" x14ac:dyDescent="0.25">
      <c r="A970" s="17" t="s">
        <v>557</v>
      </c>
      <c r="B970" s="17" t="s">
        <v>557</v>
      </c>
      <c r="C970" s="17" t="s">
        <v>271</v>
      </c>
      <c r="D970" s="17" t="s">
        <v>269</v>
      </c>
      <c r="E970" s="17">
        <v>5.2359699999999999E-4</v>
      </c>
      <c r="F970" s="6" t="s">
        <v>233</v>
      </c>
      <c r="G970" s="6" t="s">
        <v>234</v>
      </c>
      <c r="H970" s="6">
        <v>3</v>
      </c>
    </row>
    <row r="971" spans="1:8" ht="30" x14ac:dyDescent="0.25">
      <c r="A971" s="17" t="s">
        <v>1189</v>
      </c>
      <c r="B971" s="17" t="s">
        <v>1189</v>
      </c>
      <c r="C971" s="17" t="s">
        <v>271</v>
      </c>
      <c r="D971" s="17" t="s">
        <v>269</v>
      </c>
      <c r="E971" s="17">
        <v>5.2359699999999999E-4</v>
      </c>
      <c r="F971" s="6" t="s">
        <v>233</v>
      </c>
      <c r="G971" s="6" t="s">
        <v>234</v>
      </c>
      <c r="H971" s="6">
        <v>3</v>
      </c>
    </row>
    <row r="972" spans="1:8" ht="30" x14ac:dyDescent="0.25">
      <c r="A972" s="17" t="s">
        <v>1239</v>
      </c>
      <c r="B972" s="17" t="s">
        <v>1239</v>
      </c>
      <c r="C972" s="17" t="s">
        <v>271</v>
      </c>
      <c r="D972" s="17" t="s">
        <v>269</v>
      </c>
      <c r="E972" s="17">
        <v>5.2359699999999999E-4</v>
      </c>
      <c r="F972" s="6" t="s">
        <v>233</v>
      </c>
      <c r="G972" s="6" t="s">
        <v>234</v>
      </c>
      <c r="H972" s="6">
        <v>3</v>
      </c>
    </row>
    <row r="973" spans="1:8" ht="30" x14ac:dyDescent="0.25">
      <c r="A973" s="17" t="s">
        <v>1240</v>
      </c>
      <c r="B973" s="17" t="s">
        <v>1240</v>
      </c>
      <c r="C973" s="17" t="s">
        <v>271</v>
      </c>
      <c r="D973" s="17" t="s">
        <v>269</v>
      </c>
      <c r="E973" s="17">
        <v>5.2359699999999999E-4</v>
      </c>
      <c r="F973" s="6" t="s">
        <v>233</v>
      </c>
      <c r="G973" s="6" t="s">
        <v>234</v>
      </c>
      <c r="H973" s="6">
        <v>3</v>
      </c>
    </row>
    <row r="974" spans="1:8" ht="30" x14ac:dyDescent="0.25">
      <c r="A974" s="17" t="s">
        <v>1176</v>
      </c>
      <c r="B974" s="17" t="s">
        <v>1176</v>
      </c>
      <c r="C974" s="17" t="s">
        <v>271</v>
      </c>
      <c r="D974" s="17" t="s">
        <v>269</v>
      </c>
      <c r="E974" s="17">
        <v>5.2359699999999999E-4</v>
      </c>
      <c r="F974" s="6" t="s">
        <v>233</v>
      </c>
      <c r="G974" s="6" t="s">
        <v>234</v>
      </c>
      <c r="H974" s="6">
        <v>3</v>
      </c>
    </row>
    <row r="975" spans="1:8" ht="30" x14ac:dyDescent="0.25">
      <c r="A975" s="17" t="s">
        <v>1152</v>
      </c>
      <c r="B975" s="17" t="s">
        <v>1152</v>
      </c>
      <c r="C975" s="17" t="s">
        <v>271</v>
      </c>
      <c r="D975" s="17" t="s">
        <v>269</v>
      </c>
      <c r="E975" s="17">
        <v>5.2359699999999999E-4</v>
      </c>
      <c r="F975" s="6" t="s">
        <v>233</v>
      </c>
      <c r="G975" s="6" t="s">
        <v>234</v>
      </c>
      <c r="H975" s="6">
        <v>3</v>
      </c>
    </row>
    <row r="976" spans="1:8" ht="30" x14ac:dyDescent="0.25">
      <c r="A976" s="17" t="s">
        <v>1147</v>
      </c>
      <c r="B976" s="17" t="s">
        <v>1147</v>
      </c>
      <c r="C976" s="17" t="s">
        <v>271</v>
      </c>
      <c r="D976" s="17" t="s">
        <v>269</v>
      </c>
      <c r="E976" s="17">
        <v>5.2359699999999999E-4</v>
      </c>
      <c r="F976" s="6" t="s">
        <v>233</v>
      </c>
      <c r="G976" s="6" t="s">
        <v>234</v>
      </c>
      <c r="H976" s="6">
        <v>3</v>
      </c>
    </row>
    <row r="977" spans="1:8" ht="30" x14ac:dyDescent="0.25">
      <c r="A977" s="17" t="s">
        <v>1205</v>
      </c>
      <c r="B977" s="17" t="s">
        <v>1205</v>
      </c>
      <c r="C977" s="17" t="s">
        <v>271</v>
      </c>
      <c r="D977" s="17" t="s">
        <v>269</v>
      </c>
      <c r="E977" s="17">
        <v>5.2359699999999999E-4</v>
      </c>
      <c r="F977" s="6" t="s">
        <v>233</v>
      </c>
      <c r="G977" s="6" t="s">
        <v>234</v>
      </c>
      <c r="H977" s="6">
        <v>3</v>
      </c>
    </row>
    <row r="978" spans="1:8" ht="30" x14ac:dyDescent="0.25">
      <c r="A978" s="17" t="s">
        <v>1166</v>
      </c>
      <c r="B978" s="17" t="s">
        <v>1166</v>
      </c>
      <c r="C978" s="17" t="s">
        <v>271</v>
      </c>
      <c r="D978" s="17" t="s">
        <v>269</v>
      </c>
      <c r="E978" s="17">
        <v>5.2359699999999999E-4</v>
      </c>
      <c r="F978" s="6" t="s">
        <v>233</v>
      </c>
      <c r="G978" s="6" t="s">
        <v>234</v>
      </c>
      <c r="H978" s="6">
        <v>3</v>
      </c>
    </row>
    <row r="979" spans="1:8" ht="30" x14ac:dyDescent="0.25">
      <c r="A979" s="17" t="s">
        <v>1171</v>
      </c>
      <c r="B979" s="17" t="s">
        <v>1171</v>
      </c>
      <c r="C979" s="17" t="s">
        <v>271</v>
      </c>
      <c r="D979" s="17" t="s">
        <v>269</v>
      </c>
      <c r="E979" s="17">
        <v>5.2359699999999999E-4</v>
      </c>
      <c r="F979" s="6" t="s">
        <v>233</v>
      </c>
      <c r="G979" s="6" t="s">
        <v>234</v>
      </c>
      <c r="H979" s="6">
        <v>3</v>
      </c>
    </row>
    <row r="980" spans="1:8" ht="30" x14ac:dyDescent="0.25">
      <c r="A980" s="17" t="s">
        <v>1241</v>
      </c>
      <c r="B980" s="17" t="s">
        <v>1241</v>
      </c>
      <c r="C980" s="17" t="s">
        <v>271</v>
      </c>
      <c r="D980" s="17" t="s">
        <v>269</v>
      </c>
      <c r="E980" s="17">
        <v>5.2359699999999999E-4</v>
      </c>
      <c r="F980" s="6" t="s">
        <v>233</v>
      </c>
      <c r="G980" s="6" t="s">
        <v>234</v>
      </c>
      <c r="H980" s="6">
        <v>3</v>
      </c>
    </row>
    <row r="981" spans="1:8" ht="30" x14ac:dyDescent="0.25">
      <c r="A981" s="17" t="s">
        <v>1242</v>
      </c>
      <c r="B981" s="17" t="s">
        <v>1242</v>
      </c>
      <c r="C981" s="17" t="s">
        <v>271</v>
      </c>
      <c r="D981" s="17" t="s">
        <v>269</v>
      </c>
      <c r="E981" s="17">
        <v>5.2359699999999999E-4</v>
      </c>
      <c r="F981" s="6" t="s">
        <v>233</v>
      </c>
      <c r="G981" s="6" t="s">
        <v>234</v>
      </c>
      <c r="H981" s="6">
        <v>3</v>
      </c>
    </row>
    <row r="982" spans="1:8" ht="30" x14ac:dyDescent="0.25">
      <c r="A982" s="17" t="s">
        <v>540</v>
      </c>
      <c r="B982" s="17" t="s">
        <v>540</v>
      </c>
      <c r="C982" s="17" t="s">
        <v>271</v>
      </c>
      <c r="D982" s="17" t="s">
        <v>269</v>
      </c>
      <c r="E982" s="17">
        <v>5.2359699999999999E-4</v>
      </c>
      <c r="F982" s="6" t="s">
        <v>233</v>
      </c>
      <c r="G982" s="6" t="s">
        <v>234</v>
      </c>
      <c r="H982" s="6">
        <v>3</v>
      </c>
    </row>
    <row r="983" spans="1:8" ht="30" x14ac:dyDescent="0.25">
      <c r="A983" s="17" t="s">
        <v>1198</v>
      </c>
      <c r="B983" s="17" t="s">
        <v>1198</v>
      </c>
      <c r="C983" s="17" t="s">
        <v>271</v>
      </c>
      <c r="D983" s="17" t="s">
        <v>269</v>
      </c>
      <c r="E983" s="17">
        <v>5.2359699999999999E-4</v>
      </c>
      <c r="F983" s="6" t="s">
        <v>233</v>
      </c>
      <c r="G983" s="6" t="s">
        <v>234</v>
      </c>
      <c r="H983" s="6">
        <v>3</v>
      </c>
    </row>
    <row r="984" spans="1:8" ht="30" x14ac:dyDescent="0.25">
      <c r="A984" s="17" t="s">
        <v>561</v>
      </c>
      <c r="B984" s="17" t="s">
        <v>561</v>
      </c>
      <c r="C984" s="17" t="s">
        <v>271</v>
      </c>
      <c r="D984" s="17" t="s">
        <v>269</v>
      </c>
      <c r="E984" s="17">
        <v>5.2359699999999999E-4</v>
      </c>
      <c r="F984" s="6" t="s">
        <v>233</v>
      </c>
      <c r="G984" s="6" t="s">
        <v>234</v>
      </c>
      <c r="H984" s="6">
        <v>3</v>
      </c>
    </row>
    <row r="985" spans="1:8" ht="30" x14ac:dyDescent="0.25">
      <c r="A985" s="17" t="s">
        <v>1188</v>
      </c>
      <c r="B985" s="17" t="s">
        <v>1188</v>
      </c>
      <c r="C985" s="17" t="s">
        <v>271</v>
      </c>
      <c r="D985" s="17" t="s">
        <v>269</v>
      </c>
      <c r="E985" s="17">
        <v>5.2359699999999999E-4</v>
      </c>
      <c r="F985" s="6" t="s">
        <v>233</v>
      </c>
      <c r="G985" s="6" t="s">
        <v>234</v>
      </c>
      <c r="H985" s="6">
        <v>3</v>
      </c>
    </row>
    <row r="986" spans="1:8" ht="30" x14ac:dyDescent="0.25">
      <c r="A986" s="17" t="s">
        <v>1199</v>
      </c>
      <c r="B986" s="17" t="s">
        <v>1199</v>
      </c>
      <c r="C986" s="17" t="s">
        <v>271</v>
      </c>
      <c r="D986" s="17" t="s">
        <v>269</v>
      </c>
      <c r="E986" s="17">
        <v>5.2359699999999999E-4</v>
      </c>
      <c r="F986" s="6" t="s">
        <v>233</v>
      </c>
      <c r="G986" s="6" t="s">
        <v>234</v>
      </c>
      <c r="H986" s="6">
        <v>3</v>
      </c>
    </row>
    <row r="987" spans="1:8" ht="30" x14ac:dyDescent="0.25">
      <c r="A987" s="17" t="s">
        <v>1217</v>
      </c>
      <c r="B987" s="17" t="s">
        <v>1217</v>
      </c>
      <c r="C987" s="17" t="s">
        <v>271</v>
      </c>
      <c r="D987" s="17" t="s">
        <v>269</v>
      </c>
      <c r="E987" s="17">
        <v>5.2359699999999999E-4</v>
      </c>
      <c r="F987" s="6" t="s">
        <v>233</v>
      </c>
      <c r="G987" s="6" t="s">
        <v>234</v>
      </c>
      <c r="H987" s="6">
        <v>3</v>
      </c>
    </row>
    <row r="988" spans="1:8" ht="30" x14ac:dyDescent="0.25">
      <c r="A988" s="17" t="s">
        <v>1203</v>
      </c>
      <c r="B988" s="17" t="s">
        <v>1203</v>
      </c>
      <c r="C988" s="17" t="s">
        <v>271</v>
      </c>
      <c r="D988" s="17" t="s">
        <v>269</v>
      </c>
      <c r="E988" s="17">
        <v>5.2359699999999999E-4</v>
      </c>
      <c r="F988" s="6" t="s">
        <v>233</v>
      </c>
      <c r="G988" s="6" t="s">
        <v>234</v>
      </c>
      <c r="H988" s="6">
        <v>3</v>
      </c>
    </row>
    <row r="989" spans="1:8" ht="30" x14ac:dyDescent="0.25">
      <c r="A989" s="17" t="s">
        <v>1129</v>
      </c>
      <c r="B989" s="17" t="s">
        <v>1129</v>
      </c>
      <c r="C989" s="17" t="s">
        <v>271</v>
      </c>
      <c r="D989" s="17" t="s">
        <v>269</v>
      </c>
      <c r="E989" s="17">
        <v>5.2359699999999999E-4</v>
      </c>
      <c r="F989" s="6" t="s">
        <v>233</v>
      </c>
      <c r="G989" s="6" t="s">
        <v>234</v>
      </c>
      <c r="H989" s="6">
        <v>3</v>
      </c>
    </row>
    <row r="990" spans="1:8" ht="30" x14ac:dyDescent="0.25">
      <c r="A990" s="17" t="s">
        <v>1231</v>
      </c>
      <c r="B990" s="17" t="s">
        <v>1231</v>
      </c>
      <c r="C990" s="17" t="s">
        <v>271</v>
      </c>
      <c r="D990" s="17" t="s">
        <v>269</v>
      </c>
      <c r="E990" s="17">
        <v>5.2359699999999999E-4</v>
      </c>
      <c r="F990" s="6" t="s">
        <v>233</v>
      </c>
      <c r="G990" s="6" t="s">
        <v>234</v>
      </c>
      <c r="H990" s="6">
        <v>3</v>
      </c>
    </row>
    <row r="991" spans="1:8" ht="30" x14ac:dyDescent="0.25">
      <c r="A991" s="17" t="s">
        <v>1178</v>
      </c>
      <c r="B991" s="17" t="s">
        <v>1178</v>
      </c>
      <c r="C991" s="17" t="s">
        <v>271</v>
      </c>
      <c r="D991" s="17" t="s">
        <v>269</v>
      </c>
      <c r="E991" s="17">
        <v>5.2359699999999999E-4</v>
      </c>
      <c r="F991" s="6" t="s">
        <v>233</v>
      </c>
      <c r="G991" s="6" t="s">
        <v>234</v>
      </c>
      <c r="H991" s="6">
        <v>3</v>
      </c>
    </row>
    <row r="992" spans="1:8" ht="30" x14ac:dyDescent="0.25">
      <c r="A992" s="17" t="s">
        <v>1224</v>
      </c>
      <c r="B992" s="17" t="s">
        <v>1224</v>
      </c>
      <c r="C992" s="17" t="s">
        <v>271</v>
      </c>
      <c r="D992" s="17" t="s">
        <v>269</v>
      </c>
      <c r="E992" s="17">
        <v>5.2359699999999999E-4</v>
      </c>
      <c r="F992" s="6" t="s">
        <v>233</v>
      </c>
      <c r="G992" s="6" t="s">
        <v>234</v>
      </c>
      <c r="H992" s="6">
        <v>3</v>
      </c>
    </row>
    <row r="993" spans="1:8" ht="30" x14ac:dyDescent="0.25">
      <c r="A993" s="17" t="s">
        <v>1229</v>
      </c>
      <c r="B993" s="17" t="s">
        <v>1229</v>
      </c>
      <c r="C993" s="17" t="s">
        <v>271</v>
      </c>
      <c r="D993" s="17" t="s">
        <v>269</v>
      </c>
      <c r="E993" s="17">
        <v>5.2359699999999999E-4</v>
      </c>
      <c r="F993" s="6" t="s">
        <v>233</v>
      </c>
      <c r="G993" s="6" t="s">
        <v>234</v>
      </c>
      <c r="H993" s="6">
        <v>3</v>
      </c>
    </row>
    <row r="994" spans="1:8" ht="30" x14ac:dyDescent="0.25">
      <c r="A994" s="17" t="s">
        <v>1185</v>
      </c>
      <c r="B994" s="17" t="s">
        <v>1185</v>
      </c>
      <c r="C994" s="17" t="s">
        <v>271</v>
      </c>
      <c r="D994" s="17" t="s">
        <v>269</v>
      </c>
      <c r="E994" s="17">
        <v>5.2359699999999999E-4</v>
      </c>
      <c r="F994" s="6" t="s">
        <v>233</v>
      </c>
      <c r="G994" s="6" t="s">
        <v>234</v>
      </c>
      <c r="H994" s="6">
        <v>3</v>
      </c>
    </row>
    <row r="995" spans="1:8" ht="30" x14ac:dyDescent="0.25">
      <c r="A995" s="17" t="s">
        <v>552</v>
      </c>
      <c r="B995" s="17" t="s">
        <v>552</v>
      </c>
      <c r="C995" s="17" t="s">
        <v>271</v>
      </c>
      <c r="D995" s="17" t="s">
        <v>269</v>
      </c>
      <c r="E995" s="17">
        <v>5.2359699999999999E-4</v>
      </c>
      <c r="F995" s="6" t="s">
        <v>233</v>
      </c>
      <c r="G995" s="6" t="s">
        <v>234</v>
      </c>
      <c r="H995" s="6">
        <v>3</v>
      </c>
    </row>
    <row r="996" spans="1:8" ht="30" x14ac:dyDescent="0.25">
      <c r="A996" s="17" t="s">
        <v>1162</v>
      </c>
      <c r="B996" s="17" t="s">
        <v>1162</v>
      </c>
      <c r="C996" s="17" t="s">
        <v>271</v>
      </c>
      <c r="D996" s="17" t="s">
        <v>269</v>
      </c>
      <c r="E996" s="17">
        <v>5.2359699999999999E-4</v>
      </c>
      <c r="F996" s="6" t="s">
        <v>233</v>
      </c>
      <c r="G996" s="6" t="s">
        <v>234</v>
      </c>
      <c r="H996" s="6">
        <v>3</v>
      </c>
    </row>
    <row r="997" spans="1:8" ht="30" x14ac:dyDescent="0.25">
      <c r="A997" s="17" t="s">
        <v>534</v>
      </c>
      <c r="B997" s="17" t="s">
        <v>534</v>
      </c>
      <c r="C997" s="17" t="s">
        <v>271</v>
      </c>
      <c r="D997" s="17" t="s">
        <v>269</v>
      </c>
      <c r="E997" s="17">
        <v>5.2359699999999999E-4</v>
      </c>
      <c r="F997" s="6" t="s">
        <v>233</v>
      </c>
      <c r="G997" s="6" t="s">
        <v>234</v>
      </c>
      <c r="H997" s="6">
        <v>3</v>
      </c>
    </row>
    <row r="998" spans="1:8" ht="30" x14ac:dyDescent="0.25">
      <c r="A998" s="17" t="s">
        <v>1243</v>
      </c>
      <c r="B998" s="17" t="s">
        <v>1243</v>
      </c>
      <c r="C998" s="17" t="s">
        <v>271</v>
      </c>
      <c r="D998" s="17" t="s">
        <v>269</v>
      </c>
      <c r="E998" s="17">
        <v>5.2359699999999999E-4</v>
      </c>
      <c r="F998" s="6" t="s">
        <v>233</v>
      </c>
      <c r="G998" s="6" t="s">
        <v>234</v>
      </c>
      <c r="H998" s="6">
        <v>3</v>
      </c>
    </row>
    <row r="999" spans="1:8" ht="30" x14ac:dyDescent="0.25">
      <c r="A999" s="17" t="s">
        <v>579</v>
      </c>
      <c r="B999" s="17" t="s">
        <v>579</v>
      </c>
      <c r="C999" s="17" t="s">
        <v>271</v>
      </c>
      <c r="D999" s="17" t="s">
        <v>269</v>
      </c>
      <c r="E999" s="17">
        <v>5.2359699999999999E-4</v>
      </c>
      <c r="F999" s="6" t="s">
        <v>233</v>
      </c>
      <c r="G999" s="6" t="s">
        <v>234</v>
      </c>
      <c r="H999" s="6">
        <v>3</v>
      </c>
    </row>
    <row r="1000" spans="1:8" ht="30" x14ac:dyDescent="0.25">
      <c r="A1000" s="17" t="s">
        <v>578</v>
      </c>
      <c r="B1000" s="17" t="s">
        <v>578</v>
      </c>
      <c r="C1000" s="17" t="s">
        <v>271</v>
      </c>
      <c r="D1000" s="17" t="s">
        <v>269</v>
      </c>
      <c r="E1000" s="17">
        <v>5.2359699999999999E-4</v>
      </c>
      <c r="F1000" s="6" t="s">
        <v>233</v>
      </c>
      <c r="G1000" s="6" t="s">
        <v>234</v>
      </c>
      <c r="H1000" s="6">
        <v>3</v>
      </c>
    </row>
    <row r="1001" spans="1:8" ht="30" x14ac:dyDescent="0.25">
      <c r="A1001" s="17" t="s">
        <v>1244</v>
      </c>
      <c r="B1001" s="17" t="s">
        <v>1244</v>
      </c>
      <c r="C1001" s="17" t="s">
        <v>271</v>
      </c>
      <c r="D1001" s="17" t="s">
        <v>269</v>
      </c>
      <c r="E1001" s="17">
        <v>5.2359699999999999E-4</v>
      </c>
      <c r="F1001" s="6" t="s">
        <v>233</v>
      </c>
      <c r="G1001" s="6" t="s">
        <v>234</v>
      </c>
      <c r="H1001" s="6">
        <v>3</v>
      </c>
    </row>
    <row r="1002" spans="1:8" ht="30" x14ac:dyDescent="0.25">
      <c r="A1002" s="17" t="s">
        <v>1153</v>
      </c>
      <c r="B1002" s="17" t="s">
        <v>1153</v>
      </c>
      <c r="C1002" s="17" t="s">
        <v>271</v>
      </c>
      <c r="D1002" s="17" t="s">
        <v>269</v>
      </c>
      <c r="E1002" s="17">
        <v>5.2359699999999999E-4</v>
      </c>
      <c r="F1002" s="6" t="s">
        <v>233</v>
      </c>
      <c r="G1002" s="6" t="s">
        <v>234</v>
      </c>
      <c r="H1002" s="6">
        <v>3</v>
      </c>
    </row>
    <row r="1003" spans="1:8" ht="30" x14ac:dyDescent="0.25">
      <c r="A1003" s="17" t="s">
        <v>1126</v>
      </c>
      <c r="B1003" s="17" t="s">
        <v>1126</v>
      </c>
      <c r="C1003" s="17" t="s">
        <v>271</v>
      </c>
      <c r="D1003" s="17" t="s">
        <v>269</v>
      </c>
      <c r="E1003" s="17">
        <v>5.2359699999999999E-4</v>
      </c>
      <c r="F1003" s="6" t="s">
        <v>233</v>
      </c>
      <c r="G1003" s="6" t="s">
        <v>234</v>
      </c>
      <c r="H1003" s="6">
        <v>3</v>
      </c>
    </row>
    <row r="1004" spans="1:8" ht="30" x14ac:dyDescent="0.25">
      <c r="A1004" s="17" t="s">
        <v>1125</v>
      </c>
      <c r="B1004" s="17" t="s">
        <v>1125</v>
      </c>
      <c r="C1004" s="17" t="s">
        <v>271</v>
      </c>
      <c r="D1004" s="17" t="s">
        <v>269</v>
      </c>
      <c r="E1004" s="17">
        <v>5.2359699999999999E-4</v>
      </c>
      <c r="F1004" s="6" t="s">
        <v>233</v>
      </c>
      <c r="G1004" s="6" t="s">
        <v>234</v>
      </c>
      <c r="H1004" s="6">
        <v>3</v>
      </c>
    </row>
    <row r="1005" spans="1:8" ht="30" x14ac:dyDescent="0.25">
      <c r="A1005" s="17" t="s">
        <v>1174</v>
      </c>
      <c r="B1005" s="17" t="s">
        <v>1174</v>
      </c>
      <c r="C1005" s="17" t="s">
        <v>271</v>
      </c>
      <c r="D1005" s="17" t="s">
        <v>269</v>
      </c>
      <c r="E1005" s="17">
        <v>5.2359699999999999E-4</v>
      </c>
      <c r="F1005" s="6" t="s">
        <v>233</v>
      </c>
      <c r="G1005" s="6" t="s">
        <v>234</v>
      </c>
      <c r="H1005" s="6">
        <v>3</v>
      </c>
    </row>
    <row r="1006" spans="1:8" ht="30" x14ac:dyDescent="0.25">
      <c r="A1006" s="17" t="s">
        <v>1168</v>
      </c>
      <c r="B1006" s="17" t="s">
        <v>1168</v>
      </c>
      <c r="C1006" s="17" t="s">
        <v>271</v>
      </c>
      <c r="D1006" s="17" t="s">
        <v>269</v>
      </c>
      <c r="E1006" s="17">
        <v>5.2359699999999999E-4</v>
      </c>
      <c r="F1006" s="6" t="s">
        <v>233</v>
      </c>
      <c r="G1006" s="6" t="s">
        <v>234</v>
      </c>
      <c r="H1006" s="6">
        <v>3</v>
      </c>
    </row>
    <row r="1007" spans="1:8" ht="30" x14ac:dyDescent="0.25">
      <c r="A1007" s="17" t="s">
        <v>1170</v>
      </c>
      <c r="B1007" s="17" t="s">
        <v>1170</v>
      </c>
      <c r="C1007" s="17" t="s">
        <v>271</v>
      </c>
      <c r="D1007" s="17" t="s">
        <v>269</v>
      </c>
      <c r="E1007" s="17">
        <v>5.2359699999999999E-4</v>
      </c>
      <c r="F1007" s="6" t="s">
        <v>233</v>
      </c>
      <c r="G1007" s="6" t="s">
        <v>234</v>
      </c>
      <c r="H1007" s="6">
        <v>3</v>
      </c>
    </row>
    <row r="1008" spans="1:8" ht="30" x14ac:dyDescent="0.25">
      <c r="A1008" s="17" t="s">
        <v>1245</v>
      </c>
      <c r="B1008" s="17" t="s">
        <v>1245</v>
      </c>
      <c r="C1008" s="17" t="s">
        <v>271</v>
      </c>
      <c r="D1008" s="17" t="s">
        <v>269</v>
      </c>
      <c r="E1008" s="17">
        <v>5.2359699999999999E-4</v>
      </c>
      <c r="F1008" s="6" t="s">
        <v>233</v>
      </c>
      <c r="G1008" s="6" t="s">
        <v>234</v>
      </c>
      <c r="H1008" s="6">
        <v>3</v>
      </c>
    </row>
    <row r="1009" spans="1:8" ht="30" x14ac:dyDescent="0.25">
      <c r="A1009" s="17" t="s">
        <v>1246</v>
      </c>
      <c r="B1009" s="17" t="s">
        <v>1246</v>
      </c>
      <c r="C1009" s="17" t="s">
        <v>244</v>
      </c>
      <c r="D1009" s="17" t="s">
        <v>242</v>
      </c>
      <c r="E1009" s="17">
        <v>1.2049999999999999E-3</v>
      </c>
      <c r="F1009" s="6" t="s">
        <v>233</v>
      </c>
      <c r="G1009" s="6" t="s">
        <v>234</v>
      </c>
      <c r="H1009" s="6">
        <v>3</v>
      </c>
    </row>
    <row r="1010" spans="1:8" ht="30" x14ac:dyDescent="0.25">
      <c r="A1010" s="17" t="s">
        <v>1247</v>
      </c>
      <c r="B1010" s="17" t="s">
        <v>1247</v>
      </c>
      <c r="C1010" s="17" t="s">
        <v>244</v>
      </c>
      <c r="D1010" s="17" t="s">
        <v>242</v>
      </c>
      <c r="E1010" s="17">
        <v>1.2049999999999999E-3</v>
      </c>
      <c r="F1010" s="6" t="s">
        <v>233</v>
      </c>
      <c r="G1010" s="6" t="s">
        <v>234</v>
      </c>
      <c r="H1010" s="6">
        <v>3</v>
      </c>
    </row>
    <row r="1011" spans="1:8" ht="30" x14ac:dyDescent="0.25">
      <c r="A1011" s="17" t="s">
        <v>1248</v>
      </c>
      <c r="B1011" s="17" t="s">
        <v>1248</v>
      </c>
      <c r="C1011" s="17" t="s">
        <v>244</v>
      </c>
      <c r="D1011" s="17" t="s">
        <v>242</v>
      </c>
      <c r="E1011" s="17">
        <v>1.2049999999999999E-3</v>
      </c>
      <c r="F1011" s="6" t="s">
        <v>233</v>
      </c>
      <c r="G1011" s="6" t="s">
        <v>234</v>
      </c>
      <c r="H1011" s="6">
        <v>3</v>
      </c>
    </row>
    <row r="1012" spans="1:8" ht="30" x14ac:dyDescent="0.25">
      <c r="A1012" s="17" t="s">
        <v>1214</v>
      </c>
      <c r="B1012" s="17" t="s">
        <v>1214</v>
      </c>
      <c r="C1012" s="17" t="s">
        <v>244</v>
      </c>
      <c r="D1012" s="17" t="s">
        <v>242</v>
      </c>
      <c r="E1012" s="17">
        <v>1.2049999999999999E-3</v>
      </c>
      <c r="F1012" s="6" t="s">
        <v>233</v>
      </c>
      <c r="G1012" s="6" t="s">
        <v>234</v>
      </c>
      <c r="H1012" s="6">
        <v>3</v>
      </c>
    </row>
    <row r="1013" spans="1:8" ht="30" x14ac:dyDescent="0.25">
      <c r="A1013" s="6" t="s">
        <v>1249</v>
      </c>
      <c r="B1013" s="6" t="s">
        <v>1249</v>
      </c>
      <c r="C1013" s="17" t="s">
        <v>265</v>
      </c>
      <c r="D1013" s="17" t="s">
        <v>263</v>
      </c>
      <c r="E1013" s="17">
        <v>3.0449399999999999E-4</v>
      </c>
      <c r="F1013" s="6" t="s">
        <v>233</v>
      </c>
      <c r="G1013" s="6" t="s">
        <v>234</v>
      </c>
      <c r="H1013" s="6">
        <v>3</v>
      </c>
    </row>
    <row r="1014" spans="1:8" ht="30" x14ac:dyDescent="0.25">
      <c r="A1014" s="6" t="s">
        <v>1250</v>
      </c>
      <c r="B1014" s="6" t="s">
        <v>1250</v>
      </c>
      <c r="C1014" s="17" t="s">
        <v>280</v>
      </c>
      <c r="D1014" s="17" t="s">
        <v>278</v>
      </c>
      <c r="E1014" s="17">
        <v>6.2829699999999999E-4</v>
      </c>
      <c r="F1014" s="6" t="s">
        <v>233</v>
      </c>
      <c r="G1014" s="6" t="s">
        <v>234</v>
      </c>
      <c r="H1014" s="6">
        <v>3</v>
      </c>
    </row>
    <row r="1015" spans="1:8" ht="30" x14ac:dyDescent="0.25">
      <c r="A1015" s="6" t="s">
        <v>1251</v>
      </c>
      <c r="B1015" s="6" t="s">
        <v>1251</v>
      </c>
      <c r="C1015" s="17" t="s">
        <v>274</v>
      </c>
      <c r="D1015" s="17" t="s">
        <v>272</v>
      </c>
      <c r="E1015" s="17">
        <v>6.1713999999999996E-4</v>
      </c>
      <c r="F1015" s="6" t="s">
        <v>233</v>
      </c>
      <c r="G1015" s="6" t="s">
        <v>234</v>
      </c>
      <c r="H1015" s="6">
        <v>3</v>
      </c>
    </row>
    <row r="1016" spans="1:8" ht="30" x14ac:dyDescent="0.25">
      <c r="A1016" s="6" t="s">
        <v>1252</v>
      </c>
      <c r="B1016" s="6" t="s">
        <v>1252</v>
      </c>
      <c r="C1016" s="17" t="s">
        <v>271</v>
      </c>
      <c r="D1016" s="17" t="s">
        <v>269</v>
      </c>
      <c r="E1016" s="17">
        <v>5.2359699999999999E-4</v>
      </c>
      <c r="F1016" s="6" t="s">
        <v>233</v>
      </c>
      <c r="G1016" s="6" t="s">
        <v>234</v>
      </c>
      <c r="H1016" s="6">
        <v>3</v>
      </c>
    </row>
    <row r="1017" spans="1:8" ht="30" x14ac:dyDescent="0.25">
      <c r="A1017" s="6" t="s">
        <v>1253</v>
      </c>
      <c r="B1017" s="6" t="s">
        <v>1253</v>
      </c>
      <c r="C1017" s="17" t="s">
        <v>271</v>
      </c>
      <c r="D1017" s="17" t="s">
        <v>269</v>
      </c>
      <c r="E1017" s="17">
        <v>5.2359699999999999E-4</v>
      </c>
      <c r="F1017" s="6" t="s">
        <v>233</v>
      </c>
      <c r="G1017" s="6" t="s">
        <v>234</v>
      </c>
      <c r="H1017" s="6">
        <v>3</v>
      </c>
    </row>
    <row r="1018" spans="1:8" ht="30" x14ac:dyDescent="0.25">
      <c r="A1018" s="6" t="s">
        <v>1254</v>
      </c>
      <c r="B1018" s="6" t="s">
        <v>1254</v>
      </c>
      <c r="C1018" s="17" t="s">
        <v>271</v>
      </c>
      <c r="D1018" s="17" t="s">
        <v>269</v>
      </c>
      <c r="E1018" s="17">
        <v>5.2359699999999999E-4</v>
      </c>
      <c r="F1018" s="6" t="s">
        <v>233</v>
      </c>
      <c r="G1018" s="6" t="s">
        <v>234</v>
      </c>
      <c r="H1018" s="6">
        <v>3</v>
      </c>
    </row>
    <row r="1019" spans="1:8" ht="30" x14ac:dyDescent="0.25">
      <c r="A1019" s="6" t="s">
        <v>1255</v>
      </c>
      <c r="B1019" s="6" t="s">
        <v>1255</v>
      </c>
      <c r="C1019" s="17" t="s">
        <v>271</v>
      </c>
      <c r="D1019" s="17" t="s">
        <v>269</v>
      </c>
      <c r="E1019" s="17">
        <v>5.2359699999999999E-4</v>
      </c>
      <c r="F1019" s="6" t="s">
        <v>233</v>
      </c>
      <c r="G1019" s="6" t="s">
        <v>234</v>
      </c>
      <c r="H1019" s="6">
        <v>3</v>
      </c>
    </row>
    <row r="1020" spans="1:8" ht="30" x14ac:dyDescent="0.25">
      <c r="A1020" s="6" t="s">
        <v>1256</v>
      </c>
      <c r="B1020" s="6" t="s">
        <v>1256</v>
      </c>
      <c r="C1020" s="17" t="s">
        <v>271</v>
      </c>
      <c r="D1020" s="17" t="s">
        <v>269</v>
      </c>
      <c r="E1020" s="17">
        <v>5.2359699999999999E-4</v>
      </c>
      <c r="F1020" s="6" t="s">
        <v>233</v>
      </c>
      <c r="G1020" s="6" t="s">
        <v>234</v>
      </c>
      <c r="H1020" s="6">
        <v>3</v>
      </c>
    </row>
    <row r="1021" spans="1:8" ht="30" x14ac:dyDescent="0.25">
      <c r="A1021" s="6" t="s">
        <v>1257</v>
      </c>
      <c r="B1021" s="6" t="s">
        <v>1257</v>
      </c>
      <c r="C1021" s="17" t="s">
        <v>271</v>
      </c>
      <c r="D1021" s="17" t="s">
        <v>269</v>
      </c>
      <c r="E1021" s="17">
        <v>5.2359699999999999E-4</v>
      </c>
      <c r="F1021" s="6" t="s">
        <v>233</v>
      </c>
      <c r="G1021" s="6" t="s">
        <v>234</v>
      </c>
      <c r="H1021" s="6">
        <v>3</v>
      </c>
    </row>
    <row r="1022" spans="1:8" ht="30" x14ac:dyDescent="0.25">
      <c r="A1022" s="6" t="s">
        <v>1258</v>
      </c>
      <c r="B1022" s="6" t="s">
        <v>1258</v>
      </c>
      <c r="C1022" s="17" t="s">
        <v>271</v>
      </c>
      <c r="D1022" s="17" t="s">
        <v>269</v>
      </c>
      <c r="E1022" s="17">
        <v>5.2359699999999999E-4</v>
      </c>
      <c r="F1022" s="6" t="s">
        <v>233</v>
      </c>
      <c r="G1022" s="6" t="s">
        <v>234</v>
      </c>
      <c r="H1022" s="6">
        <v>3</v>
      </c>
    </row>
    <row r="1023" spans="1:8" ht="30" x14ac:dyDescent="0.25">
      <c r="A1023" s="6" t="s">
        <v>1259</v>
      </c>
      <c r="B1023" s="6" t="s">
        <v>1259</v>
      </c>
      <c r="C1023" s="17" t="s">
        <v>271</v>
      </c>
      <c r="D1023" s="17" t="s">
        <v>269</v>
      </c>
      <c r="E1023" s="17">
        <v>5.2359699999999999E-4</v>
      </c>
      <c r="F1023" s="6" t="s">
        <v>233</v>
      </c>
      <c r="G1023" s="6" t="s">
        <v>234</v>
      </c>
      <c r="H1023" s="6">
        <v>3</v>
      </c>
    </row>
    <row r="1024" spans="1:8" ht="30" x14ac:dyDescent="0.25">
      <c r="A1024" s="6" t="s">
        <v>1260</v>
      </c>
      <c r="B1024" s="6" t="s">
        <v>1260</v>
      </c>
      <c r="C1024" s="17" t="s">
        <v>271</v>
      </c>
      <c r="D1024" s="17" t="s">
        <v>269</v>
      </c>
      <c r="E1024" s="17">
        <v>5.2359699999999999E-4</v>
      </c>
      <c r="F1024" s="6" t="s">
        <v>233</v>
      </c>
      <c r="G1024" s="6" t="s">
        <v>234</v>
      </c>
      <c r="H1024" s="6">
        <v>3</v>
      </c>
    </row>
    <row r="1025" spans="1:8" ht="30" x14ac:dyDescent="0.25">
      <c r="A1025" s="17" t="s">
        <v>1261</v>
      </c>
      <c r="B1025" s="17" t="s">
        <v>1261</v>
      </c>
      <c r="C1025" s="17" t="s">
        <v>301</v>
      </c>
      <c r="D1025" s="17" t="s">
        <v>311</v>
      </c>
      <c r="E1025" s="17">
        <v>2.9599999999999998E-4</v>
      </c>
      <c r="F1025" s="6" t="s">
        <v>233</v>
      </c>
      <c r="G1025" s="6" t="s">
        <v>234</v>
      </c>
      <c r="H1025" s="6">
        <v>3</v>
      </c>
    </row>
    <row r="1026" spans="1:8" ht="30" x14ac:dyDescent="0.25">
      <c r="A1026" s="6" t="s">
        <v>1262</v>
      </c>
      <c r="B1026" s="6" t="s">
        <v>1262</v>
      </c>
      <c r="C1026" s="17" t="s">
        <v>271</v>
      </c>
      <c r="D1026" s="17" t="s">
        <v>269</v>
      </c>
      <c r="E1026" s="17">
        <v>5.2359699999999999E-4</v>
      </c>
      <c r="F1026" s="6" t="s">
        <v>233</v>
      </c>
      <c r="G1026" s="6" t="s">
        <v>234</v>
      </c>
      <c r="H1026" s="6">
        <v>3</v>
      </c>
    </row>
    <row r="1027" spans="1:8" ht="30" x14ac:dyDescent="0.25">
      <c r="A1027" s="17" t="s">
        <v>1263</v>
      </c>
      <c r="B1027" s="17" t="s">
        <v>1263</v>
      </c>
      <c r="C1027" s="17" t="s">
        <v>271</v>
      </c>
      <c r="D1027" s="17" t="s">
        <v>269</v>
      </c>
      <c r="E1027" s="17">
        <v>5.2359699999999999E-4</v>
      </c>
      <c r="F1027" s="6" t="s">
        <v>233</v>
      </c>
      <c r="G1027" s="6" t="s">
        <v>234</v>
      </c>
      <c r="H1027" s="6">
        <v>3</v>
      </c>
    </row>
    <row r="1028" spans="1:8" ht="30" x14ac:dyDescent="0.25">
      <c r="A1028" s="17" t="s">
        <v>1264</v>
      </c>
      <c r="B1028" s="17" t="s">
        <v>1264</v>
      </c>
      <c r="C1028" s="17" t="s">
        <v>271</v>
      </c>
      <c r="D1028" s="17" t="s">
        <v>269</v>
      </c>
      <c r="E1028" s="17">
        <v>5.2359699999999999E-4</v>
      </c>
      <c r="F1028" s="6" t="s">
        <v>233</v>
      </c>
      <c r="G1028" s="6" t="s">
        <v>234</v>
      </c>
      <c r="H1028" s="6">
        <v>3</v>
      </c>
    </row>
    <row r="1029" spans="1:8" ht="30" x14ac:dyDescent="0.25">
      <c r="A1029" s="17" t="s">
        <v>1265</v>
      </c>
      <c r="B1029" s="17" t="s">
        <v>1265</v>
      </c>
      <c r="C1029" s="17" t="s">
        <v>271</v>
      </c>
      <c r="D1029" s="17" t="s">
        <v>269</v>
      </c>
      <c r="E1029" s="17">
        <v>5.2359699999999999E-4</v>
      </c>
      <c r="F1029" s="6" t="s">
        <v>233</v>
      </c>
      <c r="G1029" s="6" t="s">
        <v>234</v>
      </c>
      <c r="H1029" s="6">
        <v>3</v>
      </c>
    </row>
    <row r="1030" spans="1:8" ht="30" x14ac:dyDescent="0.25">
      <c r="A1030" s="17" t="s">
        <v>1266</v>
      </c>
      <c r="B1030" s="17" t="s">
        <v>1266</v>
      </c>
      <c r="C1030" s="17" t="s">
        <v>271</v>
      </c>
      <c r="D1030" s="17" t="s">
        <v>269</v>
      </c>
      <c r="E1030" s="17">
        <v>5.2359699999999999E-4</v>
      </c>
      <c r="F1030" s="6" t="s">
        <v>233</v>
      </c>
      <c r="G1030" s="6" t="s">
        <v>234</v>
      </c>
      <c r="H1030" s="6">
        <v>3</v>
      </c>
    </row>
    <row r="1031" spans="1:8" ht="30" x14ac:dyDescent="0.25">
      <c r="A1031" s="17" t="s">
        <v>1267</v>
      </c>
      <c r="B1031" s="17" t="s">
        <v>1267</v>
      </c>
      <c r="C1031" s="17" t="s">
        <v>271</v>
      </c>
      <c r="D1031" s="17" t="s">
        <v>269</v>
      </c>
      <c r="E1031" s="17">
        <v>5.2359699999999999E-4</v>
      </c>
      <c r="F1031" s="6" t="s">
        <v>233</v>
      </c>
      <c r="G1031" s="6" t="s">
        <v>234</v>
      </c>
      <c r="H1031" s="6">
        <v>3</v>
      </c>
    </row>
    <row r="1032" spans="1:8" ht="30" x14ac:dyDescent="0.25">
      <c r="A1032" s="17" t="s">
        <v>1268</v>
      </c>
      <c r="B1032" s="17" t="s">
        <v>1268</v>
      </c>
      <c r="C1032" s="17" t="s">
        <v>271</v>
      </c>
      <c r="D1032" s="17" t="s">
        <v>269</v>
      </c>
      <c r="E1032" s="17">
        <v>5.2359699999999999E-4</v>
      </c>
      <c r="F1032" s="6" t="s">
        <v>233</v>
      </c>
      <c r="G1032" s="6" t="s">
        <v>234</v>
      </c>
      <c r="H1032" s="6">
        <v>3</v>
      </c>
    </row>
    <row r="1033" spans="1:8" ht="30" x14ac:dyDescent="0.25">
      <c r="A1033" s="17" t="s">
        <v>1269</v>
      </c>
      <c r="B1033" s="17" t="s">
        <v>1269</v>
      </c>
      <c r="C1033" s="17" t="s">
        <v>271</v>
      </c>
      <c r="D1033" s="17" t="s">
        <v>269</v>
      </c>
      <c r="E1033" s="17">
        <v>5.2359699999999999E-4</v>
      </c>
      <c r="F1033" s="6" t="s">
        <v>233</v>
      </c>
      <c r="G1033" s="6" t="s">
        <v>234</v>
      </c>
      <c r="H1033" s="6">
        <v>3</v>
      </c>
    </row>
    <row r="1034" spans="1:8" ht="30" x14ac:dyDescent="0.25">
      <c r="A1034" s="17" t="s">
        <v>1270</v>
      </c>
      <c r="B1034" s="17" t="s">
        <v>1270</v>
      </c>
      <c r="C1034" s="17" t="s">
        <v>271</v>
      </c>
      <c r="D1034" s="17" t="s">
        <v>269</v>
      </c>
      <c r="E1034" s="17">
        <v>5.2359699999999999E-4</v>
      </c>
      <c r="F1034" s="6" t="s">
        <v>233</v>
      </c>
      <c r="G1034" s="6" t="s">
        <v>234</v>
      </c>
      <c r="H1034" s="6">
        <v>3</v>
      </c>
    </row>
    <row r="1035" spans="1:8" ht="30" x14ac:dyDescent="0.25">
      <c r="A1035" s="17" t="s">
        <v>1271</v>
      </c>
      <c r="B1035" s="17" t="s">
        <v>1271</v>
      </c>
      <c r="C1035" s="17" t="s">
        <v>271</v>
      </c>
      <c r="D1035" s="17" t="s">
        <v>269</v>
      </c>
      <c r="E1035" s="17">
        <v>5.2359699999999999E-4</v>
      </c>
      <c r="F1035" s="6" t="s">
        <v>233</v>
      </c>
      <c r="G1035" s="6" t="s">
        <v>234</v>
      </c>
      <c r="H1035" s="6">
        <v>3</v>
      </c>
    </row>
    <row r="1036" spans="1:8" ht="30" x14ac:dyDescent="0.25">
      <c r="A1036" s="17" t="s">
        <v>1272</v>
      </c>
      <c r="B1036" s="17" t="s">
        <v>1272</v>
      </c>
      <c r="C1036" s="17" t="s">
        <v>298</v>
      </c>
      <c r="D1036" s="17" t="s">
        <v>299</v>
      </c>
      <c r="E1036" s="17">
        <v>4.2299999999999998E-4</v>
      </c>
      <c r="F1036" s="6" t="s">
        <v>233</v>
      </c>
      <c r="G1036" s="6" t="s">
        <v>234</v>
      </c>
      <c r="H1036" s="6">
        <v>3</v>
      </c>
    </row>
    <row r="1037" spans="1:8" ht="30" x14ac:dyDescent="0.25">
      <c r="A1037" s="17" t="s">
        <v>1273</v>
      </c>
      <c r="B1037" s="17" t="s">
        <v>1273</v>
      </c>
      <c r="C1037" s="17" t="s">
        <v>743</v>
      </c>
      <c r="D1037" s="17" t="s">
        <v>744</v>
      </c>
      <c r="E1037" s="17">
        <v>3.813E-4</v>
      </c>
      <c r="F1037" s="6" t="s">
        <v>233</v>
      </c>
      <c r="G1037" s="6" t="s">
        <v>234</v>
      </c>
      <c r="H1037" s="6">
        <v>3</v>
      </c>
    </row>
    <row r="1038" spans="1:8" ht="30" x14ac:dyDescent="0.25">
      <c r="A1038" s="17" t="s">
        <v>1274</v>
      </c>
      <c r="B1038" s="17" t="s">
        <v>1274</v>
      </c>
      <c r="C1038" s="17" t="s">
        <v>346</v>
      </c>
      <c r="D1038" s="17" t="s">
        <v>1275</v>
      </c>
      <c r="E1038" s="17">
        <v>2.10657E-4</v>
      </c>
      <c r="F1038" s="6" t="s">
        <v>233</v>
      </c>
      <c r="G1038" s="6" t="s">
        <v>234</v>
      </c>
      <c r="H1038" s="6">
        <v>3</v>
      </c>
    </row>
    <row r="1039" spans="1:8" ht="30" x14ac:dyDescent="0.25">
      <c r="A1039" s="17" t="s">
        <v>1276</v>
      </c>
      <c r="B1039" s="17" t="s">
        <v>1276</v>
      </c>
      <c r="C1039" s="17" t="s">
        <v>407</v>
      </c>
      <c r="D1039" s="17" t="s">
        <v>408</v>
      </c>
      <c r="E1039" s="17">
        <v>1.6713599999999999E-4</v>
      </c>
      <c r="F1039" s="6" t="s">
        <v>233</v>
      </c>
      <c r="G1039" s="6" t="s">
        <v>234</v>
      </c>
      <c r="H1039" s="6">
        <v>3</v>
      </c>
    </row>
    <row r="1040" spans="1:8" ht="30" x14ac:dyDescent="0.25">
      <c r="A1040" s="17" t="s">
        <v>1277</v>
      </c>
      <c r="B1040" s="17" t="s">
        <v>1277</v>
      </c>
      <c r="C1040" s="17" t="s">
        <v>407</v>
      </c>
      <c r="D1040" s="17" t="s">
        <v>408</v>
      </c>
      <c r="E1040" s="17">
        <v>1.6713599999999999E-4</v>
      </c>
      <c r="F1040" s="6" t="s">
        <v>233</v>
      </c>
      <c r="G1040" s="6" t="s">
        <v>234</v>
      </c>
      <c r="H1040" s="6">
        <v>3</v>
      </c>
    </row>
    <row r="1041" spans="1:8" ht="30" x14ac:dyDescent="0.25">
      <c r="A1041" s="17" t="s">
        <v>1278</v>
      </c>
      <c r="B1041" s="17" t="s">
        <v>1278</v>
      </c>
      <c r="C1041" s="17" t="s">
        <v>346</v>
      </c>
      <c r="D1041" s="17" t="s">
        <v>1275</v>
      </c>
      <c r="E1041" s="17">
        <v>2.10657E-4</v>
      </c>
      <c r="F1041" s="6" t="s">
        <v>233</v>
      </c>
      <c r="G1041" s="6" t="s">
        <v>234</v>
      </c>
      <c r="H1041" s="6">
        <v>3</v>
      </c>
    </row>
    <row r="1042" spans="1:8" ht="30" x14ac:dyDescent="0.25">
      <c r="A1042" s="17" t="s">
        <v>1279</v>
      </c>
      <c r="B1042" s="17" t="s">
        <v>1279</v>
      </c>
      <c r="C1042" s="17" t="s">
        <v>413</v>
      </c>
      <c r="D1042" s="17" t="s">
        <v>414</v>
      </c>
      <c r="E1042" s="17">
        <v>3.1322199999999999E-4</v>
      </c>
      <c r="F1042" s="6" t="s">
        <v>233</v>
      </c>
      <c r="G1042" s="6" t="s">
        <v>234</v>
      </c>
      <c r="H1042" s="6">
        <v>3</v>
      </c>
    </row>
    <row r="1043" spans="1:8" ht="30" x14ac:dyDescent="0.25">
      <c r="A1043" s="17" t="s">
        <v>1280</v>
      </c>
      <c r="B1043" s="17" t="s">
        <v>1280</v>
      </c>
      <c r="C1043" s="17" t="s">
        <v>346</v>
      </c>
      <c r="D1043" s="17" t="s">
        <v>1275</v>
      </c>
      <c r="E1043" s="17">
        <v>2.10657E-4</v>
      </c>
      <c r="F1043" s="6" t="s">
        <v>233</v>
      </c>
      <c r="G1043" s="6" t="s">
        <v>234</v>
      </c>
      <c r="H1043" s="6">
        <v>3</v>
      </c>
    </row>
    <row r="1044" spans="1:8" x14ac:dyDescent="0.25">
      <c r="A1044" s="18" t="s">
        <v>1281</v>
      </c>
      <c r="B1044" s="18" t="s">
        <v>1281</v>
      </c>
      <c r="C1044" s="18" t="s">
        <v>743</v>
      </c>
      <c r="D1044" s="18" t="s">
        <v>744</v>
      </c>
      <c r="E1044" s="18">
        <v>3.813E-4</v>
      </c>
      <c r="F1044" s="6" t="s">
        <v>233</v>
      </c>
      <c r="G1044" s="6" t="s">
        <v>234</v>
      </c>
      <c r="H1044" s="6">
        <v>3</v>
      </c>
    </row>
    <row r="1045" spans="1:8" ht="45" x14ac:dyDescent="0.25">
      <c r="A1045" s="17" t="s">
        <v>1282</v>
      </c>
      <c r="B1045" s="17" t="s">
        <v>1282</v>
      </c>
      <c r="C1045" s="17" t="s">
        <v>737</v>
      </c>
      <c r="D1045" s="17" t="s">
        <v>738</v>
      </c>
      <c r="E1045" s="17">
        <v>1.81306E-4</v>
      </c>
      <c r="F1045" s="6" t="s">
        <v>233</v>
      </c>
      <c r="G1045" s="6" t="s">
        <v>234</v>
      </c>
      <c r="H1045" s="6">
        <v>3</v>
      </c>
    </row>
    <row r="1046" spans="1:8" ht="45" x14ac:dyDescent="0.25">
      <c r="A1046" s="17" t="s">
        <v>1283</v>
      </c>
      <c r="B1046" s="17" t="s">
        <v>1283</v>
      </c>
      <c r="C1046" s="17" t="s">
        <v>737</v>
      </c>
      <c r="D1046" s="17" t="s">
        <v>738</v>
      </c>
      <c r="E1046" s="17">
        <v>1.81306E-4</v>
      </c>
      <c r="F1046" s="6" t="s">
        <v>233</v>
      </c>
      <c r="G1046" s="6" t="s">
        <v>234</v>
      </c>
      <c r="H1046" s="6">
        <v>3</v>
      </c>
    </row>
    <row r="1047" spans="1:8" ht="45" x14ac:dyDescent="0.25">
      <c r="A1047" s="17" t="s">
        <v>1284</v>
      </c>
      <c r="B1047" s="17" t="s">
        <v>1284</v>
      </c>
      <c r="C1047" s="17" t="s">
        <v>737</v>
      </c>
      <c r="D1047" s="17" t="s">
        <v>738</v>
      </c>
      <c r="E1047" s="17">
        <v>1.81306E-4</v>
      </c>
      <c r="F1047" s="6" t="s">
        <v>233</v>
      </c>
      <c r="G1047" s="6" t="s">
        <v>234</v>
      </c>
      <c r="H1047" s="6">
        <v>3</v>
      </c>
    </row>
    <row r="1048" spans="1:8" ht="30" x14ac:dyDescent="0.25">
      <c r="A1048" s="6" t="s">
        <v>1285</v>
      </c>
      <c r="B1048" s="6" t="s">
        <v>1285</v>
      </c>
      <c r="C1048" s="17" t="s">
        <v>737</v>
      </c>
      <c r="D1048" s="17" t="s">
        <v>738</v>
      </c>
      <c r="E1048" s="17">
        <v>1.81306E-4</v>
      </c>
      <c r="F1048" s="6" t="s">
        <v>233</v>
      </c>
      <c r="G1048" s="6" t="s">
        <v>234</v>
      </c>
      <c r="H1048" s="6">
        <v>3</v>
      </c>
    </row>
    <row r="1049" spans="1:8" ht="30" x14ac:dyDescent="0.25">
      <c r="A1049" s="17" t="s">
        <v>1286</v>
      </c>
      <c r="B1049" s="17" t="s">
        <v>1286</v>
      </c>
      <c r="C1049" s="17" t="s">
        <v>737</v>
      </c>
      <c r="D1049" s="17" t="s">
        <v>738</v>
      </c>
      <c r="E1049" s="17">
        <v>1.81306E-4</v>
      </c>
      <c r="F1049" s="6" t="s">
        <v>233</v>
      </c>
      <c r="G1049" s="6" t="s">
        <v>234</v>
      </c>
      <c r="H1049" s="6">
        <v>3</v>
      </c>
    </row>
    <row r="1050" spans="1:8" ht="30" x14ac:dyDescent="0.25">
      <c r="A1050" s="17" t="s">
        <v>1287</v>
      </c>
      <c r="B1050" s="17" t="s">
        <v>1287</v>
      </c>
      <c r="C1050" s="17" t="s">
        <v>737</v>
      </c>
      <c r="D1050" s="17" t="s">
        <v>738</v>
      </c>
      <c r="E1050" s="17">
        <v>1.81306E-4</v>
      </c>
      <c r="F1050" s="6" t="s">
        <v>233</v>
      </c>
      <c r="G1050" s="6" t="s">
        <v>234</v>
      </c>
      <c r="H1050" s="6">
        <v>3</v>
      </c>
    </row>
    <row r="1051" spans="1:8" ht="30" x14ac:dyDescent="0.25">
      <c r="A1051" s="17" t="s">
        <v>1288</v>
      </c>
      <c r="B1051" s="17" t="s">
        <v>1288</v>
      </c>
      <c r="C1051" s="17" t="s">
        <v>737</v>
      </c>
      <c r="D1051" s="17" t="s">
        <v>738</v>
      </c>
      <c r="E1051" s="17">
        <v>1.81306E-4</v>
      </c>
      <c r="F1051" s="6" t="s">
        <v>233</v>
      </c>
      <c r="G1051" s="6" t="s">
        <v>234</v>
      </c>
      <c r="H1051" s="6">
        <v>3</v>
      </c>
    </row>
    <row r="1052" spans="1:8" ht="30" x14ac:dyDescent="0.25">
      <c r="A1052" s="17" t="s">
        <v>1289</v>
      </c>
      <c r="B1052" s="17" t="s">
        <v>1289</v>
      </c>
      <c r="C1052" s="17" t="s">
        <v>407</v>
      </c>
      <c r="D1052" s="17" t="s">
        <v>408</v>
      </c>
      <c r="E1052" s="17">
        <v>1.6713599999999999E-4</v>
      </c>
      <c r="F1052" s="6" t="s">
        <v>233</v>
      </c>
      <c r="G1052" s="6" t="s">
        <v>234</v>
      </c>
      <c r="H1052" s="6">
        <v>3</v>
      </c>
    </row>
    <row r="1053" spans="1:8" ht="30" x14ac:dyDescent="0.25">
      <c r="A1053" s="17" t="s">
        <v>1290</v>
      </c>
      <c r="B1053" s="17" t="s">
        <v>1290</v>
      </c>
      <c r="C1053" s="17" t="s">
        <v>407</v>
      </c>
      <c r="D1053" s="17" t="s">
        <v>408</v>
      </c>
      <c r="E1053" s="17">
        <v>1.6713599999999999E-4</v>
      </c>
      <c r="F1053" s="6" t="s">
        <v>233</v>
      </c>
      <c r="G1053" s="6" t="s">
        <v>234</v>
      </c>
      <c r="H1053" s="6">
        <v>3</v>
      </c>
    </row>
    <row r="1054" spans="1:8" ht="30" x14ac:dyDescent="0.25">
      <c r="A1054" s="17" t="s">
        <v>1291</v>
      </c>
      <c r="B1054" s="17" t="s">
        <v>1291</v>
      </c>
      <c r="C1054" s="17" t="s">
        <v>465</v>
      </c>
      <c r="D1054" s="17" t="s">
        <v>466</v>
      </c>
      <c r="E1054" s="17">
        <v>2.2128299999999999E-4</v>
      </c>
      <c r="F1054" s="6" t="s">
        <v>233</v>
      </c>
      <c r="G1054" s="6" t="s">
        <v>234</v>
      </c>
      <c r="H1054" s="6">
        <v>3</v>
      </c>
    </row>
    <row r="1055" spans="1:8" ht="30" x14ac:dyDescent="0.25">
      <c r="A1055" s="17" t="s">
        <v>1292</v>
      </c>
      <c r="B1055" s="17" t="s">
        <v>1292</v>
      </c>
      <c r="C1055" s="17" t="s">
        <v>271</v>
      </c>
      <c r="D1055" s="17" t="s">
        <v>269</v>
      </c>
      <c r="E1055" s="17">
        <v>5.2359699999999999E-4</v>
      </c>
      <c r="F1055" s="6" t="s">
        <v>233</v>
      </c>
      <c r="G1055" s="6" t="s">
        <v>234</v>
      </c>
      <c r="H1055" s="6">
        <v>3</v>
      </c>
    </row>
    <row r="1056" spans="1:8" ht="30" x14ac:dyDescent="0.25">
      <c r="A1056" s="17" t="s">
        <v>1293</v>
      </c>
      <c r="B1056" s="17" t="s">
        <v>1293</v>
      </c>
      <c r="C1056" s="17" t="s">
        <v>346</v>
      </c>
      <c r="D1056" s="17" t="s">
        <v>1275</v>
      </c>
      <c r="E1056" s="17">
        <v>2.10657E-4</v>
      </c>
      <c r="F1056" s="6" t="s">
        <v>233</v>
      </c>
      <c r="G1056" s="6" t="s">
        <v>234</v>
      </c>
      <c r="H1056" s="6">
        <v>3</v>
      </c>
    </row>
    <row r="1057" spans="1:8" ht="30" x14ac:dyDescent="0.25">
      <c r="A1057" s="17" t="s">
        <v>1294</v>
      </c>
      <c r="B1057" s="17" t="s">
        <v>1294</v>
      </c>
      <c r="C1057" s="17" t="s">
        <v>346</v>
      </c>
      <c r="D1057" s="17" t="s">
        <v>1275</v>
      </c>
      <c r="E1057" s="17">
        <v>2.10657E-4</v>
      </c>
      <c r="F1057" s="6" t="s">
        <v>233</v>
      </c>
      <c r="G1057" s="6" t="s">
        <v>234</v>
      </c>
      <c r="H1057" s="6">
        <v>3</v>
      </c>
    </row>
    <row r="1058" spans="1:8" ht="30" x14ac:dyDescent="0.25">
      <c r="A1058" s="17" t="s">
        <v>1295</v>
      </c>
      <c r="B1058" s="17" t="s">
        <v>1295</v>
      </c>
      <c r="C1058" s="17" t="s">
        <v>346</v>
      </c>
      <c r="D1058" s="17" t="s">
        <v>1275</v>
      </c>
      <c r="E1058" s="17">
        <v>2.10657E-4</v>
      </c>
      <c r="F1058" s="6" t="s">
        <v>233</v>
      </c>
      <c r="G1058" s="6" t="s">
        <v>234</v>
      </c>
      <c r="H1058" s="6">
        <v>3</v>
      </c>
    </row>
    <row r="1059" spans="1:8" ht="30" x14ac:dyDescent="0.25">
      <c r="A1059" s="17" t="s">
        <v>1296</v>
      </c>
      <c r="B1059" s="17" t="s">
        <v>1296</v>
      </c>
      <c r="C1059" s="17" t="s">
        <v>346</v>
      </c>
      <c r="D1059" s="17" t="s">
        <v>1275</v>
      </c>
      <c r="E1059" s="17">
        <v>2.10657E-4</v>
      </c>
      <c r="F1059" s="6" t="s">
        <v>233</v>
      </c>
      <c r="G1059" s="6" t="s">
        <v>234</v>
      </c>
      <c r="H1059" s="6">
        <v>3</v>
      </c>
    </row>
    <row r="1060" spans="1:8" ht="30" x14ac:dyDescent="0.25">
      <c r="A1060" s="17" t="s">
        <v>1297</v>
      </c>
      <c r="B1060" s="17" t="s">
        <v>1297</v>
      </c>
      <c r="C1060" s="17" t="s">
        <v>346</v>
      </c>
      <c r="D1060" s="17" t="s">
        <v>1275</v>
      </c>
      <c r="E1060" s="17">
        <v>2.10657E-4</v>
      </c>
      <c r="F1060" s="6" t="s">
        <v>233</v>
      </c>
      <c r="G1060" s="6" t="s">
        <v>234</v>
      </c>
      <c r="H1060" s="6">
        <v>3</v>
      </c>
    </row>
    <row r="1061" spans="1:8" ht="30" x14ac:dyDescent="0.25">
      <c r="A1061" s="17" t="s">
        <v>1298</v>
      </c>
      <c r="B1061" s="17" t="s">
        <v>1298</v>
      </c>
      <c r="C1061" s="17" t="s">
        <v>346</v>
      </c>
      <c r="D1061" s="17" t="s">
        <v>1275</v>
      </c>
      <c r="E1061" s="17">
        <v>2.10657E-4</v>
      </c>
      <c r="F1061" s="6" t="s">
        <v>233</v>
      </c>
      <c r="G1061" s="6" t="s">
        <v>234</v>
      </c>
      <c r="H1061" s="6">
        <v>3</v>
      </c>
    </row>
    <row r="1062" spans="1:8" ht="30" x14ac:dyDescent="0.25">
      <c r="A1062" s="17" t="s">
        <v>1299</v>
      </c>
      <c r="B1062" s="17" t="s">
        <v>1299</v>
      </c>
      <c r="C1062" s="17" t="s">
        <v>286</v>
      </c>
      <c r="D1062" s="17" t="s">
        <v>284</v>
      </c>
      <c r="E1062" s="17">
        <v>4.7699999999999999E-4</v>
      </c>
      <c r="F1062" s="6" t="s">
        <v>233</v>
      </c>
      <c r="G1062" s="6" t="s">
        <v>234</v>
      </c>
      <c r="H1062" s="6">
        <v>3</v>
      </c>
    </row>
    <row r="1063" spans="1:8" ht="30" x14ac:dyDescent="0.25">
      <c r="A1063" s="17" t="s">
        <v>1300</v>
      </c>
      <c r="B1063" s="17" t="s">
        <v>1300</v>
      </c>
      <c r="C1063" s="17" t="s">
        <v>286</v>
      </c>
      <c r="D1063" s="17" t="s">
        <v>284</v>
      </c>
      <c r="E1063" s="17">
        <v>4.7699999999999999E-4</v>
      </c>
      <c r="F1063" s="6" t="s">
        <v>233</v>
      </c>
      <c r="G1063" s="6" t="s">
        <v>234</v>
      </c>
      <c r="H1063" s="6">
        <v>3</v>
      </c>
    </row>
    <row r="1064" spans="1:8" ht="30" x14ac:dyDescent="0.25">
      <c r="A1064" s="17" t="s">
        <v>1301</v>
      </c>
      <c r="B1064" s="17" t="s">
        <v>1301</v>
      </c>
      <c r="C1064" s="17" t="s">
        <v>729</v>
      </c>
      <c r="D1064" s="17" t="s">
        <v>730</v>
      </c>
      <c r="E1064" s="17">
        <v>1.8648100000000001E-4</v>
      </c>
      <c r="F1064" s="6" t="s">
        <v>233</v>
      </c>
      <c r="G1064" s="6" t="s">
        <v>234</v>
      </c>
      <c r="H1064" s="6">
        <v>3</v>
      </c>
    </row>
    <row r="1065" spans="1:8" ht="30" x14ac:dyDescent="0.25">
      <c r="A1065" s="17" t="s">
        <v>1302</v>
      </c>
      <c r="B1065" s="17" t="s">
        <v>1302</v>
      </c>
      <c r="C1065" s="17" t="s">
        <v>721</v>
      </c>
      <c r="D1065" s="17" t="s">
        <v>722</v>
      </c>
      <c r="E1065" s="17">
        <v>1.24993E-4</v>
      </c>
      <c r="F1065" s="6" t="s">
        <v>233</v>
      </c>
      <c r="G1065" s="6" t="s">
        <v>234</v>
      </c>
      <c r="H1065" s="6">
        <v>3</v>
      </c>
    </row>
    <row r="1066" spans="1:8" ht="30" x14ac:dyDescent="0.25">
      <c r="A1066" s="17" t="s">
        <v>1303</v>
      </c>
      <c r="B1066" s="17" t="s">
        <v>1303</v>
      </c>
      <c r="C1066" s="17" t="s">
        <v>721</v>
      </c>
      <c r="D1066" s="17" t="s">
        <v>722</v>
      </c>
      <c r="E1066" s="17">
        <v>1.24993E-4</v>
      </c>
      <c r="F1066" s="6" t="s">
        <v>233</v>
      </c>
      <c r="G1066" s="6" t="s">
        <v>234</v>
      </c>
      <c r="H1066" s="6">
        <v>3</v>
      </c>
    </row>
    <row r="1067" spans="1:8" ht="30" x14ac:dyDescent="0.25">
      <c r="A1067" s="17" t="s">
        <v>1304</v>
      </c>
      <c r="B1067" s="17" t="s">
        <v>1304</v>
      </c>
      <c r="C1067" s="17" t="s">
        <v>743</v>
      </c>
      <c r="D1067" s="17" t="s">
        <v>744</v>
      </c>
      <c r="E1067" s="17">
        <v>3.813E-4</v>
      </c>
      <c r="F1067" s="6" t="s">
        <v>233</v>
      </c>
      <c r="G1067" s="6" t="s">
        <v>234</v>
      </c>
      <c r="H1067" s="6">
        <v>3</v>
      </c>
    </row>
    <row r="1068" spans="1:8" ht="30" x14ac:dyDescent="0.25">
      <c r="A1068" s="17" t="s">
        <v>1305</v>
      </c>
      <c r="B1068" s="17" t="s">
        <v>1305</v>
      </c>
      <c r="C1068" s="17" t="s">
        <v>743</v>
      </c>
      <c r="D1068" s="17" t="s">
        <v>744</v>
      </c>
      <c r="E1068" s="17">
        <v>3.813E-4</v>
      </c>
      <c r="F1068" s="6" t="s">
        <v>233</v>
      </c>
      <c r="G1068" s="6" t="s">
        <v>234</v>
      </c>
      <c r="H1068" s="6">
        <v>3</v>
      </c>
    </row>
    <row r="1069" spans="1:8" ht="30" x14ac:dyDescent="0.25">
      <c r="A1069" s="17" t="s">
        <v>1306</v>
      </c>
      <c r="B1069" s="17" t="s">
        <v>1306</v>
      </c>
      <c r="C1069" s="17" t="s">
        <v>743</v>
      </c>
      <c r="D1069" s="17" t="s">
        <v>744</v>
      </c>
      <c r="E1069" s="17">
        <v>3.813E-4</v>
      </c>
      <c r="F1069" s="6" t="s">
        <v>233</v>
      </c>
      <c r="G1069" s="6" t="s">
        <v>234</v>
      </c>
      <c r="H1069" s="6">
        <v>3</v>
      </c>
    </row>
    <row r="1070" spans="1:8" ht="30" x14ac:dyDescent="0.25">
      <c r="A1070" s="17" t="s">
        <v>1307</v>
      </c>
      <c r="B1070" s="17" t="s">
        <v>1307</v>
      </c>
      <c r="C1070" s="17" t="s">
        <v>1308</v>
      </c>
      <c r="D1070" s="17" t="s">
        <v>1309</v>
      </c>
      <c r="E1070" s="17">
        <v>2.00426E-4</v>
      </c>
      <c r="F1070" s="6" t="s">
        <v>233</v>
      </c>
      <c r="G1070" s="6" t="s">
        <v>234</v>
      </c>
      <c r="H1070" s="6">
        <v>3</v>
      </c>
    </row>
    <row r="1071" spans="1:8" ht="30" x14ac:dyDescent="0.25">
      <c r="A1071" s="17" t="s">
        <v>1310</v>
      </c>
      <c r="B1071" s="17" t="s">
        <v>1310</v>
      </c>
      <c r="C1071" s="17" t="s">
        <v>346</v>
      </c>
      <c r="D1071" s="17" t="s">
        <v>1275</v>
      </c>
      <c r="E1071" s="17">
        <v>2.10657E-4</v>
      </c>
      <c r="F1071" s="6" t="s">
        <v>233</v>
      </c>
      <c r="G1071" s="6" t="s">
        <v>234</v>
      </c>
      <c r="H1071" s="6">
        <v>3</v>
      </c>
    </row>
    <row r="1072" spans="1:8" ht="30" x14ac:dyDescent="0.25">
      <c r="A1072" s="17" t="s">
        <v>1311</v>
      </c>
      <c r="B1072" s="17" t="s">
        <v>1311</v>
      </c>
      <c r="C1072" s="17" t="s">
        <v>346</v>
      </c>
      <c r="D1072" s="17" t="s">
        <v>1275</v>
      </c>
      <c r="E1072" s="17">
        <v>2.10657E-4</v>
      </c>
      <c r="F1072" s="6" t="s">
        <v>233</v>
      </c>
      <c r="G1072" s="6" t="s">
        <v>234</v>
      </c>
      <c r="H1072" s="6">
        <v>3</v>
      </c>
    </row>
    <row r="1073" spans="1:8" ht="30" x14ac:dyDescent="0.25">
      <c r="A1073" s="17" t="s">
        <v>1312</v>
      </c>
      <c r="B1073" s="17" t="s">
        <v>1312</v>
      </c>
      <c r="C1073" s="17" t="s">
        <v>746</v>
      </c>
      <c r="D1073" s="17" t="s">
        <v>747</v>
      </c>
      <c r="E1073" s="17">
        <v>2.4671799999999999E-4</v>
      </c>
      <c r="F1073" s="6" t="s">
        <v>233</v>
      </c>
      <c r="G1073" s="6" t="s">
        <v>234</v>
      </c>
      <c r="H1073" s="6">
        <v>3</v>
      </c>
    </row>
    <row r="1074" spans="1:8" ht="30" x14ac:dyDescent="0.25">
      <c r="A1074" s="17" t="s">
        <v>1313</v>
      </c>
      <c r="B1074" s="17" t="s">
        <v>1313</v>
      </c>
      <c r="C1074" s="17" t="s">
        <v>1308</v>
      </c>
      <c r="D1074" s="17" t="s">
        <v>1309</v>
      </c>
      <c r="E1074" s="17">
        <v>2.00426E-4</v>
      </c>
      <c r="F1074" s="6" t="s">
        <v>233</v>
      </c>
      <c r="G1074" s="6" t="s">
        <v>234</v>
      </c>
      <c r="H1074" s="6">
        <v>3</v>
      </c>
    </row>
    <row r="1075" spans="1:8" ht="30" x14ac:dyDescent="0.25">
      <c r="A1075" s="17" t="s">
        <v>1314</v>
      </c>
      <c r="B1075" s="17" t="s">
        <v>1314</v>
      </c>
      <c r="C1075" s="17" t="s">
        <v>737</v>
      </c>
      <c r="D1075" s="17" t="s">
        <v>738</v>
      </c>
      <c r="E1075" s="17">
        <v>1.81306E-4</v>
      </c>
      <c r="F1075" s="6" t="s">
        <v>233</v>
      </c>
      <c r="G1075" s="6" t="s">
        <v>234</v>
      </c>
      <c r="H1075" s="6">
        <v>3</v>
      </c>
    </row>
    <row r="1076" spans="1:8" ht="30" x14ac:dyDescent="0.25">
      <c r="A1076" s="17" t="s">
        <v>1315</v>
      </c>
      <c r="B1076" s="17" t="s">
        <v>1315</v>
      </c>
      <c r="C1076" s="17" t="s">
        <v>295</v>
      </c>
      <c r="D1076" s="17" t="s">
        <v>299</v>
      </c>
      <c r="E1076" s="17">
        <v>4.2299999999999998E-4</v>
      </c>
      <c r="F1076" s="6" t="s">
        <v>233</v>
      </c>
      <c r="G1076" s="6" t="s">
        <v>234</v>
      </c>
      <c r="H1076" s="6">
        <v>3</v>
      </c>
    </row>
    <row r="1077" spans="1:8" ht="30" x14ac:dyDescent="0.25">
      <c r="A1077" s="17" t="s">
        <v>1316</v>
      </c>
      <c r="B1077" s="17" t="s">
        <v>1316</v>
      </c>
      <c r="C1077" s="17" t="s">
        <v>295</v>
      </c>
      <c r="D1077" s="17" t="s">
        <v>299</v>
      </c>
      <c r="E1077" s="17">
        <v>4.2299999999999998E-4</v>
      </c>
      <c r="F1077" s="6" t="s">
        <v>233</v>
      </c>
      <c r="G1077" s="6" t="s">
        <v>234</v>
      </c>
      <c r="H1077" s="6">
        <v>3</v>
      </c>
    </row>
    <row r="1078" spans="1:8" ht="30" x14ac:dyDescent="0.25">
      <c r="A1078" s="17" t="s">
        <v>1317</v>
      </c>
      <c r="B1078" s="17" t="s">
        <v>1317</v>
      </c>
      <c r="C1078" s="17" t="s">
        <v>743</v>
      </c>
      <c r="D1078" s="17" t="s">
        <v>744</v>
      </c>
      <c r="E1078" s="17">
        <v>3.813E-4</v>
      </c>
      <c r="F1078" s="6" t="s">
        <v>233</v>
      </c>
      <c r="G1078" s="6" t="s">
        <v>234</v>
      </c>
      <c r="H1078" s="6">
        <v>3</v>
      </c>
    </row>
    <row r="1079" spans="1:8" ht="30" x14ac:dyDescent="0.25">
      <c r="A1079" s="17" t="s">
        <v>1318</v>
      </c>
      <c r="B1079" s="17" t="s">
        <v>1318</v>
      </c>
      <c r="C1079" s="17" t="s">
        <v>737</v>
      </c>
      <c r="D1079" s="17" t="s">
        <v>738</v>
      </c>
      <c r="E1079" s="17">
        <v>1.81306E-4</v>
      </c>
      <c r="F1079" s="6" t="s">
        <v>233</v>
      </c>
      <c r="G1079" s="6" t="s">
        <v>234</v>
      </c>
      <c r="H1079" s="6">
        <v>3</v>
      </c>
    </row>
    <row r="1080" spans="1:8" ht="30" x14ac:dyDescent="0.25">
      <c r="A1080" s="17" t="s">
        <v>1319</v>
      </c>
      <c r="B1080" s="17" t="s">
        <v>1319</v>
      </c>
      <c r="C1080" s="17" t="s">
        <v>737</v>
      </c>
      <c r="D1080" s="17" t="s">
        <v>738</v>
      </c>
      <c r="E1080" s="17">
        <v>1.81306E-4</v>
      </c>
      <c r="F1080" s="6" t="s">
        <v>233</v>
      </c>
      <c r="G1080" s="6" t="s">
        <v>234</v>
      </c>
      <c r="H1080" s="6">
        <v>3</v>
      </c>
    </row>
    <row r="1081" spans="1:8" ht="30" x14ac:dyDescent="0.25">
      <c r="A1081" s="17" t="s">
        <v>1320</v>
      </c>
      <c r="B1081" s="17" t="s">
        <v>1320</v>
      </c>
      <c r="C1081" s="17" t="s">
        <v>737</v>
      </c>
      <c r="D1081" s="17" t="s">
        <v>738</v>
      </c>
      <c r="E1081" s="17">
        <v>1.81306E-4</v>
      </c>
      <c r="F1081" s="6" t="s">
        <v>233</v>
      </c>
      <c r="G1081" s="6" t="s">
        <v>234</v>
      </c>
      <c r="H1081" s="6">
        <v>3</v>
      </c>
    </row>
    <row r="1082" spans="1:8" ht="30" x14ac:dyDescent="0.25">
      <c r="A1082" s="17" t="s">
        <v>1321</v>
      </c>
      <c r="B1082" s="17" t="s">
        <v>1321</v>
      </c>
      <c r="C1082" s="17" t="s">
        <v>737</v>
      </c>
      <c r="D1082" s="17" t="s">
        <v>738</v>
      </c>
      <c r="E1082" s="17">
        <v>1.81306E-4</v>
      </c>
      <c r="F1082" s="6" t="s">
        <v>233</v>
      </c>
      <c r="G1082" s="6" t="s">
        <v>234</v>
      </c>
      <c r="H1082" s="6">
        <v>3</v>
      </c>
    </row>
    <row r="1083" spans="1:8" ht="30" x14ac:dyDescent="0.25">
      <c r="A1083" s="17" t="s">
        <v>1322</v>
      </c>
      <c r="B1083" s="17" t="s">
        <v>1322</v>
      </c>
      <c r="C1083" s="17" t="s">
        <v>737</v>
      </c>
      <c r="D1083" s="17" t="s">
        <v>738</v>
      </c>
      <c r="E1083" s="17">
        <v>1.81306E-4</v>
      </c>
      <c r="F1083" s="6" t="s">
        <v>233</v>
      </c>
      <c r="G1083" s="6" t="s">
        <v>234</v>
      </c>
      <c r="H1083" s="6">
        <v>3</v>
      </c>
    </row>
    <row r="1084" spans="1:8" ht="30" x14ac:dyDescent="0.25">
      <c r="A1084" s="17" t="s">
        <v>1323</v>
      </c>
      <c r="B1084" s="17" t="s">
        <v>1323</v>
      </c>
      <c r="C1084" s="17" t="s">
        <v>407</v>
      </c>
      <c r="D1084" s="17" t="s">
        <v>408</v>
      </c>
      <c r="E1084" s="17">
        <v>1.6713599999999999E-4</v>
      </c>
      <c r="F1084" s="6" t="s">
        <v>233</v>
      </c>
      <c r="G1084" s="6" t="s">
        <v>234</v>
      </c>
      <c r="H1084" s="6">
        <v>3</v>
      </c>
    </row>
    <row r="1085" spans="1:8" ht="30" x14ac:dyDescent="0.25">
      <c r="A1085" s="17" t="s">
        <v>1324</v>
      </c>
      <c r="B1085" s="17" t="s">
        <v>1324</v>
      </c>
      <c r="C1085" s="17" t="s">
        <v>407</v>
      </c>
      <c r="D1085" s="17" t="s">
        <v>408</v>
      </c>
      <c r="E1085" s="17">
        <v>1.6713599999999999E-4</v>
      </c>
      <c r="F1085" s="6" t="s">
        <v>233</v>
      </c>
      <c r="G1085" s="6" t="s">
        <v>234</v>
      </c>
      <c r="H1085" s="6">
        <v>3</v>
      </c>
    </row>
    <row r="1086" spans="1:8" ht="45" x14ac:dyDescent="0.25">
      <c r="A1086" s="17" t="s">
        <v>1325</v>
      </c>
      <c r="B1086" s="17" t="s">
        <v>1325</v>
      </c>
      <c r="C1086" s="17" t="s">
        <v>465</v>
      </c>
      <c r="D1086" s="17" t="s">
        <v>466</v>
      </c>
      <c r="E1086" s="17">
        <v>2.2128299999999999E-4</v>
      </c>
      <c r="F1086" s="6" t="s">
        <v>233</v>
      </c>
      <c r="G1086" s="6" t="s">
        <v>234</v>
      </c>
      <c r="H1086" s="6">
        <v>3</v>
      </c>
    </row>
    <row r="1087" spans="1:8" ht="30" x14ac:dyDescent="0.25">
      <c r="A1087" s="17" t="s">
        <v>1326</v>
      </c>
      <c r="B1087" s="17" t="s">
        <v>1326</v>
      </c>
      <c r="C1087" s="17" t="s">
        <v>271</v>
      </c>
      <c r="D1087" s="17" t="s">
        <v>269</v>
      </c>
      <c r="E1087" s="17">
        <v>5.2359699999999999E-4</v>
      </c>
      <c r="F1087" s="6" t="s">
        <v>233</v>
      </c>
      <c r="G1087" s="6" t="s">
        <v>234</v>
      </c>
      <c r="H1087" s="6">
        <v>3</v>
      </c>
    </row>
    <row r="1088" spans="1:8" ht="30" x14ac:dyDescent="0.25">
      <c r="A1088" s="17" t="s">
        <v>1327</v>
      </c>
      <c r="B1088" s="17" t="s">
        <v>1327</v>
      </c>
      <c r="C1088" s="17" t="s">
        <v>465</v>
      </c>
      <c r="D1088" s="17" t="s">
        <v>466</v>
      </c>
      <c r="E1088" s="17">
        <v>2.2128299999999999E-4</v>
      </c>
      <c r="F1088" s="6" t="s">
        <v>233</v>
      </c>
      <c r="G1088" s="6" t="s">
        <v>234</v>
      </c>
      <c r="H1088" s="6">
        <v>3</v>
      </c>
    </row>
    <row r="1089" spans="1:8" ht="30" x14ac:dyDescent="0.25">
      <c r="A1089" s="17" t="s">
        <v>1328</v>
      </c>
      <c r="B1089" s="17" t="s">
        <v>1328</v>
      </c>
      <c r="C1089" s="17" t="s">
        <v>304</v>
      </c>
      <c r="D1089" s="17" t="s">
        <v>308</v>
      </c>
      <c r="E1089" s="17">
        <v>3.0299999999999999E-4</v>
      </c>
      <c r="F1089" s="6" t="s">
        <v>233</v>
      </c>
      <c r="G1089" s="6" t="s">
        <v>234</v>
      </c>
      <c r="H1089" s="6">
        <v>3</v>
      </c>
    </row>
    <row r="1090" spans="1:8" ht="30" x14ac:dyDescent="0.25">
      <c r="A1090" s="17" t="s">
        <v>1329</v>
      </c>
      <c r="B1090" s="17" t="s">
        <v>1329</v>
      </c>
      <c r="C1090" s="17" t="s">
        <v>1330</v>
      </c>
      <c r="D1090" s="17" t="s">
        <v>1331</v>
      </c>
      <c r="E1090" s="17">
        <v>2.4606500000000001E-4</v>
      </c>
      <c r="F1090" s="6" t="s">
        <v>233</v>
      </c>
      <c r="G1090" s="6" t="s">
        <v>234</v>
      </c>
      <c r="H1090" s="6">
        <v>3</v>
      </c>
    </row>
    <row r="1091" spans="1:8" ht="30" x14ac:dyDescent="0.25">
      <c r="A1091" s="17" t="s">
        <v>1332</v>
      </c>
      <c r="B1091" s="17" t="s">
        <v>1332</v>
      </c>
      <c r="C1091" s="17" t="s">
        <v>1330</v>
      </c>
      <c r="D1091" s="17" t="s">
        <v>1331</v>
      </c>
      <c r="E1091" s="17">
        <v>2.4606500000000001E-4</v>
      </c>
      <c r="F1091" s="6" t="s">
        <v>233</v>
      </c>
      <c r="G1091" s="6" t="s">
        <v>234</v>
      </c>
      <c r="H1091" s="6">
        <v>3</v>
      </c>
    </row>
    <row r="1092" spans="1:8" ht="30" x14ac:dyDescent="0.25">
      <c r="A1092" s="17" t="s">
        <v>1333</v>
      </c>
      <c r="B1092" s="17" t="s">
        <v>1333</v>
      </c>
      <c r="C1092" s="17" t="s">
        <v>346</v>
      </c>
      <c r="D1092" s="17" t="s">
        <v>1275</v>
      </c>
      <c r="E1092" s="17">
        <v>2.10657E-4</v>
      </c>
      <c r="F1092" s="6" t="s">
        <v>233</v>
      </c>
      <c r="G1092" s="6" t="s">
        <v>234</v>
      </c>
      <c r="H1092" s="6">
        <v>3</v>
      </c>
    </row>
    <row r="1093" spans="1:8" ht="30" x14ac:dyDescent="0.25">
      <c r="A1093" s="17" t="s">
        <v>1334</v>
      </c>
      <c r="B1093" s="17" t="s">
        <v>1334</v>
      </c>
      <c r="C1093" s="17" t="s">
        <v>346</v>
      </c>
      <c r="D1093" s="17" t="s">
        <v>1275</v>
      </c>
      <c r="E1093" s="17">
        <v>2.10657E-4</v>
      </c>
      <c r="F1093" s="6" t="s">
        <v>233</v>
      </c>
      <c r="G1093" s="6" t="s">
        <v>234</v>
      </c>
      <c r="H1093" s="6">
        <v>3</v>
      </c>
    </row>
    <row r="1094" spans="1:8" ht="30" x14ac:dyDescent="0.25">
      <c r="A1094" s="17" t="s">
        <v>1335</v>
      </c>
      <c r="B1094" s="17" t="s">
        <v>1335</v>
      </c>
      <c r="C1094" s="17" t="s">
        <v>346</v>
      </c>
      <c r="D1094" s="17" t="s">
        <v>1275</v>
      </c>
      <c r="E1094" s="17">
        <v>2.10657E-4</v>
      </c>
      <c r="F1094" s="6" t="s">
        <v>233</v>
      </c>
      <c r="G1094" s="6" t="s">
        <v>234</v>
      </c>
      <c r="H1094" s="6">
        <v>3</v>
      </c>
    </row>
    <row r="1095" spans="1:8" ht="30" x14ac:dyDescent="0.25">
      <c r="A1095" s="17" t="s">
        <v>1336</v>
      </c>
      <c r="B1095" s="17" t="s">
        <v>1336</v>
      </c>
      <c r="C1095" s="17" t="s">
        <v>346</v>
      </c>
      <c r="D1095" s="17" t="s">
        <v>1275</v>
      </c>
      <c r="E1095" s="17">
        <v>2.10657E-4</v>
      </c>
      <c r="F1095" s="6" t="s">
        <v>233</v>
      </c>
      <c r="G1095" s="6" t="s">
        <v>234</v>
      </c>
      <c r="H1095" s="6">
        <v>3</v>
      </c>
    </row>
    <row r="1096" spans="1:8" ht="30" x14ac:dyDescent="0.25">
      <c r="A1096" s="17" t="s">
        <v>1337</v>
      </c>
      <c r="B1096" s="17" t="s">
        <v>1337</v>
      </c>
      <c r="C1096" s="17" t="s">
        <v>346</v>
      </c>
      <c r="D1096" s="17" t="s">
        <v>1275</v>
      </c>
      <c r="E1096" s="17">
        <v>2.10657E-4</v>
      </c>
      <c r="F1096" s="6" t="s">
        <v>233</v>
      </c>
      <c r="G1096" s="6" t="s">
        <v>234</v>
      </c>
      <c r="H1096" s="6">
        <v>3</v>
      </c>
    </row>
    <row r="1097" spans="1:8" ht="30" x14ac:dyDescent="0.25">
      <c r="A1097" s="17" t="s">
        <v>1338</v>
      </c>
      <c r="B1097" s="17" t="s">
        <v>1338</v>
      </c>
      <c r="C1097" s="17" t="s">
        <v>346</v>
      </c>
      <c r="D1097" s="17" t="s">
        <v>1275</v>
      </c>
      <c r="E1097" s="17">
        <v>2.10657E-4</v>
      </c>
      <c r="F1097" s="6" t="s">
        <v>233</v>
      </c>
      <c r="G1097" s="6" t="s">
        <v>234</v>
      </c>
      <c r="H1097" s="6">
        <v>3</v>
      </c>
    </row>
    <row r="1098" spans="1:8" ht="30" x14ac:dyDescent="0.25">
      <c r="A1098" s="17" t="s">
        <v>1339</v>
      </c>
      <c r="B1098" s="17" t="s">
        <v>1339</v>
      </c>
      <c r="C1098" s="17" t="s">
        <v>346</v>
      </c>
      <c r="D1098" s="17" t="s">
        <v>1275</v>
      </c>
      <c r="E1098" s="17">
        <v>2.10657E-4</v>
      </c>
      <c r="F1098" s="6" t="s">
        <v>233</v>
      </c>
      <c r="G1098" s="6" t="s">
        <v>234</v>
      </c>
      <c r="H1098" s="6">
        <v>3</v>
      </c>
    </row>
    <row r="1099" spans="1:8" ht="30" x14ac:dyDescent="0.25">
      <c r="A1099" s="17" t="s">
        <v>1340</v>
      </c>
      <c r="B1099" s="17" t="s">
        <v>1340</v>
      </c>
      <c r="C1099" s="17" t="s">
        <v>465</v>
      </c>
      <c r="D1099" s="17" t="s">
        <v>466</v>
      </c>
      <c r="E1099" s="17">
        <v>2.2128299999999999E-4</v>
      </c>
      <c r="F1099" s="6" t="s">
        <v>233</v>
      </c>
      <c r="G1099" s="6" t="s">
        <v>234</v>
      </c>
      <c r="H1099" s="6">
        <v>3</v>
      </c>
    </row>
    <row r="1100" spans="1:8" ht="30" x14ac:dyDescent="0.25">
      <c r="A1100" s="17" t="s">
        <v>1341</v>
      </c>
      <c r="B1100" s="17" t="s">
        <v>1341</v>
      </c>
      <c r="C1100" s="17" t="s">
        <v>346</v>
      </c>
      <c r="D1100" s="17" t="s">
        <v>1275</v>
      </c>
      <c r="E1100" s="17">
        <v>2.10657E-4</v>
      </c>
      <c r="F1100" s="6" t="s">
        <v>233</v>
      </c>
      <c r="G1100" s="6" t="s">
        <v>234</v>
      </c>
      <c r="H1100" s="6">
        <v>3</v>
      </c>
    </row>
    <row r="1101" spans="1:8" ht="30" x14ac:dyDescent="0.25">
      <c r="A1101" s="17" t="s">
        <v>1342</v>
      </c>
      <c r="B1101" s="17" t="s">
        <v>1342</v>
      </c>
      <c r="C1101" s="17" t="s">
        <v>346</v>
      </c>
      <c r="D1101" s="17" t="s">
        <v>1275</v>
      </c>
      <c r="E1101" s="17">
        <v>2.10657E-4</v>
      </c>
      <c r="F1101" s="6" t="s">
        <v>233</v>
      </c>
      <c r="G1101" s="6" t="s">
        <v>234</v>
      </c>
      <c r="H1101" s="6">
        <v>3</v>
      </c>
    </row>
    <row r="1102" spans="1:8" ht="30" x14ac:dyDescent="0.25">
      <c r="A1102" s="17" t="s">
        <v>1343</v>
      </c>
      <c r="B1102" s="17" t="s">
        <v>1343</v>
      </c>
      <c r="C1102" s="17" t="s">
        <v>465</v>
      </c>
      <c r="D1102" s="17" t="s">
        <v>466</v>
      </c>
      <c r="E1102" s="17">
        <v>2.2128299999999999E-4</v>
      </c>
      <c r="F1102" s="6" t="s">
        <v>233</v>
      </c>
      <c r="G1102" s="6" t="s">
        <v>234</v>
      </c>
      <c r="H1102" s="6">
        <v>3</v>
      </c>
    </row>
    <row r="1103" spans="1:8" ht="30" x14ac:dyDescent="0.25">
      <c r="A1103" s="17" t="s">
        <v>1344</v>
      </c>
      <c r="B1103" s="17" t="s">
        <v>1344</v>
      </c>
      <c r="C1103" s="17" t="s">
        <v>346</v>
      </c>
      <c r="D1103" s="17" t="s">
        <v>1275</v>
      </c>
      <c r="E1103" s="17">
        <v>2.10657E-4</v>
      </c>
      <c r="F1103" s="6" t="s">
        <v>233</v>
      </c>
      <c r="G1103" s="6" t="s">
        <v>234</v>
      </c>
      <c r="H1103" s="6">
        <v>3</v>
      </c>
    </row>
    <row r="1104" spans="1:8" ht="30" x14ac:dyDescent="0.25">
      <c r="A1104" s="17" t="s">
        <v>1345</v>
      </c>
      <c r="B1104" s="17" t="s">
        <v>1345</v>
      </c>
      <c r="C1104" s="17" t="s">
        <v>743</v>
      </c>
      <c r="D1104" s="17" t="s">
        <v>744</v>
      </c>
      <c r="E1104" s="17">
        <v>3.813E-4</v>
      </c>
      <c r="F1104" s="6" t="s">
        <v>233</v>
      </c>
      <c r="G1104" s="6" t="s">
        <v>234</v>
      </c>
      <c r="H1104" s="6">
        <v>3</v>
      </c>
    </row>
    <row r="1105" spans="1:8" ht="30" x14ac:dyDescent="0.25">
      <c r="A1105" s="17" t="s">
        <v>1346</v>
      </c>
      <c r="B1105" s="17" t="s">
        <v>1346</v>
      </c>
      <c r="C1105" s="17" t="s">
        <v>1330</v>
      </c>
      <c r="D1105" s="17" t="s">
        <v>1331</v>
      </c>
      <c r="E1105" s="17">
        <v>2.4606500000000001E-4</v>
      </c>
      <c r="F1105" s="6" t="s">
        <v>233</v>
      </c>
      <c r="G1105" s="6" t="s">
        <v>234</v>
      </c>
      <c r="H1105" s="6">
        <v>3</v>
      </c>
    </row>
    <row r="1106" spans="1:8" ht="30" x14ac:dyDescent="0.25">
      <c r="A1106" s="17" t="s">
        <v>1347</v>
      </c>
      <c r="B1106" s="17" t="s">
        <v>1347</v>
      </c>
      <c r="C1106" s="17" t="s">
        <v>743</v>
      </c>
      <c r="D1106" s="17" t="s">
        <v>744</v>
      </c>
      <c r="E1106" s="17">
        <v>3.813E-4</v>
      </c>
      <c r="F1106" s="6" t="s">
        <v>233</v>
      </c>
      <c r="G1106" s="6" t="s">
        <v>234</v>
      </c>
      <c r="H1106" s="6">
        <v>3</v>
      </c>
    </row>
    <row r="1107" spans="1:8" ht="30" x14ac:dyDescent="0.25">
      <c r="A1107" s="17" t="s">
        <v>1348</v>
      </c>
      <c r="B1107" s="17" t="s">
        <v>1348</v>
      </c>
      <c r="C1107" s="17" t="s">
        <v>413</v>
      </c>
      <c r="D1107" s="17" t="s">
        <v>414</v>
      </c>
      <c r="E1107" s="17">
        <v>3.1322199999999999E-4</v>
      </c>
      <c r="F1107" s="6" t="s">
        <v>233</v>
      </c>
      <c r="G1107" s="6" t="s">
        <v>234</v>
      </c>
      <c r="H1107" s="6">
        <v>3</v>
      </c>
    </row>
    <row r="1108" spans="1:8" ht="30" x14ac:dyDescent="0.25">
      <c r="A1108" s="17" t="s">
        <v>1349</v>
      </c>
      <c r="B1108" s="17" t="s">
        <v>1349</v>
      </c>
      <c r="C1108" s="17" t="s">
        <v>353</v>
      </c>
      <c r="D1108" s="17" t="s">
        <v>354</v>
      </c>
      <c r="E1108" s="17">
        <v>2.78752E-4</v>
      </c>
      <c r="F1108" s="6" t="s">
        <v>233</v>
      </c>
      <c r="G1108" s="6" t="s">
        <v>234</v>
      </c>
      <c r="H1108" s="6">
        <v>3</v>
      </c>
    </row>
    <row r="1109" spans="1:8" ht="30" x14ac:dyDescent="0.25">
      <c r="A1109" s="17" t="s">
        <v>1350</v>
      </c>
      <c r="B1109" s="17" t="s">
        <v>1350</v>
      </c>
      <c r="C1109" s="17" t="s">
        <v>353</v>
      </c>
      <c r="D1109" s="17" t="s">
        <v>354</v>
      </c>
      <c r="E1109" s="17">
        <v>2.78752E-4</v>
      </c>
      <c r="F1109" s="6" t="s">
        <v>233</v>
      </c>
      <c r="G1109" s="6" t="s">
        <v>234</v>
      </c>
      <c r="H1109" s="6">
        <v>3</v>
      </c>
    </row>
    <row r="1110" spans="1:8" ht="30" x14ac:dyDescent="0.25">
      <c r="A1110" s="17" t="s">
        <v>1351</v>
      </c>
      <c r="B1110" s="17" t="s">
        <v>1351</v>
      </c>
      <c r="C1110" s="17" t="s">
        <v>353</v>
      </c>
      <c r="D1110" s="17" t="s">
        <v>354</v>
      </c>
      <c r="E1110" s="17">
        <v>2.78752E-4</v>
      </c>
      <c r="F1110" s="6" t="s">
        <v>233</v>
      </c>
      <c r="G1110" s="6" t="s">
        <v>234</v>
      </c>
      <c r="H1110" s="6">
        <v>3</v>
      </c>
    </row>
    <row r="1111" spans="1:8" ht="30" x14ac:dyDescent="0.25">
      <c r="A1111" s="17" t="s">
        <v>1352</v>
      </c>
      <c r="B1111" s="17" t="s">
        <v>1352</v>
      </c>
      <c r="C1111" s="17" t="s">
        <v>346</v>
      </c>
      <c r="D1111" s="17" t="s">
        <v>1275</v>
      </c>
      <c r="E1111" s="17">
        <v>2.10657E-4</v>
      </c>
      <c r="F1111" s="6" t="s">
        <v>233</v>
      </c>
      <c r="G1111" s="6" t="s">
        <v>234</v>
      </c>
      <c r="H1111" s="6">
        <v>3</v>
      </c>
    </row>
    <row r="1112" spans="1:8" ht="30" x14ac:dyDescent="0.25">
      <c r="A1112" s="17" t="s">
        <v>1353</v>
      </c>
      <c r="B1112" s="17" t="s">
        <v>1353</v>
      </c>
      <c r="C1112" s="17" t="s">
        <v>746</v>
      </c>
      <c r="D1112" s="17" t="s">
        <v>747</v>
      </c>
      <c r="E1112" s="17">
        <v>2.4671799999999999E-4</v>
      </c>
      <c r="F1112" s="6" t="s">
        <v>233</v>
      </c>
      <c r="G1112" s="6" t="s">
        <v>234</v>
      </c>
      <c r="H1112" s="6">
        <v>3</v>
      </c>
    </row>
    <row r="1113" spans="1:8" ht="30" x14ac:dyDescent="0.25">
      <c r="A1113" s="17" t="s">
        <v>1354</v>
      </c>
      <c r="B1113" s="17" t="s">
        <v>1354</v>
      </c>
      <c r="C1113" s="17" t="s">
        <v>746</v>
      </c>
      <c r="D1113" s="17" t="s">
        <v>747</v>
      </c>
      <c r="E1113" s="17">
        <v>2.4671799999999999E-4</v>
      </c>
      <c r="F1113" s="6" t="s">
        <v>233</v>
      </c>
      <c r="G1113" s="6" t="s">
        <v>234</v>
      </c>
      <c r="H1113" s="6">
        <v>3</v>
      </c>
    </row>
    <row r="1114" spans="1:8" ht="30" x14ac:dyDescent="0.25">
      <c r="A1114" s="17" t="s">
        <v>1355</v>
      </c>
      <c r="B1114" s="17" t="s">
        <v>1355</v>
      </c>
      <c r="C1114" s="17" t="s">
        <v>726</v>
      </c>
      <c r="D1114" s="17" t="s">
        <v>727</v>
      </c>
      <c r="E1114" s="17">
        <v>1.3494000000000001E-4</v>
      </c>
      <c r="F1114" s="6" t="s">
        <v>233</v>
      </c>
      <c r="G1114" s="6" t="s">
        <v>234</v>
      </c>
      <c r="H1114" s="6">
        <v>3</v>
      </c>
    </row>
    <row r="1115" spans="1:8" ht="30" x14ac:dyDescent="0.25">
      <c r="A1115" s="17" t="s">
        <v>1356</v>
      </c>
      <c r="B1115" s="17" t="s">
        <v>1356</v>
      </c>
      <c r="C1115" s="17" t="s">
        <v>346</v>
      </c>
      <c r="D1115" s="17" t="s">
        <v>1275</v>
      </c>
      <c r="E1115" s="17">
        <v>2.10657E-4</v>
      </c>
      <c r="F1115" s="6" t="s">
        <v>233</v>
      </c>
      <c r="G1115" s="6" t="s">
        <v>234</v>
      </c>
      <c r="H1115" s="6">
        <v>3</v>
      </c>
    </row>
    <row r="1116" spans="1:8" ht="30" x14ac:dyDescent="0.25">
      <c r="A1116" s="17" t="s">
        <v>1357</v>
      </c>
      <c r="B1116" s="17" t="s">
        <v>1357</v>
      </c>
      <c r="C1116" s="17" t="s">
        <v>346</v>
      </c>
      <c r="D1116" s="17" t="s">
        <v>1275</v>
      </c>
      <c r="E1116" s="17">
        <v>2.10657E-4</v>
      </c>
      <c r="F1116" s="6" t="s">
        <v>233</v>
      </c>
      <c r="G1116" s="6" t="s">
        <v>234</v>
      </c>
      <c r="H1116" s="6">
        <v>3</v>
      </c>
    </row>
    <row r="1117" spans="1:8" ht="30" x14ac:dyDescent="0.25">
      <c r="A1117" s="17" t="s">
        <v>1358</v>
      </c>
      <c r="B1117" s="17" t="s">
        <v>1358</v>
      </c>
      <c r="C1117" s="17" t="s">
        <v>346</v>
      </c>
      <c r="D1117" s="17" t="s">
        <v>1275</v>
      </c>
      <c r="E1117" s="17">
        <v>2.10657E-4</v>
      </c>
      <c r="F1117" s="6" t="s">
        <v>233</v>
      </c>
      <c r="G1117" s="6" t="s">
        <v>234</v>
      </c>
      <c r="H1117" s="6">
        <v>3</v>
      </c>
    </row>
    <row r="1118" spans="1:8" ht="30" x14ac:dyDescent="0.25">
      <c r="A1118" s="17" t="s">
        <v>1359</v>
      </c>
      <c r="B1118" s="17" t="s">
        <v>1359</v>
      </c>
      <c r="C1118" s="17" t="s">
        <v>346</v>
      </c>
      <c r="D1118" s="17" t="s">
        <v>1275</v>
      </c>
      <c r="E1118" s="17">
        <v>2.10657E-4</v>
      </c>
      <c r="F1118" s="6" t="s">
        <v>233</v>
      </c>
      <c r="G1118" s="6" t="s">
        <v>234</v>
      </c>
      <c r="H1118" s="6">
        <v>3</v>
      </c>
    </row>
    <row r="1119" spans="1:8" ht="30" x14ac:dyDescent="0.25">
      <c r="A1119" s="17" t="s">
        <v>1360</v>
      </c>
      <c r="B1119" s="17" t="s">
        <v>1360</v>
      </c>
      <c r="C1119" s="17" t="s">
        <v>346</v>
      </c>
      <c r="D1119" s="17" t="s">
        <v>347</v>
      </c>
      <c r="E1119" s="17">
        <v>2.10657E-4</v>
      </c>
      <c r="F1119" s="6" t="s">
        <v>233</v>
      </c>
      <c r="G1119" s="6" t="s">
        <v>234</v>
      </c>
      <c r="H1119" s="6">
        <v>3</v>
      </c>
    </row>
    <row r="1120" spans="1:8" ht="30" x14ac:dyDescent="0.25">
      <c r="A1120" s="17" t="s">
        <v>1361</v>
      </c>
      <c r="B1120" s="17" t="s">
        <v>1361</v>
      </c>
      <c r="C1120" s="17" t="s">
        <v>407</v>
      </c>
      <c r="D1120" s="17" t="s">
        <v>408</v>
      </c>
      <c r="E1120" s="17">
        <v>1.6713599999999999E-4</v>
      </c>
      <c r="F1120" s="6" t="s">
        <v>233</v>
      </c>
      <c r="G1120" s="6" t="s">
        <v>234</v>
      </c>
      <c r="H1120" s="6">
        <v>3</v>
      </c>
    </row>
    <row r="1121" spans="1:8" ht="30" x14ac:dyDescent="0.25">
      <c r="A1121" s="17" t="s">
        <v>1362</v>
      </c>
      <c r="B1121" s="17" t="s">
        <v>1362</v>
      </c>
      <c r="C1121" s="17" t="s">
        <v>743</v>
      </c>
      <c r="D1121" s="17" t="s">
        <v>744</v>
      </c>
      <c r="E1121" s="17">
        <v>3.813E-4</v>
      </c>
      <c r="F1121" s="6" t="s">
        <v>233</v>
      </c>
      <c r="G1121" s="6" t="s">
        <v>234</v>
      </c>
      <c r="H1121" s="6">
        <v>3</v>
      </c>
    </row>
    <row r="1122" spans="1:8" ht="30" x14ac:dyDescent="0.25">
      <c r="A1122" s="17" t="s">
        <v>1363</v>
      </c>
      <c r="B1122" s="17" t="s">
        <v>1363</v>
      </c>
      <c r="C1122" s="17" t="s">
        <v>295</v>
      </c>
      <c r="D1122" s="17" t="s">
        <v>299</v>
      </c>
      <c r="E1122" s="17">
        <v>4.2299999999999998E-4</v>
      </c>
      <c r="F1122" s="6" t="s">
        <v>233</v>
      </c>
      <c r="G1122" s="6" t="s">
        <v>234</v>
      </c>
      <c r="H1122" s="6">
        <v>3</v>
      </c>
    </row>
    <row r="1123" spans="1:8" ht="30" x14ac:dyDescent="0.25">
      <c r="A1123" s="17" t="s">
        <v>1364</v>
      </c>
      <c r="B1123" s="17" t="s">
        <v>1364</v>
      </c>
      <c r="C1123" s="17" t="s">
        <v>295</v>
      </c>
      <c r="D1123" s="17" t="s">
        <v>299</v>
      </c>
      <c r="E1123" s="17">
        <v>4.2299999999999998E-4</v>
      </c>
      <c r="F1123" s="6" t="s">
        <v>233</v>
      </c>
      <c r="G1123" s="6" t="s">
        <v>234</v>
      </c>
      <c r="H1123" s="6">
        <v>3</v>
      </c>
    </row>
    <row r="1124" spans="1:8" ht="30" x14ac:dyDescent="0.25">
      <c r="A1124" s="17" t="s">
        <v>1365</v>
      </c>
      <c r="B1124" s="17" t="s">
        <v>1365</v>
      </c>
      <c r="C1124" s="17" t="s">
        <v>346</v>
      </c>
      <c r="D1124" s="17" t="s">
        <v>347</v>
      </c>
      <c r="E1124" s="17">
        <v>2.10657E-4</v>
      </c>
      <c r="F1124" s="6" t="s">
        <v>233</v>
      </c>
      <c r="G1124" s="6" t="s">
        <v>234</v>
      </c>
      <c r="H1124" s="6">
        <v>3</v>
      </c>
    </row>
    <row r="1125" spans="1:8" ht="30" x14ac:dyDescent="0.25">
      <c r="A1125" s="17" t="s">
        <v>1366</v>
      </c>
      <c r="B1125" s="17" t="s">
        <v>1366</v>
      </c>
      <c r="C1125" s="17" t="s">
        <v>271</v>
      </c>
      <c r="D1125" s="17" t="s">
        <v>269</v>
      </c>
      <c r="E1125" s="17">
        <v>5.2359699999999999E-4</v>
      </c>
      <c r="F1125" s="6" t="s">
        <v>233</v>
      </c>
      <c r="G1125" s="6" t="s">
        <v>234</v>
      </c>
      <c r="H1125" s="6">
        <v>3</v>
      </c>
    </row>
    <row r="1126" spans="1:8" ht="30" x14ac:dyDescent="0.25">
      <c r="A1126" s="17" t="s">
        <v>1367</v>
      </c>
      <c r="B1126" s="17" t="s">
        <v>1367</v>
      </c>
      <c r="C1126" s="17" t="s">
        <v>346</v>
      </c>
      <c r="D1126" s="17" t="s">
        <v>347</v>
      </c>
      <c r="E1126" s="17">
        <v>2.10657E-4</v>
      </c>
      <c r="F1126" s="6" t="s">
        <v>233</v>
      </c>
      <c r="G1126" s="6" t="s">
        <v>234</v>
      </c>
      <c r="H1126" s="6">
        <v>3</v>
      </c>
    </row>
    <row r="1127" spans="1:8" ht="30" x14ac:dyDescent="0.25">
      <c r="A1127" s="17" t="s">
        <v>1368</v>
      </c>
      <c r="B1127" s="17" t="s">
        <v>1368</v>
      </c>
      <c r="C1127" s="17" t="s">
        <v>346</v>
      </c>
      <c r="D1127" s="17" t="s">
        <v>347</v>
      </c>
      <c r="E1127" s="17">
        <v>2.10657E-4</v>
      </c>
      <c r="F1127" s="6" t="s">
        <v>233</v>
      </c>
      <c r="G1127" s="6" t="s">
        <v>234</v>
      </c>
      <c r="H1127" s="6">
        <v>3</v>
      </c>
    </row>
    <row r="1128" spans="1:8" ht="30" x14ac:dyDescent="0.25">
      <c r="A1128" s="17" t="s">
        <v>1369</v>
      </c>
      <c r="B1128" s="17" t="s">
        <v>1369</v>
      </c>
      <c r="C1128" s="17" t="s">
        <v>346</v>
      </c>
      <c r="D1128" s="17" t="s">
        <v>347</v>
      </c>
      <c r="E1128" s="17">
        <v>2.10657E-4</v>
      </c>
      <c r="F1128" s="6" t="s">
        <v>233</v>
      </c>
      <c r="G1128" s="6" t="s">
        <v>234</v>
      </c>
      <c r="H1128" s="6">
        <v>3</v>
      </c>
    </row>
    <row r="1129" spans="1:8" ht="30" x14ac:dyDescent="0.25">
      <c r="A1129" s="17" t="s">
        <v>720</v>
      </c>
      <c r="B1129" s="17" t="s">
        <v>720</v>
      </c>
      <c r="C1129" s="17" t="s">
        <v>721</v>
      </c>
      <c r="D1129" s="17" t="s">
        <v>722</v>
      </c>
      <c r="E1129" s="17">
        <v>1.24993E-4</v>
      </c>
      <c r="F1129" s="6" t="s">
        <v>233</v>
      </c>
      <c r="G1129" s="6" t="s">
        <v>234</v>
      </c>
      <c r="H1129" s="6">
        <v>3</v>
      </c>
    </row>
    <row r="1130" spans="1:8" ht="30" x14ac:dyDescent="0.25">
      <c r="A1130" s="17" t="s">
        <v>902</v>
      </c>
      <c r="B1130" s="17" t="s">
        <v>902</v>
      </c>
      <c r="C1130" s="17" t="s">
        <v>465</v>
      </c>
      <c r="D1130" s="17" t="s">
        <v>466</v>
      </c>
      <c r="E1130" s="17">
        <v>2.2128299999999999E-4</v>
      </c>
      <c r="F1130" s="6" t="s">
        <v>233</v>
      </c>
      <c r="G1130" s="6" t="s">
        <v>234</v>
      </c>
      <c r="H1130" s="6">
        <v>3</v>
      </c>
    </row>
    <row r="1131" spans="1:8" ht="30" x14ac:dyDescent="0.25">
      <c r="A1131" s="17" t="s">
        <v>723</v>
      </c>
      <c r="B1131" s="17" t="s">
        <v>723</v>
      </c>
      <c r="C1131" s="17" t="s">
        <v>465</v>
      </c>
      <c r="D1131" s="17" t="s">
        <v>466</v>
      </c>
      <c r="E1131" s="17">
        <v>2.2128299999999999E-4</v>
      </c>
      <c r="F1131" s="6" t="s">
        <v>233</v>
      </c>
      <c r="G1131" s="6" t="s">
        <v>234</v>
      </c>
      <c r="H1131" s="6">
        <v>3</v>
      </c>
    </row>
    <row r="1132" spans="1:8" ht="30" x14ac:dyDescent="0.25">
      <c r="A1132" s="17" t="s">
        <v>724</v>
      </c>
      <c r="B1132" s="17" t="s">
        <v>724</v>
      </c>
      <c r="C1132" s="17" t="s">
        <v>465</v>
      </c>
      <c r="D1132" s="17" t="s">
        <v>466</v>
      </c>
      <c r="E1132" s="17">
        <v>2.2128299999999999E-4</v>
      </c>
      <c r="F1132" s="6" t="s">
        <v>233</v>
      </c>
      <c r="G1132" s="6" t="s">
        <v>234</v>
      </c>
      <c r="H1132" s="6">
        <v>3</v>
      </c>
    </row>
    <row r="1133" spans="1:8" ht="30" x14ac:dyDescent="0.25">
      <c r="A1133" s="17" t="s">
        <v>1370</v>
      </c>
      <c r="B1133" s="17" t="s">
        <v>1370</v>
      </c>
      <c r="C1133" s="17" t="s">
        <v>241</v>
      </c>
      <c r="D1133" s="17" t="s">
        <v>239</v>
      </c>
      <c r="E1133" s="17">
        <v>5.7600000000000001E-4</v>
      </c>
      <c r="F1133" s="6" t="s">
        <v>233</v>
      </c>
      <c r="G1133" s="6" t="s">
        <v>234</v>
      </c>
      <c r="H1133" s="6">
        <v>3</v>
      </c>
    </row>
    <row r="1134" spans="1:8" ht="30" x14ac:dyDescent="0.25">
      <c r="A1134" s="17" t="s">
        <v>1371</v>
      </c>
      <c r="B1134" s="17" t="s">
        <v>1371</v>
      </c>
      <c r="C1134" s="17" t="s">
        <v>271</v>
      </c>
      <c r="D1134" s="17" t="s">
        <v>269</v>
      </c>
      <c r="E1134" s="17">
        <v>5.2359699999999999E-4</v>
      </c>
      <c r="F1134" s="6" t="s">
        <v>233</v>
      </c>
      <c r="G1134" s="6" t="s">
        <v>234</v>
      </c>
      <c r="H1134" s="6">
        <v>3</v>
      </c>
    </row>
    <row r="1135" spans="1:8" ht="30" x14ac:dyDescent="0.25">
      <c r="A1135" s="17" t="s">
        <v>1372</v>
      </c>
      <c r="B1135" s="17" t="s">
        <v>1372</v>
      </c>
      <c r="C1135" s="17" t="s">
        <v>304</v>
      </c>
      <c r="D1135" s="17" t="s">
        <v>308</v>
      </c>
      <c r="E1135" s="17">
        <v>3.0299999999999999E-4</v>
      </c>
      <c r="F1135" s="6" t="s">
        <v>233</v>
      </c>
      <c r="G1135" s="6" t="s">
        <v>234</v>
      </c>
      <c r="H1135" s="6">
        <v>3</v>
      </c>
    </row>
    <row r="1136" spans="1:8" ht="30" x14ac:dyDescent="0.25">
      <c r="A1136" s="17" t="s">
        <v>1373</v>
      </c>
      <c r="B1136" s="17" t="s">
        <v>1373</v>
      </c>
      <c r="C1136" s="17" t="s">
        <v>244</v>
      </c>
      <c r="D1136" s="17" t="s">
        <v>242</v>
      </c>
      <c r="E1136" s="17">
        <v>1.2049999999999999E-3</v>
      </c>
      <c r="F1136" s="6" t="s">
        <v>233</v>
      </c>
      <c r="G1136" s="6" t="s">
        <v>234</v>
      </c>
      <c r="H1136" s="6">
        <v>3</v>
      </c>
    </row>
    <row r="1137" spans="1:8" ht="30" x14ac:dyDescent="0.25">
      <c r="A1137" s="17" t="s">
        <v>1374</v>
      </c>
      <c r="B1137" s="17" t="s">
        <v>1374</v>
      </c>
      <c r="C1137" s="17" t="s">
        <v>304</v>
      </c>
      <c r="D1137" s="17" t="s">
        <v>308</v>
      </c>
      <c r="E1137" s="17">
        <v>3.0299999999999999E-4</v>
      </c>
      <c r="F1137" s="6" t="s">
        <v>233</v>
      </c>
      <c r="G1137" s="6" t="s">
        <v>234</v>
      </c>
      <c r="H1137" s="6">
        <v>3</v>
      </c>
    </row>
    <row r="1138" spans="1:8" ht="30" x14ac:dyDescent="0.25">
      <c r="A1138" s="17" t="s">
        <v>1375</v>
      </c>
      <c r="B1138" s="17" t="s">
        <v>1375</v>
      </c>
      <c r="C1138" s="17" t="s">
        <v>304</v>
      </c>
      <c r="D1138" s="17" t="s">
        <v>308</v>
      </c>
      <c r="E1138" s="17">
        <v>3.0299999999999999E-4</v>
      </c>
      <c r="F1138" s="6" t="s">
        <v>233</v>
      </c>
      <c r="G1138" s="6" t="s">
        <v>234</v>
      </c>
      <c r="H1138" s="6">
        <v>3</v>
      </c>
    </row>
    <row r="1139" spans="1:8" ht="30" x14ac:dyDescent="0.25">
      <c r="A1139" s="17" t="s">
        <v>1376</v>
      </c>
      <c r="B1139" s="17" t="s">
        <v>1376</v>
      </c>
      <c r="C1139" s="17" t="s">
        <v>271</v>
      </c>
      <c r="D1139" s="17" t="s">
        <v>269</v>
      </c>
      <c r="E1139" s="17">
        <v>5.2359699999999999E-4</v>
      </c>
      <c r="F1139" s="6" t="s">
        <v>233</v>
      </c>
      <c r="G1139" s="6" t="s">
        <v>234</v>
      </c>
      <c r="H1139" s="6">
        <v>3</v>
      </c>
    </row>
    <row r="1140" spans="1:8" ht="30" x14ac:dyDescent="0.25">
      <c r="A1140" s="17" t="s">
        <v>1377</v>
      </c>
      <c r="B1140" s="17" t="s">
        <v>1377</v>
      </c>
      <c r="C1140" s="17" t="s">
        <v>304</v>
      </c>
      <c r="D1140" s="17" t="s">
        <v>308</v>
      </c>
      <c r="E1140" s="17">
        <v>3.0299999999999999E-4</v>
      </c>
      <c r="F1140" s="6" t="s">
        <v>233</v>
      </c>
      <c r="G1140" s="6" t="s">
        <v>234</v>
      </c>
      <c r="H1140" s="6">
        <v>3</v>
      </c>
    </row>
    <row r="1141" spans="1:8" ht="30" x14ac:dyDescent="0.25">
      <c r="A1141" s="17" t="s">
        <v>1378</v>
      </c>
      <c r="B1141" s="17" t="s">
        <v>1378</v>
      </c>
      <c r="C1141" s="17" t="s">
        <v>304</v>
      </c>
      <c r="D1141" s="17" t="s">
        <v>308</v>
      </c>
      <c r="E1141" s="17">
        <v>3.0299999999999999E-4</v>
      </c>
      <c r="F1141" s="6" t="s">
        <v>233</v>
      </c>
      <c r="G1141" s="6" t="s">
        <v>234</v>
      </c>
      <c r="H1141" s="6">
        <v>3</v>
      </c>
    </row>
    <row r="1142" spans="1:8" ht="30" x14ac:dyDescent="0.25">
      <c r="A1142" s="17" t="s">
        <v>1379</v>
      </c>
      <c r="B1142" s="17" t="s">
        <v>1379</v>
      </c>
      <c r="C1142" s="17" t="s">
        <v>304</v>
      </c>
      <c r="D1142" s="17" t="s">
        <v>308</v>
      </c>
      <c r="E1142" s="17">
        <v>3.0299999999999999E-4</v>
      </c>
      <c r="F1142" s="6" t="s">
        <v>233</v>
      </c>
      <c r="G1142" s="6" t="s">
        <v>234</v>
      </c>
      <c r="H1142" s="6">
        <v>3</v>
      </c>
    </row>
    <row r="1143" spans="1:8" ht="30" x14ac:dyDescent="0.25">
      <c r="A1143" s="17" t="s">
        <v>1380</v>
      </c>
      <c r="B1143" s="17" t="s">
        <v>1380</v>
      </c>
      <c r="C1143" s="17" t="s">
        <v>304</v>
      </c>
      <c r="D1143" s="17" t="s">
        <v>308</v>
      </c>
      <c r="E1143" s="17">
        <v>3.0299999999999999E-4</v>
      </c>
      <c r="F1143" s="6" t="s">
        <v>233</v>
      </c>
      <c r="G1143" s="6" t="s">
        <v>234</v>
      </c>
      <c r="H1143" s="6">
        <v>3</v>
      </c>
    </row>
    <row r="1144" spans="1:8" ht="30" x14ac:dyDescent="0.25">
      <c r="A1144" s="17" t="s">
        <v>1381</v>
      </c>
      <c r="B1144" s="17" t="s">
        <v>1381</v>
      </c>
      <c r="C1144" s="17" t="s">
        <v>271</v>
      </c>
      <c r="D1144" s="17" t="s">
        <v>269</v>
      </c>
      <c r="E1144" s="17">
        <v>5.2359699999999999E-4</v>
      </c>
      <c r="F1144" s="6" t="s">
        <v>233</v>
      </c>
      <c r="G1144" s="6" t="s">
        <v>234</v>
      </c>
      <c r="H1144" s="6">
        <v>3</v>
      </c>
    </row>
    <row r="1145" spans="1:8" ht="30" x14ac:dyDescent="0.25">
      <c r="A1145" s="17" t="s">
        <v>1382</v>
      </c>
      <c r="B1145" s="17" t="s">
        <v>1382</v>
      </c>
      <c r="C1145" s="17" t="s">
        <v>271</v>
      </c>
      <c r="D1145" s="17" t="s">
        <v>269</v>
      </c>
      <c r="E1145" s="17">
        <v>5.2359699999999999E-4</v>
      </c>
      <c r="F1145" s="6" t="s">
        <v>233</v>
      </c>
      <c r="G1145" s="6" t="s">
        <v>234</v>
      </c>
      <c r="H1145" s="6">
        <v>3</v>
      </c>
    </row>
    <row r="1146" spans="1:8" ht="30" x14ac:dyDescent="0.25">
      <c r="A1146" s="17" t="s">
        <v>1383</v>
      </c>
      <c r="B1146" s="17" t="s">
        <v>1383</v>
      </c>
      <c r="C1146" s="17" t="s">
        <v>271</v>
      </c>
      <c r="D1146" s="17" t="s">
        <v>269</v>
      </c>
      <c r="E1146" s="17">
        <v>5.2359699999999999E-4</v>
      </c>
      <c r="F1146" s="6" t="s">
        <v>233</v>
      </c>
      <c r="G1146" s="6" t="s">
        <v>234</v>
      </c>
      <c r="H1146" s="6">
        <v>3</v>
      </c>
    </row>
    <row r="1147" spans="1:8" ht="30" x14ac:dyDescent="0.25">
      <c r="A1147" s="17" t="s">
        <v>1384</v>
      </c>
      <c r="B1147" s="17" t="s">
        <v>1384</v>
      </c>
      <c r="C1147" s="17" t="s">
        <v>271</v>
      </c>
      <c r="D1147" s="17" t="s">
        <v>269</v>
      </c>
      <c r="E1147" s="17">
        <v>5.2359699999999999E-4</v>
      </c>
      <c r="F1147" s="6" t="s">
        <v>233</v>
      </c>
      <c r="G1147" s="6" t="s">
        <v>234</v>
      </c>
      <c r="H1147" s="6">
        <v>3</v>
      </c>
    </row>
    <row r="1148" spans="1:8" ht="30" x14ac:dyDescent="0.25">
      <c r="A1148" s="17" t="s">
        <v>1385</v>
      </c>
      <c r="B1148" s="17" t="s">
        <v>1385</v>
      </c>
      <c r="C1148" s="17" t="s">
        <v>271</v>
      </c>
      <c r="D1148" s="17" t="s">
        <v>269</v>
      </c>
      <c r="E1148" s="17">
        <v>5.2359699999999999E-4</v>
      </c>
      <c r="F1148" s="6" t="s">
        <v>233</v>
      </c>
      <c r="G1148" s="6" t="s">
        <v>234</v>
      </c>
      <c r="H1148" s="6">
        <v>3</v>
      </c>
    </row>
    <row r="1149" spans="1:8" ht="30" x14ac:dyDescent="0.25">
      <c r="A1149" s="17" t="s">
        <v>1386</v>
      </c>
      <c r="B1149" s="17" t="s">
        <v>1386</v>
      </c>
      <c r="C1149" s="17" t="s">
        <v>271</v>
      </c>
      <c r="D1149" s="17" t="s">
        <v>269</v>
      </c>
      <c r="E1149" s="17">
        <v>5.2359699999999999E-4</v>
      </c>
      <c r="F1149" s="6" t="s">
        <v>233</v>
      </c>
      <c r="G1149" s="6" t="s">
        <v>234</v>
      </c>
      <c r="H1149" s="6">
        <v>3</v>
      </c>
    </row>
    <row r="1150" spans="1:8" ht="30" x14ac:dyDescent="0.25">
      <c r="A1150" s="17" t="s">
        <v>1387</v>
      </c>
      <c r="B1150" s="17" t="s">
        <v>1387</v>
      </c>
      <c r="C1150" s="17" t="s">
        <v>271</v>
      </c>
      <c r="D1150" s="17" t="s">
        <v>269</v>
      </c>
      <c r="E1150" s="17">
        <v>5.2359699999999999E-4</v>
      </c>
      <c r="F1150" s="6" t="s">
        <v>233</v>
      </c>
      <c r="G1150" s="6" t="s">
        <v>234</v>
      </c>
      <c r="H1150" s="6">
        <v>3</v>
      </c>
    </row>
    <row r="1151" spans="1:8" ht="30" x14ac:dyDescent="0.25">
      <c r="A1151" s="17" t="s">
        <v>1388</v>
      </c>
      <c r="B1151" s="17" t="s">
        <v>1388</v>
      </c>
      <c r="C1151" s="17" t="s">
        <v>271</v>
      </c>
      <c r="D1151" s="17" t="s">
        <v>269</v>
      </c>
      <c r="E1151" s="17">
        <v>5.2359699999999999E-4</v>
      </c>
      <c r="F1151" s="6" t="s">
        <v>233</v>
      </c>
      <c r="G1151" s="6" t="s">
        <v>234</v>
      </c>
      <c r="H1151" s="6">
        <v>3</v>
      </c>
    </row>
    <row r="1152" spans="1:8" ht="30" x14ac:dyDescent="0.25">
      <c r="A1152" s="17" t="s">
        <v>1389</v>
      </c>
      <c r="B1152" s="17" t="s">
        <v>1389</v>
      </c>
      <c r="C1152" s="17" t="s">
        <v>271</v>
      </c>
      <c r="D1152" s="17" t="s">
        <v>269</v>
      </c>
      <c r="E1152" s="17">
        <v>5.2359699999999999E-4</v>
      </c>
      <c r="F1152" s="6" t="s">
        <v>233</v>
      </c>
      <c r="G1152" s="6" t="s">
        <v>234</v>
      </c>
      <c r="H1152" s="6">
        <v>3</v>
      </c>
    </row>
    <row r="1153" spans="1:8" ht="30" x14ac:dyDescent="0.25">
      <c r="A1153" s="17" t="s">
        <v>1390</v>
      </c>
      <c r="B1153" s="17" t="s">
        <v>1390</v>
      </c>
      <c r="C1153" s="17" t="s">
        <v>346</v>
      </c>
      <c r="D1153" s="17" t="s">
        <v>347</v>
      </c>
      <c r="E1153" s="17">
        <v>2.10657E-4</v>
      </c>
      <c r="F1153" s="6" t="s">
        <v>233</v>
      </c>
      <c r="G1153" s="6" t="s">
        <v>234</v>
      </c>
      <c r="H1153" s="6">
        <v>3</v>
      </c>
    </row>
    <row r="1154" spans="1:8" ht="30" x14ac:dyDescent="0.25">
      <c r="A1154" s="17" t="s">
        <v>1391</v>
      </c>
      <c r="B1154" s="17" t="s">
        <v>1391</v>
      </c>
      <c r="C1154" s="17" t="s">
        <v>271</v>
      </c>
      <c r="D1154" s="17" t="s">
        <v>269</v>
      </c>
      <c r="E1154" s="17">
        <v>5.2359699999999999E-4</v>
      </c>
      <c r="F1154" s="6" t="s">
        <v>233</v>
      </c>
      <c r="G1154" s="6" t="s">
        <v>234</v>
      </c>
      <c r="H1154" s="6">
        <v>3</v>
      </c>
    </row>
    <row r="1155" spans="1:8" ht="30" x14ac:dyDescent="0.25">
      <c r="A1155" s="17" t="s">
        <v>1392</v>
      </c>
      <c r="B1155" s="17" t="s">
        <v>1392</v>
      </c>
      <c r="C1155" s="17" t="s">
        <v>271</v>
      </c>
      <c r="D1155" s="17" t="s">
        <v>269</v>
      </c>
      <c r="E1155" s="17">
        <v>5.2359699999999999E-4</v>
      </c>
      <c r="F1155" s="6" t="s">
        <v>233</v>
      </c>
      <c r="G1155" s="6" t="s">
        <v>234</v>
      </c>
      <c r="H1155" s="6">
        <v>3</v>
      </c>
    </row>
    <row r="1156" spans="1:8" ht="30" x14ac:dyDescent="0.25">
      <c r="A1156" s="17" t="s">
        <v>1393</v>
      </c>
      <c r="B1156" s="17" t="s">
        <v>1393</v>
      </c>
      <c r="C1156" s="17" t="s">
        <v>271</v>
      </c>
      <c r="D1156" s="17" t="s">
        <v>269</v>
      </c>
      <c r="E1156" s="17">
        <v>5.2359699999999999E-4</v>
      </c>
      <c r="F1156" s="6" t="s">
        <v>233</v>
      </c>
      <c r="G1156" s="6" t="s">
        <v>234</v>
      </c>
      <c r="H1156" s="6">
        <v>3</v>
      </c>
    </row>
    <row r="1157" spans="1:8" ht="30" x14ac:dyDescent="0.25">
      <c r="A1157" s="17" t="s">
        <v>1394</v>
      </c>
      <c r="B1157" s="17" t="s">
        <v>1394</v>
      </c>
      <c r="C1157" s="17" t="s">
        <v>271</v>
      </c>
      <c r="D1157" s="17" t="s">
        <v>269</v>
      </c>
      <c r="E1157" s="17">
        <v>5.2359699999999999E-4</v>
      </c>
      <c r="F1157" s="6" t="s">
        <v>233</v>
      </c>
      <c r="G1157" s="6" t="s">
        <v>234</v>
      </c>
      <c r="H1157" s="6">
        <v>3</v>
      </c>
    </row>
    <row r="1158" spans="1:8" ht="30" x14ac:dyDescent="0.25">
      <c r="A1158" s="17" t="s">
        <v>1395</v>
      </c>
      <c r="B1158" s="17" t="s">
        <v>1395</v>
      </c>
      <c r="C1158" s="17" t="s">
        <v>271</v>
      </c>
      <c r="D1158" s="17" t="s">
        <v>269</v>
      </c>
      <c r="E1158" s="17">
        <v>5.2359699999999999E-4</v>
      </c>
      <c r="F1158" s="6" t="s">
        <v>233</v>
      </c>
      <c r="G1158" s="6" t="s">
        <v>234</v>
      </c>
      <c r="H1158" s="6">
        <v>3</v>
      </c>
    </row>
    <row r="1159" spans="1:8" ht="30" x14ac:dyDescent="0.25">
      <c r="A1159" s="17" t="s">
        <v>1396</v>
      </c>
      <c r="B1159" s="17" t="s">
        <v>1396</v>
      </c>
      <c r="C1159" s="17" t="s">
        <v>262</v>
      </c>
      <c r="D1159" s="17" t="s">
        <v>254</v>
      </c>
      <c r="E1159" s="17">
        <v>6.7100000000000005E-4</v>
      </c>
      <c r="F1159" s="6" t="s">
        <v>233</v>
      </c>
      <c r="G1159" s="6" t="s">
        <v>234</v>
      </c>
      <c r="H1159" s="6">
        <v>3</v>
      </c>
    </row>
    <row r="1160" spans="1:8" ht="30" x14ac:dyDescent="0.25">
      <c r="A1160" s="17" t="s">
        <v>1397</v>
      </c>
      <c r="B1160" s="17" t="s">
        <v>1397</v>
      </c>
      <c r="C1160" s="17" t="s">
        <v>262</v>
      </c>
      <c r="D1160" s="17" t="s">
        <v>254</v>
      </c>
      <c r="E1160" s="17">
        <v>6.7100000000000005E-4</v>
      </c>
      <c r="F1160" s="6" t="s">
        <v>233</v>
      </c>
      <c r="G1160" s="6" t="s">
        <v>234</v>
      </c>
      <c r="H1160" s="6">
        <v>3</v>
      </c>
    </row>
    <row r="1161" spans="1:8" ht="30" x14ac:dyDescent="0.25">
      <c r="A1161" s="17" t="s">
        <v>1398</v>
      </c>
      <c r="B1161" s="17" t="s">
        <v>1398</v>
      </c>
      <c r="C1161" s="17" t="s">
        <v>262</v>
      </c>
      <c r="D1161" s="17" t="s">
        <v>254</v>
      </c>
      <c r="E1161" s="17">
        <v>6.7100000000000005E-4</v>
      </c>
      <c r="F1161" s="6" t="s">
        <v>233</v>
      </c>
      <c r="G1161" s="6" t="s">
        <v>234</v>
      </c>
      <c r="H1161" s="6">
        <v>3</v>
      </c>
    </row>
    <row r="1162" spans="1:8" ht="30" x14ac:dyDescent="0.25">
      <c r="A1162" s="17" t="s">
        <v>1399</v>
      </c>
      <c r="B1162" s="17" t="s">
        <v>1399</v>
      </c>
      <c r="C1162" s="17" t="s">
        <v>271</v>
      </c>
      <c r="D1162" s="17" t="s">
        <v>269</v>
      </c>
      <c r="E1162" s="17">
        <v>5.2359699999999999E-4</v>
      </c>
      <c r="F1162" s="6" t="s">
        <v>233</v>
      </c>
      <c r="G1162" s="6" t="s">
        <v>234</v>
      </c>
      <c r="H1162" s="6">
        <v>3</v>
      </c>
    </row>
    <row r="1163" spans="1:8" ht="30" x14ac:dyDescent="0.25">
      <c r="A1163" s="17" t="s">
        <v>1400</v>
      </c>
      <c r="B1163" s="17" t="s">
        <v>1400</v>
      </c>
      <c r="C1163" s="17" t="s">
        <v>262</v>
      </c>
      <c r="D1163" s="17" t="s">
        <v>254</v>
      </c>
      <c r="E1163" s="17">
        <v>6.7100000000000005E-4</v>
      </c>
      <c r="F1163" s="6" t="s">
        <v>233</v>
      </c>
      <c r="G1163" s="6" t="s">
        <v>234</v>
      </c>
      <c r="H1163" s="6">
        <v>3</v>
      </c>
    </row>
    <row r="1164" spans="1:8" ht="30" x14ac:dyDescent="0.25">
      <c r="A1164" s="17" t="s">
        <v>1401</v>
      </c>
      <c r="B1164" s="17" t="s">
        <v>1401</v>
      </c>
      <c r="C1164" s="17" t="s">
        <v>304</v>
      </c>
      <c r="D1164" s="17" t="s">
        <v>308</v>
      </c>
      <c r="E1164" s="17">
        <v>3.0299999999999999E-4</v>
      </c>
      <c r="F1164" s="6" t="s">
        <v>233</v>
      </c>
      <c r="G1164" s="6" t="s">
        <v>234</v>
      </c>
      <c r="H1164" s="6">
        <v>3</v>
      </c>
    </row>
    <row r="1165" spans="1:8" ht="30" x14ac:dyDescent="0.25">
      <c r="A1165" s="17" t="s">
        <v>1402</v>
      </c>
      <c r="B1165" s="17" t="s">
        <v>1402</v>
      </c>
      <c r="C1165" s="17" t="s">
        <v>271</v>
      </c>
      <c r="D1165" s="17" t="s">
        <v>269</v>
      </c>
      <c r="E1165" s="17">
        <v>5.2359699999999999E-4</v>
      </c>
      <c r="F1165" s="6" t="s">
        <v>233</v>
      </c>
      <c r="G1165" s="6" t="s">
        <v>234</v>
      </c>
      <c r="H1165" s="6">
        <v>3</v>
      </c>
    </row>
    <row r="1166" spans="1:8" ht="30" x14ac:dyDescent="0.25">
      <c r="A1166" s="17" t="s">
        <v>1403</v>
      </c>
      <c r="B1166" s="17" t="s">
        <v>1403</v>
      </c>
      <c r="C1166" s="17" t="s">
        <v>304</v>
      </c>
      <c r="D1166" s="17" t="s">
        <v>308</v>
      </c>
      <c r="E1166" s="17">
        <v>3.0299999999999999E-4</v>
      </c>
      <c r="F1166" s="6" t="s">
        <v>233</v>
      </c>
      <c r="G1166" s="6" t="s">
        <v>234</v>
      </c>
      <c r="H1166" s="6">
        <v>3</v>
      </c>
    </row>
    <row r="1167" spans="1:8" ht="30" x14ac:dyDescent="0.25">
      <c r="A1167" s="17" t="s">
        <v>1404</v>
      </c>
      <c r="B1167" s="17" t="s">
        <v>1404</v>
      </c>
      <c r="C1167" s="17" t="s">
        <v>271</v>
      </c>
      <c r="D1167" s="17" t="s">
        <v>269</v>
      </c>
      <c r="E1167" s="17">
        <v>5.2359699999999999E-4</v>
      </c>
      <c r="F1167" s="6" t="s">
        <v>233</v>
      </c>
      <c r="G1167" s="6" t="s">
        <v>234</v>
      </c>
      <c r="H1167" s="6">
        <v>3</v>
      </c>
    </row>
    <row r="1168" spans="1:8" ht="30" x14ac:dyDescent="0.25">
      <c r="A1168" s="17" t="s">
        <v>1405</v>
      </c>
      <c r="B1168" s="17" t="s">
        <v>1405</v>
      </c>
      <c r="C1168" s="17" t="s">
        <v>271</v>
      </c>
      <c r="D1168" s="17" t="s">
        <v>269</v>
      </c>
      <c r="E1168" s="17">
        <v>5.2359699999999999E-4</v>
      </c>
      <c r="F1168" s="6" t="s">
        <v>233</v>
      </c>
      <c r="G1168" s="6" t="s">
        <v>234</v>
      </c>
      <c r="H1168" s="6">
        <v>3</v>
      </c>
    </row>
    <row r="1169" spans="1:8" ht="30" x14ac:dyDescent="0.25">
      <c r="A1169" s="17" t="s">
        <v>1406</v>
      </c>
      <c r="B1169" s="17" t="s">
        <v>1406</v>
      </c>
      <c r="C1169" s="17" t="s">
        <v>346</v>
      </c>
      <c r="D1169" s="17" t="s">
        <v>347</v>
      </c>
      <c r="E1169" s="17">
        <v>2.10657E-4</v>
      </c>
      <c r="F1169" s="6" t="s">
        <v>233</v>
      </c>
      <c r="G1169" s="6" t="s">
        <v>234</v>
      </c>
      <c r="H1169" s="6">
        <v>3</v>
      </c>
    </row>
    <row r="1170" spans="1:8" ht="30" x14ac:dyDescent="0.25">
      <c r="A1170" s="17" t="s">
        <v>1407</v>
      </c>
      <c r="B1170" s="17" t="s">
        <v>1407</v>
      </c>
      <c r="C1170" s="17" t="s">
        <v>271</v>
      </c>
      <c r="D1170" s="17" t="s">
        <v>269</v>
      </c>
      <c r="E1170" s="17">
        <v>5.2359699999999999E-4</v>
      </c>
      <c r="F1170" s="6" t="s">
        <v>233</v>
      </c>
      <c r="G1170" s="6" t="s">
        <v>234</v>
      </c>
      <c r="H1170" s="6">
        <v>3</v>
      </c>
    </row>
    <row r="1171" spans="1:8" ht="30" x14ac:dyDescent="0.25">
      <c r="A1171" s="17" t="s">
        <v>1408</v>
      </c>
      <c r="B1171" s="17" t="s">
        <v>1408</v>
      </c>
      <c r="C1171" s="17" t="s">
        <v>271</v>
      </c>
      <c r="D1171" s="17" t="s">
        <v>269</v>
      </c>
      <c r="E1171" s="17">
        <v>5.2359699999999999E-4</v>
      </c>
      <c r="F1171" s="6" t="s">
        <v>233</v>
      </c>
      <c r="G1171" s="6" t="s">
        <v>234</v>
      </c>
      <c r="H1171" s="6">
        <v>3</v>
      </c>
    </row>
    <row r="1172" spans="1:8" ht="30" x14ac:dyDescent="0.25">
      <c r="A1172" s="17" t="s">
        <v>1409</v>
      </c>
      <c r="B1172" s="17" t="s">
        <v>1409</v>
      </c>
      <c r="C1172" s="17" t="s">
        <v>465</v>
      </c>
      <c r="D1172" s="17" t="s">
        <v>466</v>
      </c>
      <c r="E1172" s="17">
        <v>2.2128299999999999E-4</v>
      </c>
      <c r="F1172" s="6" t="s">
        <v>233</v>
      </c>
      <c r="G1172" s="6" t="s">
        <v>234</v>
      </c>
      <c r="H1172" s="6">
        <v>3</v>
      </c>
    </row>
    <row r="1173" spans="1:8" ht="30" x14ac:dyDescent="0.25">
      <c r="A1173" s="17" t="s">
        <v>1410</v>
      </c>
      <c r="B1173" s="17" t="s">
        <v>1410</v>
      </c>
      <c r="C1173" s="17" t="s">
        <v>271</v>
      </c>
      <c r="D1173" s="17" t="s">
        <v>269</v>
      </c>
      <c r="E1173" s="17">
        <v>5.2359699999999999E-4</v>
      </c>
      <c r="F1173" s="6" t="s">
        <v>233</v>
      </c>
      <c r="G1173" s="6" t="s">
        <v>234</v>
      </c>
      <c r="H1173" s="6">
        <v>3</v>
      </c>
    </row>
    <row r="1174" spans="1:8" ht="30" x14ac:dyDescent="0.25">
      <c r="A1174" s="17" t="s">
        <v>1411</v>
      </c>
      <c r="B1174" s="17" t="s">
        <v>1411</v>
      </c>
      <c r="C1174" s="17" t="s">
        <v>271</v>
      </c>
      <c r="D1174" s="17" t="s">
        <v>269</v>
      </c>
      <c r="E1174" s="17">
        <v>5.2359699999999999E-4</v>
      </c>
      <c r="F1174" s="6" t="s">
        <v>233</v>
      </c>
      <c r="G1174" s="6" t="s">
        <v>234</v>
      </c>
      <c r="H1174" s="6">
        <v>3</v>
      </c>
    </row>
    <row r="1175" spans="1:8" ht="30" x14ac:dyDescent="0.25">
      <c r="A1175" s="17" t="s">
        <v>1412</v>
      </c>
      <c r="B1175" s="17" t="s">
        <v>1412</v>
      </c>
      <c r="C1175" s="17" t="s">
        <v>465</v>
      </c>
      <c r="D1175" s="17" t="s">
        <v>466</v>
      </c>
      <c r="E1175" s="17">
        <v>2.2128299999999999E-4</v>
      </c>
      <c r="F1175" s="6" t="s">
        <v>233</v>
      </c>
      <c r="G1175" s="6" t="s">
        <v>234</v>
      </c>
      <c r="H1175" s="6">
        <v>3</v>
      </c>
    </row>
    <row r="1176" spans="1:8" ht="30" x14ac:dyDescent="0.25">
      <c r="A1176" s="17" t="s">
        <v>1413</v>
      </c>
      <c r="B1176" s="17" t="s">
        <v>1413</v>
      </c>
      <c r="C1176" s="17" t="s">
        <v>295</v>
      </c>
      <c r="D1176" s="17" t="s">
        <v>299</v>
      </c>
      <c r="E1176" s="17">
        <v>4.2299999999999998E-4</v>
      </c>
      <c r="F1176" s="6" t="s">
        <v>233</v>
      </c>
      <c r="G1176" s="6" t="s">
        <v>234</v>
      </c>
      <c r="H1176" s="6">
        <v>3</v>
      </c>
    </row>
    <row r="1177" spans="1:8" ht="30" x14ac:dyDescent="0.25">
      <c r="A1177" s="17" t="s">
        <v>1414</v>
      </c>
      <c r="B1177" s="17" t="s">
        <v>1414</v>
      </c>
      <c r="C1177" s="17" t="s">
        <v>295</v>
      </c>
      <c r="D1177" s="17" t="s">
        <v>299</v>
      </c>
      <c r="E1177" s="17">
        <v>4.2299999999999998E-4</v>
      </c>
      <c r="F1177" s="6" t="s">
        <v>233</v>
      </c>
      <c r="G1177" s="6" t="s">
        <v>234</v>
      </c>
      <c r="H1177" s="6">
        <v>3</v>
      </c>
    </row>
    <row r="1178" spans="1:8" ht="30" x14ac:dyDescent="0.25">
      <c r="A1178" s="17" t="s">
        <v>1415</v>
      </c>
      <c r="B1178" s="17" t="s">
        <v>1415</v>
      </c>
      <c r="C1178" s="17" t="s">
        <v>295</v>
      </c>
      <c r="D1178" s="17" t="s">
        <v>299</v>
      </c>
      <c r="E1178" s="17">
        <v>4.2299999999999998E-4</v>
      </c>
      <c r="F1178" s="6" t="s">
        <v>233</v>
      </c>
      <c r="G1178" s="6" t="s">
        <v>234</v>
      </c>
      <c r="H1178" s="6">
        <v>3</v>
      </c>
    </row>
    <row r="1179" spans="1:8" ht="30" x14ac:dyDescent="0.25">
      <c r="A1179" s="17" t="s">
        <v>1416</v>
      </c>
      <c r="B1179" s="17" t="s">
        <v>1416</v>
      </c>
      <c r="C1179" s="17" t="s">
        <v>295</v>
      </c>
      <c r="D1179" s="17" t="s">
        <v>299</v>
      </c>
      <c r="E1179" s="17">
        <v>4.2299999999999998E-4</v>
      </c>
      <c r="F1179" s="6" t="s">
        <v>233</v>
      </c>
      <c r="G1179" s="6" t="s">
        <v>234</v>
      </c>
      <c r="H1179" s="6">
        <v>3</v>
      </c>
    </row>
    <row r="1180" spans="1:8" ht="30" x14ac:dyDescent="0.25">
      <c r="A1180" s="17" t="s">
        <v>1417</v>
      </c>
      <c r="B1180" s="17" t="s">
        <v>1417</v>
      </c>
      <c r="C1180" s="17" t="s">
        <v>244</v>
      </c>
      <c r="D1180" s="17" t="s">
        <v>242</v>
      </c>
      <c r="E1180" s="17">
        <v>1.2049999999999999E-3</v>
      </c>
      <c r="F1180" s="6" t="s">
        <v>233</v>
      </c>
      <c r="G1180" s="6" t="s">
        <v>234</v>
      </c>
      <c r="H1180" s="6">
        <v>3</v>
      </c>
    </row>
    <row r="1181" spans="1:8" ht="30" x14ac:dyDescent="0.25">
      <c r="A1181" s="17" t="s">
        <v>1418</v>
      </c>
      <c r="B1181" s="17" t="s">
        <v>1418</v>
      </c>
      <c r="C1181" s="17" t="s">
        <v>295</v>
      </c>
      <c r="D1181" s="17" t="s">
        <v>299</v>
      </c>
      <c r="E1181" s="17">
        <v>4.2299999999999998E-4</v>
      </c>
      <c r="F1181" s="6" t="s">
        <v>233</v>
      </c>
      <c r="G1181" s="6" t="s">
        <v>234</v>
      </c>
      <c r="H1181" s="6">
        <v>3</v>
      </c>
    </row>
    <row r="1182" spans="1:8" ht="30" x14ac:dyDescent="0.25">
      <c r="A1182" s="17" t="s">
        <v>1419</v>
      </c>
      <c r="B1182" s="17" t="s">
        <v>1419</v>
      </c>
      <c r="C1182" s="17" t="s">
        <v>346</v>
      </c>
      <c r="D1182" s="17" t="s">
        <v>347</v>
      </c>
      <c r="E1182" s="17">
        <v>2.10657E-4</v>
      </c>
      <c r="F1182" s="6" t="s">
        <v>233</v>
      </c>
      <c r="G1182" s="6" t="s">
        <v>234</v>
      </c>
      <c r="H1182" s="6">
        <v>3</v>
      </c>
    </row>
    <row r="1183" spans="1:8" ht="30" x14ac:dyDescent="0.25">
      <c r="A1183" s="17" t="s">
        <v>1420</v>
      </c>
      <c r="B1183" s="17" t="s">
        <v>1420</v>
      </c>
      <c r="C1183" s="17" t="s">
        <v>241</v>
      </c>
      <c r="D1183" s="17" t="s">
        <v>239</v>
      </c>
      <c r="E1183" s="17">
        <v>5.7600000000000001E-4</v>
      </c>
      <c r="F1183" s="6" t="s">
        <v>233</v>
      </c>
      <c r="G1183" s="6" t="s">
        <v>234</v>
      </c>
      <c r="H1183" s="6">
        <v>3</v>
      </c>
    </row>
    <row r="1184" spans="1:8" ht="30" x14ac:dyDescent="0.25">
      <c r="A1184" s="17" t="s">
        <v>1421</v>
      </c>
      <c r="B1184" s="17" t="s">
        <v>1421</v>
      </c>
      <c r="C1184" s="17" t="s">
        <v>271</v>
      </c>
      <c r="D1184" s="17" t="s">
        <v>269</v>
      </c>
      <c r="E1184" s="17">
        <v>5.2359699999999999E-4</v>
      </c>
      <c r="F1184" s="6" t="s">
        <v>233</v>
      </c>
      <c r="G1184" s="6" t="s">
        <v>234</v>
      </c>
      <c r="H1184" s="6">
        <v>3</v>
      </c>
    </row>
    <row r="1185" spans="1:8" ht="30" x14ac:dyDescent="0.25">
      <c r="A1185" s="17" t="s">
        <v>1422</v>
      </c>
      <c r="B1185" s="17" t="s">
        <v>1422</v>
      </c>
      <c r="C1185" s="17" t="s">
        <v>271</v>
      </c>
      <c r="D1185" s="17" t="s">
        <v>269</v>
      </c>
      <c r="E1185" s="17">
        <v>5.2359699999999999E-4</v>
      </c>
      <c r="F1185" s="6" t="s">
        <v>233</v>
      </c>
      <c r="G1185" s="6" t="s">
        <v>234</v>
      </c>
      <c r="H1185" s="6">
        <v>3</v>
      </c>
    </row>
    <row r="1186" spans="1:8" ht="30" x14ac:dyDescent="0.25">
      <c r="A1186" s="17" t="s">
        <v>1423</v>
      </c>
      <c r="B1186" s="17" t="s">
        <v>1423</v>
      </c>
      <c r="C1186" s="17" t="s">
        <v>271</v>
      </c>
      <c r="D1186" s="17" t="s">
        <v>269</v>
      </c>
      <c r="E1186" s="17">
        <v>5.2359699999999999E-4</v>
      </c>
      <c r="F1186" s="6" t="s">
        <v>233</v>
      </c>
      <c r="G1186" s="6" t="s">
        <v>234</v>
      </c>
      <c r="H1186" s="6">
        <v>3</v>
      </c>
    </row>
    <row r="1187" spans="1:8" ht="30" x14ac:dyDescent="0.25">
      <c r="A1187" s="17" t="s">
        <v>1424</v>
      </c>
      <c r="B1187" s="17" t="s">
        <v>1424</v>
      </c>
      <c r="C1187" s="17" t="s">
        <v>271</v>
      </c>
      <c r="D1187" s="17" t="s">
        <v>269</v>
      </c>
      <c r="E1187" s="17">
        <v>5.2359699999999999E-4</v>
      </c>
      <c r="F1187" s="6" t="s">
        <v>233</v>
      </c>
      <c r="G1187" s="6" t="s">
        <v>234</v>
      </c>
      <c r="H1187" s="6">
        <v>3</v>
      </c>
    </row>
    <row r="1188" spans="1:8" ht="30" x14ac:dyDescent="0.25">
      <c r="A1188" s="17" t="s">
        <v>1425</v>
      </c>
      <c r="B1188" s="17" t="s">
        <v>1425</v>
      </c>
      <c r="C1188" s="17" t="s">
        <v>271</v>
      </c>
      <c r="D1188" s="17" t="s">
        <v>269</v>
      </c>
      <c r="E1188" s="17">
        <v>5.2359699999999999E-4</v>
      </c>
      <c r="F1188" s="6" t="s">
        <v>233</v>
      </c>
      <c r="G1188" s="6" t="s">
        <v>234</v>
      </c>
      <c r="H1188" s="6">
        <v>3</v>
      </c>
    </row>
    <row r="1189" spans="1:8" ht="30" x14ac:dyDescent="0.25">
      <c r="A1189" s="17" t="s">
        <v>1426</v>
      </c>
      <c r="B1189" s="17" t="s">
        <v>1426</v>
      </c>
      <c r="C1189" s="17" t="s">
        <v>262</v>
      </c>
      <c r="D1189" s="17" t="s">
        <v>254</v>
      </c>
      <c r="E1189" s="17">
        <v>6.7100000000000005E-4</v>
      </c>
      <c r="F1189" s="6" t="s">
        <v>233</v>
      </c>
      <c r="G1189" s="6" t="s">
        <v>234</v>
      </c>
      <c r="H1189" s="6">
        <v>3</v>
      </c>
    </row>
    <row r="1190" spans="1:8" ht="30" x14ac:dyDescent="0.25">
      <c r="A1190" s="17" t="s">
        <v>1427</v>
      </c>
      <c r="B1190" s="17" t="s">
        <v>1427</v>
      </c>
      <c r="C1190" s="17" t="s">
        <v>262</v>
      </c>
      <c r="D1190" s="17" t="s">
        <v>254</v>
      </c>
      <c r="E1190" s="17">
        <v>6.7100000000000005E-4</v>
      </c>
      <c r="F1190" s="6" t="s">
        <v>233</v>
      </c>
      <c r="G1190" s="6" t="s">
        <v>234</v>
      </c>
      <c r="H1190" s="6">
        <v>3</v>
      </c>
    </row>
    <row r="1191" spans="1:8" ht="30" x14ac:dyDescent="0.25">
      <c r="A1191" s="17" t="s">
        <v>1428</v>
      </c>
      <c r="B1191" s="17" t="s">
        <v>1428</v>
      </c>
      <c r="C1191" s="17" t="s">
        <v>262</v>
      </c>
      <c r="D1191" s="17" t="s">
        <v>254</v>
      </c>
      <c r="E1191" s="17">
        <v>6.7100000000000005E-4</v>
      </c>
      <c r="F1191" s="6" t="s">
        <v>233</v>
      </c>
      <c r="G1191" s="6" t="s">
        <v>234</v>
      </c>
      <c r="H1191" s="6">
        <v>3</v>
      </c>
    </row>
    <row r="1192" spans="1:8" ht="30" x14ac:dyDescent="0.25">
      <c r="A1192" s="17" t="s">
        <v>1429</v>
      </c>
      <c r="B1192" s="17" t="s">
        <v>1429</v>
      </c>
      <c r="C1192" s="17" t="s">
        <v>262</v>
      </c>
      <c r="D1192" s="17" t="s">
        <v>254</v>
      </c>
      <c r="E1192" s="17">
        <v>6.7100000000000005E-4</v>
      </c>
      <c r="F1192" s="6" t="s">
        <v>233</v>
      </c>
      <c r="G1192" s="6" t="s">
        <v>234</v>
      </c>
      <c r="H1192" s="6">
        <v>3</v>
      </c>
    </row>
    <row r="1193" spans="1:8" ht="30" x14ac:dyDescent="0.25">
      <c r="A1193" s="17" t="s">
        <v>1430</v>
      </c>
      <c r="B1193" s="17" t="s">
        <v>1430</v>
      </c>
      <c r="C1193" s="17" t="s">
        <v>262</v>
      </c>
      <c r="D1193" s="17" t="s">
        <v>254</v>
      </c>
      <c r="E1193" s="17">
        <v>6.7100000000000005E-4</v>
      </c>
      <c r="F1193" s="6" t="s">
        <v>233</v>
      </c>
      <c r="G1193" s="6" t="s">
        <v>234</v>
      </c>
      <c r="H1193" s="6">
        <v>3</v>
      </c>
    </row>
    <row r="1194" spans="1:8" ht="30" x14ac:dyDescent="0.25">
      <c r="A1194" s="17" t="s">
        <v>1431</v>
      </c>
      <c r="B1194" s="17" t="s">
        <v>1431</v>
      </c>
      <c r="C1194" s="17" t="s">
        <v>262</v>
      </c>
      <c r="D1194" s="17" t="s">
        <v>254</v>
      </c>
      <c r="E1194" s="17">
        <v>6.7100000000000005E-4</v>
      </c>
      <c r="F1194" s="6" t="s">
        <v>233</v>
      </c>
      <c r="G1194" s="6" t="s">
        <v>234</v>
      </c>
      <c r="H1194" s="6">
        <v>3</v>
      </c>
    </row>
    <row r="1195" spans="1:8" ht="30" x14ac:dyDescent="0.25">
      <c r="A1195" s="17" t="s">
        <v>1432</v>
      </c>
      <c r="B1195" s="17" t="s">
        <v>1432</v>
      </c>
      <c r="C1195" s="17" t="s">
        <v>465</v>
      </c>
      <c r="D1195" s="17" t="s">
        <v>466</v>
      </c>
      <c r="E1195" s="17">
        <v>2.2128299999999999E-4</v>
      </c>
      <c r="F1195" s="6" t="s">
        <v>233</v>
      </c>
      <c r="G1195" s="6" t="s">
        <v>234</v>
      </c>
      <c r="H1195" s="6">
        <v>3</v>
      </c>
    </row>
    <row r="1196" spans="1:8" ht="30" x14ac:dyDescent="0.25">
      <c r="A1196" s="17" t="s">
        <v>1433</v>
      </c>
      <c r="B1196" s="17" t="s">
        <v>1433</v>
      </c>
      <c r="C1196" s="17" t="s">
        <v>262</v>
      </c>
      <c r="D1196" s="17" t="s">
        <v>254</v>
      </c>
      <c r="E1196" s="17">
        <v>6.7100000000000005E-4</v>
      </c>
      <c r="F1196" s="6" t="s">
        <v>233</v>
      </c>
      <c r="G1196" s="6" t="s">
        <v>234</v>
      </c>
      <c r="H1196" s="6">
        <v>3</v>
      </c>
    </row>
    <row r="1197" spans="1:8" ht="30" x14ac:dyDescent="0.25">
      <c r="A1197" s="17" t="s">
        <v>1434</v>
      </c>
      <c r="B1197" s="17" t="s">
        <v>1434</v>
      </c>
      <c r="C1197" s="17" t="s">
        <v>262</v>
      </c>
      <c r="D1197" s="17" t="s">
        <v>254</v>
      </c>
      <c r="E1197" s="17">
        <v>6.7100000000000005E-4</v>
      </c>
      <c r="F1197" s="6" t="s">
        <v>233</v>
      </c>
      <c r="G1197" s="6" t="s">
        <v>234</v>
      </c>
      <c r="H1197" s="6">
        <v>3</v>
      </c>
    </row>
    <row r="1198" spans="1:8" ht="30" x14ac:dyDescent="0.25">
      <c r="A1198" s="17" t="s">
        <v>1435</v>
      </c>
      <c r="B1198" s="17" t="s">
        <v>1435</v>
      </c>
      <c r="C1198" s="17" t="s">
        <v>262</v>
      </c>
      <c r="D1198" s="17" t="s">
        <v>254</v>
      </c>
      <c r="E1198" s="17">
        <v>6.7100000000000005E-4</v>
      </c>
      <c r="F1198" s="6" t="s">
        <v>233</v>
      </c>
      <c r="G1198" s="6" t="s">
        <v>234</v>
      </c>
      <c r="H1198" s="6">
        <v>3</v>
      </c>
    </row>
    <row r="1199" spans="1:8" ht="30" x14ac:dyDescent="0.25">
      <c r="A1199" s="17" t="s">
        <v>1436</v>
      </c>
      <c r="B1199" s="17" t="s">
        <v>1436</v>
      </c>
      <c r="C1199" s="17" t="s">
        <v>262</v>
      </c>
      <c r="D1199" s="17" t="s">
        <v>254</v>
      </c>
      <c r="E1199" s="17">
        <v>6.7100000000000005E-4</v>
      </c>
      <c r="F1199" s="6" t="s">
        <v>233</v>
      </c>
      <c r="G1199" s="6" t="s">
        <v>234</v>
      </c>
      <c r="H1199" s="6">
        <v>3</v>
      </c>
    </row>
    <row r="1200" spans="1:8" ht="30" x14ac:dyDescent="0.25">
      <c r="A1200" s="17" t="s">
        <v>1437</v>
      </c>
      <c r="B1200" s="17" t="s">
        <v>1437</v>
      </c>
      <c r="C1200" s="17" t="s">
        <v>271</v>
      </c>
      <c r="D1200" s="17" t="s">
        <v>269</v>
      </c>
      <c r="E1200" s="17">
        <v>5.2359699999999999E-4</v>
      </c>
      <c r="F1200" s="6" t="s">
        <v>233</v>
      </c>
      <c r="G1200" s="6" t="s">
        <v>234</v>
      </c>
      <c r="H1200" s="6">
        <v>3</v>
      </c>
    </row>
    <row r="1201" spans="1:8" ht="30" x14ac:dyDescent="0.25">
      <c r="A1201" s="17" t="s">
        <v>1438</v>
      </c>
      <c r="B1201" s="17" t="s">
        <v>1438</v>
      </c>
      <c r="C1201" s="17" t="s">
        <v>271</v>
      </c>
      <c r="D1201" s="17" t="s">
        <v>269</v>
      </c>
      <c r="E1201" s="17">
        <v>5.2359699999999999E-4</v>
      </c>
      <c r="F1201" s="6" t="s">
        <v>233</v>
      </c>
      <c r="G1201" s="6" t="s">
        <v>234</v>
      </c>
      <c r="H1201" s="6">
        <v>3</v>
      </c>
    </row>
    <row r="1202" spans="1:8" ht="30" x14ac:dyDescent="0.25">
      <c r="A1202" s="17" t="s">
        <v>1439</v>
      </c>
      <c r="B1202" s="17" t="s">
        <v>1439</v>
      </c>
      <c r="C1202" s="17" t="s">
        <v>271</v>
      </c>
      <c r="D1202" s="17" t="s">
        <v>269</v>
      </c>
      <c r="E1202" s="17">
        <v>5.2359699999999999E-4</v>
      </c>
      <c r="F1202" s="6" t="s">
        <v>233</v>
      </c>
      <c r="G1202" s="6" t="s">
        <v>234</v>
      </c>
      <c r="H1202" s="6">
        <v>3</v>
      </c>
    </row>
    <row r="1203" spans="1:8" ht="30" x14ac:dyDescent="0.25">
      <c r="A1203" s="17" t="s">
        <v>1440</v>
      </c>
      <c r="B1203" s="17" t="s">
        <v>1440</v>
      </c>
      <c r="C1203" s="17" t="s">
        <v>271</v>
      </c>
      <c r="D1203" s="17" t="s">
        <v>269</v>
      </c>
      <c r="E1203" s="17">
        <v>5.2359699999999999E-4</v>
      </c>
      <c r="F1203" s="6" t="s">
        <v>233</v>
      </c>
      <c r="G1203" s="6" t="s">
        <v>234</v>
      </c>
      <c r="H1203" s="6">
        <v>3</v>
      </c>
    </row>
    <row r="1204" spans="1:8" ht="30" x14ac:dyDescent="0.25">
      <c r="A1204" s="17" t="s">
        <v>1441</v>
      </c>
      <c r="B1204" s="17" t="s">
        <v>1441</v>
      </c>
      <c r="C1204" s="17" t="s">
        <v>465</v>
      </c>
      <c r="D1204" s="17" t="s">
        <v>466</v>
      </c>
      <c r="E1204" s="17">
        <v>2.2128299999999999E-4</v>
      </c>
      <c r="F1204" s="6" t="s">
        <v>233</v>
      </c>
      <c r="G1204" s="6" t="s">
        <v>234</v>
      </c>
      <c r="H1204" s="6">
        <v>3</v>
      </c>
    </row>
    <row r="1205" spans="1:8" ht="30" x14ac:dyDescent="0.25">
      <c r="A1205" s="17" t="s">
        <v>1442</v>
      </c>
      <c r="B1205" s="17" t="s">
        <v>1442</v>
      </c>
      <c r="C1205" s="17" t="s">
        <v>295</v>
      </c>
      <c r="D1205" s="17" t="s">
        <v>299</v>
      </c>
      <c r="E1205" s="17">
        <v>4.2299999999999998E-4</v>
      </c>
      <c r="F1205" s="6" t="s">
        <v>233</v>
      </c>
      <c r="G1205" s="6" t="s">
        <v>234</v>
      </c>
      <c r="H1205" s="6">
        <v>3</v>
      </c>
    </row>
    <row r="1206" spans="1:8" ht="30" x14ac:dyDescent="0.25">
      <c r="A1206" s="17" t="s">
        <v>1443</v>
      </c>
      <c r="B1206" s="17" t="s">
        <v>1443</v>
      </c>
      <c r="C1206" s="17" t="s">
        <v>271</v>
      </c>
      <c r="D1206" s="17" t="s">
        <v>269</v>
      </c>
      <c r="E1206" s="17">
        <v>5.2359699999999999E-4</v>
      </c>
      <c r="F1206" s="6" t="s">
        <v>233</v>
      </c>
      <c r="G1206" s="6" t="s">
        <v>234</v>
      </c>
      <c r="H1206" s="6">
        <v>3</v>
      </c>
    </row>
    <row r="1207" spans="1:8" ht="30" x14ac:dyDescent="0.25">
      <c r="A1207" s="17" t="s">
        <v>1444</v>
      </c>
      <c r="B1207" s="17" t="s">
        <v>1444</v>
      </c>
      <c r="C1207" s="17" t="s">
        <v>271</v>
      </c>
      <c r="D1207" s="17" t="s">
        <v>269</v>
      </c>
      <c r="E1207" s="17">
        <v>5.2359699999999999E-4</v>
      </c>
      <c r="F1207" s="6" t="s">
        <v>233</v>
      </c>
      <c r="G1207" s="6" t="s">
        <v>234</v>
      </c>
      <c r="H1207" s="6">
        <v>3</v>
      </c>
    </row>
    <row r="1208" spans="1:8" ht="30" x14ac:dyDescent="0.25">
      <c r="A1208" s="17" t="s">
        <v>1445</v>
      </c>
      <c r="B1208" s="17" t="s">
        <v>1445</v>
      </c>
      <c r="C1208" s="17" t="s">
        <v>271</v>
      </c>
      <c r="D1208" s="17" t="s">
        <v>269</v>
      </c>
      <c r="E1208" s="17">
        <v>5.2359699999999999E-4</v>
      </c>
      <c r="F1208" s="6" t="s">
        <v>233</v>
      </c>
      <c r="G1208" s="6" t="s">
        <v>234</v>
      </c>
      <c r="H1208" s="6">
        <v>3</v>
      </c>
    </row>
    <row r="1209" spans="1:8" ht="30" x14ac:dyDescent="0.25">
      <c r="A1209" s="17" t="s">
        <v>1446</v>
      </c>
      <c r="B1209" s="17" t="s">
        <v>1446</v>
      </c>
      <c r="C1209" s="17" t="s">
        <v>271</v>
      </c>
      <c r="D1209" s="17" t="s">
        <v>269</v>
      </c>
      <c r="E1209" s="17">
        <v>5.2359699999999999E-4</v>
      </c>
      <c r="F1209" s="6" t="s">
        <v>233</v>
      </c>
      <c r="G1209" s="6" t="s">
        <v>234</v>
      </c>
      <c r="H1209" s="6">
        <v>3</v>
      </c>
    </row>
    <row r="1210" spans="1:8" ht="30" x14ac:dyDescent="0.25">
      <c r="A1210" s="17" t="s">
        <v>1447</v>
      </c>
      <c r="B1210" s="17" t="s">
        <v>1447</v>
      </c>
      <c r="C1210" s="17" t="s">
        <v>262</v>
      </c>
      <c r="D1210" s="17" t="s">
        <v>254</v>
      </c>
      <c r="E1210" s="17">
        <v>6.7100000000000005E-4</v>
      </c>
      <c r="F1210" s="6" t="s">
        <v>233</v>
      </c>
      <c r="G1210" s="6" t="s">
        <v>234</v>
      </c>
      <c r="H1210" s="6">
        <v>3</v>
      </c>
    </row>
    <row r="1211" spans="1:8" ht="30" x14ac:dyDescent="0.25">
      <c r="A1211" s="17" t="s">
        <v>1448</v>
      </c>
      <c r="B1211" s="17" t="s">
        <v>1448</v>
      </c>
      <c r="C1211" s="17" t="s">
        <v>346</v>
      </c>
      <c r="D1211" s="17" t="s">
        <v>347</v>
      </c>
      <c r="E1211" s="17">
        <v>2.10657E-4</v>
      </c>
      <c r="F1211" s="6" t="s">
        <v>233</v>
      </c>
      <c r="G1211" s="6" t="s">
        <v>234</v>
      </c>
      <c r="H1211" s="6">
        <v>3</v>
      </c>
    </row>
    <row r="1212" spans="1:8" ht="30" x14ac:dyDescent="0.25">
      <c r="A1212" s="17" t="s">
        <v>1449</v>
      </c>
      <c r="B1212" s="17" t="s">
        <v>1449</v>
      </c>
      <c r="C1212" s="17" t="s">
        <v>346</v>
      </c>
      <c r="D1212" s="17" t="s">
        <v>347</v>
      </c>
      <c r="E1212" s="17">
        <v>2.10657E-4</v>
      </c>
      <c r="F1212" s="6" t="s">
        <v>233</v>
      </c>
      <c r="G1212" s="6" t="s">
        <v>234</v>
      </c>
      <c r="H1212" s="6">
        <v>3</v>
      </c>
    </row>
    <row r="1213" spans="1:8" ht="30" x14ac:dyDescent="0.25">
      <c r="A1213" s="17" t="s">
        <v>1450</v>
      </c>
      <c r="B1213" s="17" t="s">
        <v>1450</v>
      </c>
      <c r="C1213" s="17" t="s">
        <v>346</v>
      </c>
      <c r="D1213" s="17" t="s">
        <v>347</v>
      </c>
      <c r="E1213" s="17">
        <v>2.10657E-4</v>
      </c>
      <c r="F1213" s="6" t="s">
        <v>233</v>
      </c>
      <c r="G1213" s="6" t="s">
        <v>234</v>
      </c>
      <c r="H1213" s="6">
        <v>3</v>
      </c>
    </row>
    <row r="1214" spans="1:8" ht="30" x14ac:dyDescent="0.25">
      <c r="A1214" s="17" t="s">
        <v>1451</v>
      </c>
      <c r="B1214" s="17" t="s">
        <v>1451</v>
      </c>
      <c r="C1214" s="17" t="s">
        <v>346</v>
      </c>
      <c r="D1214" s="17" t="s">
        <v>347</v>
      </c>
      <c r="E1214" s="17">
        <v>2.10657E-4</v>
      </c>
      <c r="F1214" s="6" t="s">
        <v>233</v>
      </c>
      <c r="G1214" s="6" t="s">
        <v>234</v>
      </c>
      <c r="H1214" s="6">
        <v>3</v>
      </c>
    </row>
    <row r="1215" spans="1:8" ht="30" x14ac:dyDescent="0.25">
      <c r="A1215" s="17" t="s">
        <v>1452</v>
      </c>
      <c r="B1215" s="17" t="s">
        <v>1452</v>
      </c>
      <c r="C1215" s="17" t="s">
        <v>346</v>
      </c>
      <c r="D1215" s="17" t="s">
        <v>347</v>
      </c>
      <c r="E1215" s="17">
        <v>2.10657E-4</v>
      </c>
      <c r="F1215" s="6" t="s">
        <v>233</v>
      </c>
      <c r="G1215" s="6" t="s">
        <v>234</v>
      </c>
      <c r="H1215" s="6">
        <v>3</v>
      </c>
    </row>
    <row r="1216" spans="1:8" ht="30" x14ac:dyDescent="0.25">
      <c r="A1216" s="17" t="s">
        <v>1453</v>
      </c>
      <c r="B1216" s="17" t="s">
        <v>1453</v>
      </c>
      <c r="C1216" s="17" t="s">
        <v>346</v>
      </c>
      <c r="D1216" s="17" t="s">
        <v>347</v>
      </c>
      <c r="E1216" s="17">
        <v>2.10657E-4</v>
      </c>
      <c r="F1216" s="6" t="s">
        <v>233</v>
      </c>
      <c r="G1216" s="6" t="s">
        <v>234</v>
      </c>
      <c r="H1216" s="6">
        <v>3</v>
      </c>
    </row>
    <row r="1217" spans="1:8" ht="30" x14ac:dyDescent="0.25">
      <c r="A1217" s="17" t="s">
        <v>1454</v>
      </c>
      <c r="B1217" s="17" t="s">
        <v>1454</v>
      </c>
      <c r="C1217" s="17" t="s">
        <v>346</v>
      </c>
      <c r="D1217" s="17" t="s">
        <v>347</v>
      </c>
      <c r="E1217" s="17">
        <v>2.10657E-4</v>
      </c>
      <c r="F1217" s="6" t="s">
        <v>233</v>
      </c>
      <c r="G1217" s="6" t="s">
        <v>234</v>
      </c>
      <c r="H1217" s="6">
        <v>3</v>
      </c>
    </row>
    <row r="1218" spans="1:8" ht="30" x14ac:dyDescent="0.25">
      <c r="A1218" s="17" t="s">
        <v>1455</v>
      </c>
      <c r="B1218" s="17" t="s">
        <v>1455</v>
      </c>
      <c r="C1218" s="17" t="s">
        <v>262</v>
      </c>
      <c r="D1218" s="17" t="s">
        <v>254</v>
      </c>
      <c r="E1218" s="17">
        <v>6.7100000000000005E-4</v>
      </c>
      <c r="F1218" s="6" t="s">
        <v>233</v>
      </c>
      <c r="G1218" s="6" t="s">
        <v>234</v>
      </c>
      <c r="H1218" s="6">
        <v>3</v>
      </c>
    </row>
    <row r="1219" spans="1:8" ht="30" x14ac:dyDescent="0.25">
      <c r="A1219" s="17" t="s">
        <v>1456</v>
      </c>
      <c r="B1219" s="17" t="s">
        <v>1456</v>
      </c>
      <c r="C1219" s="17" t="s">
        <v>346</v>
      </c>
      <c r="D1219" s="17" t="s">
        <v>347</v>
      </c>
      <c r="E1219" s="17">
        <v>2.10657E-4</v>
      </c>
      <c r="F1219" s="6" t="s">
        <v>233</v>
      </c>
      <c r="G1219" s="6" t="s">
        <v>234</v>
      </c>
      <c r="H1219" s="6">
        <v>3</v>
      </c>
    </row>
    <row r="1220" spans="1:8" ht="30" x14ac:dyDescent="0.25">
      <c r="A1220" s="17" t="s">
        <v>1457</v>
      </c>
      <c r="B1220" s="17" t="s">
        <v>1457</v>
      </c>
      <c r="C1220" s="17" t="s">
        <v>271</v>
      </c>
      <c r="D1220" s="17" t="s">
        <v>269</v>
      </c>
      <c r="E1220" s="17">
        <v>5.2359699999999999E-4</v>
      </c>
      <c r="F1220" s="6" t="s">
        <v>233</v>
      </c>
      <c r="G1220" s="6" t="s">
        <v>234</v>
      </c>
      <c r="H1220" s="6">
        <v>3</v>
      </c>
    </row>
    <row r="1221" spans="1:8" ht="30" x14ac:dyDescent="0.25">
      <c r="A1221" s="17" t="s">
        <v>1458</v>
      </c>
      <c r="B1221" s="17" t="s">
        <v>1458</v>
      </c>
      <c r="C1221" s="17" t="s">
        <v>346</v>
      </c>
      <c r="D1221" s="17" t="s">
        <v>347</v>
      </c>
      <c r="E1221" s="17">
        <v>2.10657E-4</v>
      </c>
      <c r="F1221" s="6" t="s">
        <v>233</v>
      </c>
      <c r="G1221" s="6" t="s">
        <v>234</v>
      </c>
      <c r="H1221" s="6">
        <v>3</v>
      </c>
    </row>
    <row r="1222" spans="1:8" ht="30" x14ac:dyDescent="0.25">
      <c r="A1222" s="17" t="s">
        <v>1459</v>
      </c>
      <c r="B1222" s="17" t="s">
        <v>1459</v>
      </c>
      <c r="C1222" s="17" t="s">
        <v>346</v>
      </c>
      <c r="D1222" s="17" t="s">
        <v>347</v>
      </c>
      <c r="E1222" s="17">
        <v>2.10657E-4</v>
      </c>
      <c r="F1222" s="6" t="s">
        <v>233</v>
      </c>
      <c r="G1222" s="6" t="s">
        <v>234</v>
      </c>
      <c r="H1222" s="6">
        <v>3</v>
      </c>
    </row>
    <row r="1223" spans="1:8" ht="30" x14ac:dyDescent="0.25">
      <c r="A1223" s="17" t="s">
        <v>1460</v>
      </c>
      <c r="B1223" s="17" t="s">
        <v>1460</v>
      </c>
      <c r="C1223" s="17" t="s">
        <v>346</v>
      </c>
      <c r="D1223" s="17" t="s">
        <v>347</v>
      </c>
      <c r="E1223" s="17">
        <v>2.10657E-4</v>
      </c>
      <c r="F1223" s="6" t="s">
        <v>233</v>
      </c>
      <c r="G1223" s="6" t="s">
        <v>234</v>
      </c>
      <c r="H1223" s="6">
        <v>3</v>
      </c>
    </row>
    <row r="1224" spans="1:8" ht="30" x14ac:dyDescent="0.25">
      <c r="A1224" s="17" t="s">
        <v>1461</v>
      </c>
      <c r="B1224" s="17" t="s">
        <v>1461</v>
      </c>
      <c r="C1224" s="17" t="s">
        <v>271</v>
      </c>
      <c r="D1224" s="17" t="s">
        <v>269</v>
      </c>
      <c r="E1224" s="17">
        <v>5.2359699999999999E-4</v>
      </c>
      <c r="F1224" s="6" t="s">
        <v>233</v>
      </c>
      <c r="G1224" s="6" t="s">
        <v>234</v>
      </c>
      <c r="H1224" s="6">
        <v>3</v>
      </c>
    </row>
    <row r="1225" spans="1:8" ht="30" x14ac:dyDescent="0.25">
      <c r="A1225" s="17" t="s">
        <v>1462</v>
      </c>
      <c r="B1225" s="17" t="s">
        <v>1462</v>
      </c>
      <c r="C1225" s="17" t="s">
        <v>407</v>
      </c>
      <c r="D1225" s="17" t="s">
        <v>408</v>
      </c>
      <c r="E1225" s="17">
        <v>1.6713599999999999E-4</v>
      </c>
      <c r="F1225" s="6" t="s">
        <v>233</v>
      </c>
      <c r="G1225" s="6" t="s">
        <v>234</v>
      </c>
      <c r="H1225" s="6">
        <v>3</v>
      </c>
    </row>
    <row r="1226" spans="1:8" ht="30" x14ac:dyDescent="0.25">
      <c r="A1226" s="17" t="s">
        <v>1463</v>
      </c>
      <c r="B1226" s="17" t="s">
        <v>1463</v>
      </c>
      <c r="C1226" s="17" t="s">
        <v>346</v>
      </c>
      <c r="D1226" s="17" t="s">
        <v>347</v>
      </c>
      <c r="E1226" s="17">
        <v>2.10657E-4</v>
      </c>
      <c r="F1226" s="6" t="s">
        <v>233</v>
      </c>
      <c r="G1226" s="6" t="s">
        <v>234</v>
      </c>
      <c r="H1226" s="6">
        <v>3</v>
      </c>
    </row>
    <row r="1227" spans="1:8" ht="30" x14ac:dyDescent="0.25">
      <c r="A1227" s="17" t="s">
        <v>1464</v>
      </c>
      <c r="B1227" s="17" t="s">
        <v>1464</v>
      </c>
      <c r="C1227" s="17" t="s">
        <v>346</v>
      </c>
      <c r="D1227" s="17" t="s">
        <v>347</v>
      </c>
      <c r="E1227" s="17">
        <v>2.10657E-4</v>
      </c>
      <c r="F1227" s="6" t="s">
        <v>233</v>
      </c>
      <c r="G1227" s="6" t="s">
        <v>234</v>
      </c>
      <c r="H1227" s="6">
        <v>3</v>
      </c>
    </row>
    <row r="1228" spans="1:8" ht="30" x14ac:dyDescent="0.25">
      <c r="A1228" s="17" t="s">
        <v>1465</v>
      </c>
      <c r="B1228" s="17" t="s">
        <v>1465</v>
      </c>
      <c r="C1228" s="17" t="s">
        <v>346</v>
      </c>
      <c r="D1228" s="17" t="s">
        <v>347</v>
      </c>
      <c r="E1228" s="17">
        <v>2.10657E-4</v>
      </c>
      <c r="F1228" s="6" t="s">
        <v>233</v>
      </c>
      <c r="G1228" s="6" t="s">
        <v>234</v>
      </c>
      <c r="H1228" s="6">
        <v>3</v>
      </c>
    </row>
    <row r="1229" spans="1:8" ht="30" x14ac:dyDescent="0.25">
      <c r="A1229" s="17" t="s">
        <v>1466</v>
      </c>
      <c r="B1229" s="17" t="s">
        <v>1466</v>
      </c>
      <c r="C1229" s="17" t="s">
        <v>346</v>
      </c>
      <c r="D1229" s="17" t="s">
        <v>347</v>
      </c>
      <c r="E1229" s="17">
        <v>2.10657E-4</v>
      </c>
      <c r="F1229" s="6" t="s">
        <v>233</v>
      </c>
      <c r="G1229" s="6" t="s">
        <v>234</v>
      </c>
      <c r="H1229" s="6">
        <v>3</v>
      </c>
    </row>
    <row r="1230" spans="1:8" ht="30" x14ac:dyDescent="0.25">
      <c r="A1230" s="17" t="s">
        <v>421</v>
      </c>
      <c r="B1230" s="17" t="s">
        <v>421</v>
      </c>
      <c r="C1230" s="17" t="s">
        <v>465</v>
      </c>
      <c r="D1230" s="17" t="s">
        <v>466</v>
      </c>
      <c r="E1230" s="17">
        <v>2.2128299999999999E-4</v>
      </c>
      <c r="F1230" s="6" t="s">
        <v>233</v>
      </c>
      <c r="G1230" s="6" t="s">
        <v>234</v>
      </c>
      <c r="H1230" s="6">
        <v>3</v>
      </c>
    </row>
    <row r="1231" spans="1:8" ht="30" x14ac:dyDescent="0.25">
      <c r="A1231" s="17" t="s">
        <v>1100</v>
      </c>
      <c r="B1231" s="17" t="s">
        <v>1100</v>
      </c>
      <c r="C1231" s="17" t="s">
        <v>346</v>
      </c>
      <c r="D1231" s="17" t="s">
        <v>347</v>
      </c>
      <c r="E1231" s="17">
        <v>2.10657E-4</v>
      </c>
      <c r="F1231" s="6" t="s">
        <v>233</v>
      </c>
      <c r="G1231" s="6" t="s">
        <v>234</v>
      </c>
      <c r="H1231" s="6">
        <v>3</v>
      </c>
    </row>
    <row r="1232" spans="1:8" ht="30" x14ac:dyDescent="0.25">
      <c r="A1232" s="17" t="s">
        <v>1107</v>
      </c>
      <c r="B1232" s="17" t="s">
        <v>1107</v>
      </c>
      <c r="C1232" s="17" t="s">
        <v>346</v>
      </c>
      <c r="D1232" s="17" t="s">
        <v>347</v>
      </c>
      <c r="E1232" s="17">
        <v>2.10657E-4</v>
      </c>
      <c r="F1232" s="6" t="s">
        <v>233</v>
      </c>
      <c r="G1232" s="6" t="s">
        <v>234</v>
      </c>
      <c r="H1232" s="6">
        <v>3</v>
      </c>
    </row>
    <row r="1233" spans="1:8" ht="30" x14ac:dyDescent="0.25">
      <c r="A1233" s="17" t="s">
        <v>1103</v>
      </c>
      <c r="B1233" s="17" t="s">
        <v>1103</v>
      </c>
      <c r="C1233" s="17" t="s">
        <v>346</v>
      </c>
      <c r="D1233" s="17" t="s">
        <v>347</v>
      </c>
      <c r="E1233" s="17">
        <v>2.10657E-4</v>
      </c>
      <c r="F1233" s="6" t="s">
        <v>233</v>
      </c>
      <c r="G1233" s="6" t="s">
        <v>234</v>
      </c>
      <c r="H1233" s="6">
        <v>3</v>
      </c>
    </row>
    <row r="1234" spans="1:8" ht="30" x14ac:dyDescent="0.25">
      <c r="A1234" s="17" t="s">
        <v>1105</v>
      </c>
      <c r="B1234" s="17" t="s">
        <v>1105</v>
      </c>
      <c r="C1234" s="17" t="s">
        <v>346</v>
      </c>
      <c r="D1234" s="17" t="s">
        <v>347</v>
      </c>
      <c r="E1234" s="17">
        <v>2.10657E-4</v>
      </c>
      <c r="F1234" s="6" t="s">
        <v>233</v>
      </c>
      <c r="G1234" s="6" t="s">
        <v>234</v>
      </c>
      <c r="H1234" s="6">
        <v>3</v>
      </c>
    </row>
    <row r="1235" spans="1:8" ht="30" x14ac:dyDescent="0.25">
      <c r="A1235" s="17" t="s">
        <v>1110</v>
      </c>
      <c r="B1235" s="17" t="s">
        <v>1110</v>
      </c>
      <c r="C1235" s="17" t="s">
        <v>346</v>
      </c>
      <c r="D1235" s="17" t="s">
        <v>347</v>
      </c>
      <c r="E1235" s="17">
        <v>2.10657E-4</v>
      </c>
      <c r="F1235" s="6" t="s">
        <v>233</v>
      </c>
      <c r="G1235" s="6" t="s">
        <v>234</v>
      </c>
      <c r="H1235" s="6">
        <v>3</v>
      </c>
    </row>
    <row r="1236" spans="1:8" ht="30" x14ac:dyDescent="0.25">
      <c r="A1236" s="17" t="s">
        <v>1106</v>
      </c>
      <c r="B1236" s="17" t="s">
        <v>1106</v>
      </c>
      <c r="C1236" s="17" t="s">
        <v>346</v>
      </c>
      <c r="D1236" s="17" t="s">
        <v>347</v>
      </c>
      <c r="E1236" s="17">
        <v>2.10657E-4</v>
      </c>
      <c r="F1236" s="6" t="s">
        <v>233</v>
      </c>
      <c r="G1236" s="6" t="s">
        <v>234</v>
      </c>
      <c r="H1236" s="6">
        <v>3</v>
      </c>
    </row>
    <row r="1237" spans="1:8" ht="30" x14ac:dyDescent="0.25">
      <c r="A1237" s="17" t="s">
        <v>1109</v>
      </c>
      <c r="B1237" s="17" t="s">
        <v>1109</v>
      </c>
      <c r="C1237" s="17" t="s">
        <v>407</v>
      </c>
      <c r="D1237" s="17" t="s">
        <v>408</v>
      </c>
      <c r="E1237" s="17">
        <v>1.6713599999999999E-4</v>
      </c>
      <c r="F1237" s="6" t="s">
        <v>233</v>
      </c>
      <c r="G1237" s="6" t="s">
        <v>234</v>
      </c>
      <c r="H1237" s="6">
        <v>3</v>
      </c>
    </row>
    <row r="1238" spans="1:8" ht="30" x14ac:dyDescent="0.25">
      <c r="A1238" s="17" t="s">
        <v>1104</v>
      </c>
      <c r="B1238" s="17" t="s">
        <v>1104</v>
      </c>
      <c r="C1238" s="17" t="s">
        <v>465</v>
      </c>
      <c r="D1238" s="17" t="s">
        <v>466</v>
      </c>
      <c r="E1238" s="17">
        <v>2.2128299999999999E-4</v>
      </c>
      <c r="F1238" s="6" t="s">
        <v>233</v>
      </c>
      <c r="G1238" s="6" t="s">
        <v>234</v>
      </c>
      <c r="H1238" s="6">
        <v>3</v>
      </c>
    </row>
    <row r="1239" spans="1:8" ht="30" x14ac:dyDescent="0.25">
      <c r="A1239" s="17" t="s">
        <v>1108</v>
      </c>
      <c r="B1239" s="17" t="s">
        <v>1108</v>
      </c>
      <c r="C1239" s="17" t="s">
        <v>346</v>
      </c>
      <c r="D1239" s="17" t="s">
        <v>347</v>
      </c>
      <c r="E1239" s="17">
        <v>2.10657E-4</v>
      </c>
      <c r="F1239" s="6" t="s">
        <v>233</v>
      </c>
      <c r="G1239" s="6" t="s">
        <v>234</v>
      </c>
      <c r="H1239" s="6">
        <v>3</v>
      </c>
    </row>
    <row r="1240" spans="1:8" ht="30" x14ac:dyDescent="0.25">
      <c r="A1240" s="17" t="s">
        <v>1095</v>
      </c>
      <c r="B1240" s="17" t="s">
        <v>1095</v>
      </c>
      <c r="C1240" s="17" t="s">
        <v>346</v>
      </c>
      <c r="D1240" s="17" t="s">
        <v>347</v>
      </c>
      <c r="E1240" s="17">
        <v>2.10657E-4</v>
      </c>
      <c r="F1240" s="6" t="s">
        <v>233</v>
      </c>
      <c r="G1240" s="6" t="s">
        <v>234</v>
      </c>
      <c r="H1240" s="6">
        <v>3</v>
      </c>
    </row>
    <row r="1241" spans="1:8" ht="30" x14ac:dyDescent="0.25">
      <c r="A1241" s="17" t="s">
        <v>1111</v>
      </c>
      <c r="B1241" s="17" t="s">
        <v>1111</v>
      </c>
      <c r="C1241" s="17" t="s">
        <v>346</v>
      </c>
      <c r="D1241" s="17" t="s">
        <v>347</v>
      </c>
      <c r="E1241" s="17">
        <v>2.10657E-4</v>
      </c>
      <c r="F1241" s="6" t="s">
        <v>233</v>
      </c>
      <c r="G1241" s="6" t="s">
        <v>234</v>
      </c>
      <c r="H1241" s="6">
        <v>3</v>
      </c>
    </row>
    <row r="1242" spans="1:8" ht="30" x14ac:dyDescent="0.25">
      <c r="A1242" s="17" t="s">
        <v>1094</v>
      </c>
      <c r="B1242" s="17" t="s">
        <v>1094</v>
      </c>
      <c r="C1242" s="17" t="s">
        <v>346</v>
      </c>
      <c r="D1242" s="17" t="s">
        <v>347</v>
      </c>
      <c r="E1242" s="17">
        <v>2.10657E-4</v>
      </c>
      <c r="F1242" s="6" t="s">
        <v>233</v>
      </c>
      <c r="G1242" s="6" t="s">
        <v>234</v>
      </c>
      <c r="H1242" s="6">
        <v>3</v>
      </c>
    </row>
    <row r="1243" spans="1:8" ht="30" x14ac:dyDescent="0.25">
      <c r="A1243" s="17" t="s">
        <v>1467</v>
      </c>
      <c r="B1243" s="17" t="s">
        <v>1467</v>
      </c>
      <c r="C1243" s="17" t="s">
        <v>346</v>
      </c>
      <c r="D1243" s="17" t="s">
        <v>347</v>
      </c>
      <c r="E1243" s="17">
        <v>2.10657E-4</v>
      </c>
      <c r="F1243" s="6" t="s">
        <v>233</v>
      </c>
      <c r="G1243" s="6" t="s">
        <v>234</v>
      </c>
      <c r="H1243" s="6">
        <v>3</v>
      </c>
    </row>
    <row r="1244" spans="1:8" ht="30" x14ac:dyDescent="0.25">
      <c r="A1244" s="17" t="s">
        <v>1468</v>
      </c>
      <c r="B1244" s="17" t="s">
        <v>1468</v>
      </c>
      <c r="C1244" s="17" t="s">
        <v>407</v>
      </c>
      <c r="D1244" s="17" t="s">
        <v>408</v>
      </c>
      <c r="E1244" s="17">
        <v>1.6713599999999999E-4</v>
      </c>
      <c r="F1244" s="6" t="s">
        <v>233</v>
      </c>
      <c r="G1244" s="6" t="s">
        <v>234</v>
      </c>
      <c r="H1244" s="6">
        <v>3</v>
      </c>
    </row>
    <row r="1245" spans="1:8" ht="30" x14ac:dyDescent="0.25">
      <c r="A1245" s="17" t="s">
        <v>1469</v>
      </c>
      <c r="B1245" s="17" t="s">
        <v>1469</v>
      </c>
      <c r="C1245" s="17" t="s">
        <v>407</v>
      </c>
      <c r="D1245" s="17" t="s">
        <v>408</v>
      </c>
      <c r="E1245" s="17">
        <v>1.6713599999999999E-4</v>
      </c>
      <c r="F1245" s="6" t="s">
        <v>233</v>
      </c>
      <c r="G1245" s="6" t="s">
        <v>234</v>
      </c>
      <c r="H1245" s="6">
        <v>3</v>
      </c>
    </row>
    <row r="1246" spans="1:8" ht="30" x14ac:dyDescent="0.25">
      <c r="A1246" s="17" t="s">
        <v>1470</v>
      </c>
      <c r="B1246" s="17" t="s">
        <v>1470</v>
      </c>
      <c r="C1246" s="17" t="s">
        <v>346</v>
      </c>
      <c r="D1246" s="17" t="s">
        <v>347</v>
      </c>
      <c r="E1246" s="17">
        <v>2.10657E-4</v>
      </c>
      <c r="F1246" s="6" t="s">
        <v>233</v>
      </c>
      <c r="G1246" s="6" t="s">
        <v>234</v>
      </c>
      <c r="H1246" s="6">
        <v>3</v>
      </c>
    </row>
    <row r="1247" spans="1:8" ht="30" x14ac:dyDescent="0.25">
      <c r="A1247" s="17" t="s">
        <v>1471</v>
      </c>
      <c r="B1247" s="17" t="s">
        <v>1471</v>
      </c>
      <c r="C1247" s="17" t="s">
        <v>1330</v>
      </c>
      <c r="D1247" s="17" t="s">
        <v>1331</v>
      </c>
      <c r="E1247" s="17">
        <v>2.4606500000000001E-4</v>
      </c>
      <c r="F1247" s="6" t="s">
        <v>233</v>
      </c>
      <c r="G1247" s="6" t="s">
        <v>234</v>
      </c>
      <c r="H1247" s="6">
        <v>3</v>
      </c>
    </row>
    <row r="1248" spans="1:8" ht="30" x14ac:dyDescent="0.25">
      <c r="A1248" s="17" t="s">
        <v>1472</v>
      </c>
      <c r="B1248" s="17" t="s">
        <v>1472</v>
      </c>
      <c r="C1248" s="17" t="s">
        <v>1330</v>
      </c>
      <c r="D1248" s="17" t="s">
        <v>1331</v>
      </c>
      <c r="E1248" s="17">
        <v>2.4606500000000001E-4</v>
      </c>
      <c r="F1248" s="6" t="s">
        <v>233</v>
      </c>
      <c r="G1248" s="6" t="s">
        <v>234</v>
      </c>
      <c r="H1248" s="6">
        <v>3</v>
      </c>
    </row>
    <row r="1249" spans="1:8" ht="30" x14ac:dyDescent="0.25">
      <c r="A1249" s="17" t="s">
        <v>1473</v>
      </c>
      <c r="B1249" s="17" t="s">
        <v>1473</v>
      </c>
      <c r="C1249" s="17" t="s">
        <v>1308</v>
      </c>
      <c r="D1249" s="17" t="s">
        <v>1309</v>
      </c>
      <c r="E1249" s="17">
        <v>2.00426E-4</v>
      </c>
      <c r="F1249" s="6" t="s">
        <v>233</v>
      </c>
      <c r="G1249" s="6" t="s">
        <v>234</v>
      </c>
      <c r="H1249" s="6">
        <v>3</v>
      </c>
    </row>
    <row r="1250" spans="1:8" ht="30" x14ac:dyDescent="0.25">
      <c r="A1250" s="17" t="s">
        <v>1474</v>
      </c>
      <c r="B1250" s="17" t="s">
        <v>1474</v>
      </c>
      <c r="C1250" s="17" t="s">
        <v>407</v>
      </c>
      <c r="D1250" s="17" t="s">
        <v>408</v>
      </c>
      <c r="E1250" s="17">
        <v>1.6713599999999999E-4</v>
      </c>
      <c r="F1250" s="6" t="s">
        <v>233</v>
      </c>
      <c r="G1250" s="6" t="s">
        <v>234</v>
      </c>
      <c r="H1250" s="6">
        <v>3</v>
      </c>
    </row>
    <row r="1251" spans="1:8" ht="30" x14ac:dyDescent="0.25">
      <c r="A1251" s="17" t="s">
        <v>1475</v>
      </c>
      <c r="B1251" s="17" t="s">
        <v>1475</v>
      </c>
      <c r="C1251" s="17" t="s">
        <v>346</v>
      </c>
      <c r="D1251" s="17" t="s">
        <v>347</v>
      </c>
      <c r="E1251" s="17">
        <v>2.10657E-4</v>
      </c>
      <c r="F1251" s="6" t="s">
        <v>233</v>
      </c>
      <c r="G1251" s="6" t="s">
        <v>234</v>
      </c>
      <c r="H1251" s="6">
        <v>3</v>
      </c>
    </row>
    <row r="1252" spans="1:8" ht="30" x14ac:dyDescent="0.25">
      <c r="A1252" s="17" t="s">
        <v>3446</v>
      </c>
      <c r="B1252" s="17" t="s">
        <v>3446</v>
      </c>
      <c r="C1252" s="17" t="s">
        <v>271</v>
      </c>
      <c r="D1252" s="17" t="s">
        <v>269</v>
      </c>
      <c r="E1252" s="17">
        <v>5.2359699999999999E-4</v>
      </c>
      <c r="F1252" s="6" t="s">
        <v>233</v>
      </c>
      <c r="G1252" s="6" t="s">
        <v>234</v>
      </c>
      <c r="H1252" s="6">
        <v>3</v>
      </c>
    </row>
    <row r="1253" spans="1:8" ht="30" x14ac:dyDescent="0.25">
      <c r="A1253" s="17" t="s">
        <v>3447</v>
      </c>
      <c r="B1253" s="17" t="s">
        <v>3447</v>
      </c>
      <c r="C1253" s="17" t="s">
        <v>743</v>
      </c>
      <c r="D1253" s="17" t="s">
        <v>744</v>
      </c>
      <c r="E1253" s="17">
        <v>3.813E-4</v>
      </c>
      <c r="F1253" s="6" t="s">
        <v>233</v>
      </c>
      <c r="G1253" s="6" t="s">
        <v>234</v>
      </c>
      <c r="H1253" s="6">
        <v>3</v>
      </c>
    </row>
    <row r="1254" spans="1:8" ht="30" x14ac:dyDescent="0.25">
      <c r="A1254" s="17" t="s">
        <v>3448</v>
      </c>
      <c r="B1254" s="17" t="s">
        <v>3448</v>
      </c>
      <c r="C1254" s="17" t="s">
        <v>313</v>
      </c>
      <c r="D1254" s="17" t="s">
        <v>374</v>
      </c>
      <c r="E1254" s="17">
        <v>6.29E-4</v>
      </c>
      <c r="F1254" s="6" t="s">
        <v>233</v>
      </c>
      <c r="G1254" s="6" t="s">
        <v>234</v>
      </c>
      <c r="H1254" s="6">
        <v>3</v>
      </c>
    </row>
    <row r="1255" spans="1:8" ht="30" x14ac:dyDescent="0.25">
      <c r="A1255" s="17" t="s">
        <v>3449</v>
      </c>
      <c r="B1255" s="17" t="s">
        <v>3449</v>
      </c>
      <c r="C1255" s="17" t="s">
        <v>346</v>
      </c>
      <c r="D1255" s="17" t="s">
        <v>347</v>
      </c>
      <c r="E1255" s="17">
        <v>2.10657E-4</v>
      </c>
      <c r="F1255" s="6" t="s">
        <v>233</v>
      </c>
      <c r="G1255" s="6" t="s">
        <v>234</v>
      </c>
      <c r="H1255" s="6">
        <v>3</v>
      </c>
    </row>
    <row r="1256" spans="1:8" ht="30" x14ac:dyDescent="0.25">
      <c r="A1256" s="17" t="s">
        <v>3450</v>
      </c>
      <c r="B1256" s="17" t="s">
        <v>3450</v>
      </c>
      <c r="C1256" s="17" t="s">
        <v>346</v>
      </c>
      <c r="D1256" s="17" t="s">
        <v>347</v>
      </c>
      <c r="E1256" s="17">
        <v>2.10657E-4</v>
      </c>
      <c r="F1256" s="6" t="s">
        <v>233</v>
      </c>
      <c r="G1256" s="6" t="s">
        <v>234</v>
      </c>
      <c r="H1256" s="6">
        <v>3</v>
      </c>
    </row>
    <row r="1257" spans="1:8" ht="30" x14ac:dyDescent="0.25">
      <c r="A1257" s="17" t="s">
        <v>3451</v>
      </c>
      <c r="B1257" s="17" t="s">
        <v>3451</v>
      </c>
      <c r="C1257" s="17" t="s">
        <v>346</v>
      </c>
      <c r="D1257" s="17" t="s">
        <v>347</v>
      </c>
      <c r="E1257" s="17">
        <v>2.10657E-4</v>
      </c>
      <c r="F1257" s="6" t="s">
        <v>233</v>
      </c>
      <c r="G1257" s="6" t="s">
        <v>234</v>
      </c>
      <c r="H1257" s="6">
        <v>3</v>
      </c>
    </row>
    <row r="1258" spans="1:8" ht="30" x14ac:dyDescent="0.25">
      <c r="A1258" s="17" t="s">
        <v>3452</v>
      </c>
      <c r="B1258" s="17" t="s">
        <v>3452</v>
      </c>
      <c r="C1258" s="17" t="s">
        <v>346</v>
      </c>
      <c r="D1258" s="17" t="s">
        <v>347</v>
      </c>
      <c r="E1258" s="17">
        <v>2.10657E-4</v>
      </c>
      <c r="F1258" s="6" t="s">
        <v>233</v>
      </c>
      <c r="G1258" s="6" t="s">
        <v>234</v>
      </c>
      <c r="H1258" s="6">
        <v>3</v>
      </c>
    </row>
    <row r="1259" spans="1:8" ht="30" x14ac:dyDescent="0.25">
      <c r="A1259" s="17" t="s">
        <v>3453</v>
      </c>
      <c r="B1259" s="17" t="s">
        <v>3453</v>
      </c>
      <c r="C1259" s="17" t="s">
        <v>346</v>
      </c>
      <c r="D1259" s="17" t="s">
        <v>347</v>
      </c>
      <c r="E1259" s="17">
        <v>2.10657E-4</v>
      </c>
      <c r="F1259" s="6" t="s">
        <v>233</v>
      </c>
      <c r="G1259" s="6" t="s">
        <v>234</v>
      </c>
      <c r="H1259" s="6">
        <v>3</v>
      </c>
    </row>
    <row r="1260" spans="1:8" ht="30" x14ac:dyDescent="0.25">
      <c r="A1260" s="17" t="s">
        <v>3454</v>
      </c>
      <c r="B1260" s="17" t="s">
        <v>3454</v>
      </c>
      <c r="C1260" s="17" t="s">
        <v>262</v>
      </c>
      <c r="D1260" s="17" t="s">
        <v>254</v>
      </c>
      <c r="E1260" s="17">
        <v>6.7100000000000005E-4</v>
      </c>
      <c r="F1260" s="6" t="s">
        <v>233</v>
      </c>
      <c r="G1260" s="6" t="s">
        <v>234</v>
      </c>
      <c r="H1260" s="6">
        <v>3</v>
      </c>
    </row>
    <row r="1261" spans="1:8" ht="30" x14ac:dyDescent="0.25">
      <c r="A1261" s="17" t="s">
        <v>3455</v>
      </c>
      <c r="B1261" s="17" t="s">
        <v>3455</v>
      </c>
      <c r="C1261" s="17" t="s">
        <v>265</v>
      </c>
      <c r="D1261" s="17" t="s">
        <v>275</v>
      </c>
      <c r="E1261" s="6">
        <v>8.0400000000000003E-4</v>
      </c>
      <c r="F1261" s="6" t="s">
        <v>233</v>
      </c>
      <c r="G1261" s="6" t="s">
        <v>234</v>
      </c>
      <c r="H1261" s="6">
        <v>3</v>
      </c>
    </row>
    <row r="1262" spans="1:8" ht="30" x14ac:dyDescent="0.25">
      <c r="A1262" s="17" t="s">
        <v>3632</v>
      </c>
      <c r="B1262" s="17" t="s">
        <v>3632</v>
      </c>
      <c r="C1262" s="17" t="s">
        <v>271</v>
      </c>
      <c r="D1262" s="17" t="s">
        <v>269</v>
      </c>
      <c r="E1262" s="17">
        <v>5.2359699999999999E-4</v>
      </c>
      <c r="F1262" s="6" t="s">
        <v>233</v>
      </c>
      <c r="G1262" s="6" t="s">
        <v>234</v>
      </c>
      <c r="H1262" s="6">
        <v>3</v>
      </c>
    </row>
    <row r="1263" spans="1:8" ht="30" x14ac:dyDescent="0.25">
      <c r="A1263" s="17" t="s">
        <v>3633</v>
      </c>
      <c r="B1263" s="17" t="s">
        <v>3633</v>
      </c>
      <c r="C1263" s="17" t="s">
        <v>271</v>
      </c>
      <c r="D1263" s="17" t="s">
        <v>269</v>
      </c>
      <c r="E1263" s="17">
        <v>5.2359699999999999E-4</v>
      </c>
      <c r="F1263" s="6" t="s">
        <v>233</v>
      </c>
      <c r="G1263" s="6" t="s">
        <v>234</v>
      </c>
      <c r="H1263" s="6">
        <v>3</v>
      </c>
    </row>
    <row r="1264" spans="1:8" ht="30" x14ac:dyDescent="0.25">
      <c r="A1264" s="17" t="s">
        <v>3634</v>
      </c>
      <c r="B1264" s="17" t="s">
        <v>3634</v>
      </c>
      <c r="C1264" s="17" t="s">
        <v>271</v>
      </c>
      <c r="D1264" s="17" t="s">
        <v>269</v>
      </c>
      <c r="E1264" s="17">
        <v>5.2359699999999999E-4</v>
      </c>
      <c r="F1264" s="6" t="s">
        <v>233</v>
      </c>
      <c r="G1264" s="6" t="s">
        <v>234</v>
      </c>
      <c r="H1264" s="6">
        <v>3</v>
      </c>
    </row>
    <row r="1265" spans="1:8" ht="30" x14ac:dyDescent="0.25">
      <c r="A1265" s="17" t="s">
        <v>3635</v>
      </c>
      <c r="B1265" s="17" t="s">
        <v>3635</v>
      </c>
      <c r="C1265" s="17" t="s">
        <v>271</v>
      </c>
      <c r="D1265" s="17" t="s">
        <v>269</v>
      </c>
      <c r="E1265" s="17">
        <v>5.2359699999999999E-4</v>
      </c>
      <c r="F1265" s="6" t="s">
        <v>233</v>
      </c>
      <c r="G1265" s="6" t="s">
        <v>234</v>
      </c>
      <c r="H1265" s="6">
        <v>3</v>
      </c>
    </row>
    <row r="1266" spans="1:8" ht="30" x14ac:dyDescent="0.25">
      <c r="A1266" s="17" t="s">
        <v>3636</v>
      </c>
      <c r="B1266" s="17" t="s">
        <v>3636</v>
      </c>
      <c r="C1266" s="17" t="s">
        <v>271</v>
      </c>
      <c r="D1266" s="17" t="s">
        <v>269</v>
      </c>
      <c r="E1266" s="17">
        <v>5.2359699999999999E-4</v>
      </c>
      <c r="F1266" s="6" t="s">
        <v>233</v>
      </c>
      <c r="G1266" s="6" t="s">
        <v>234</v>
      </c>
      <c r="H1266" s="6">
        <v>3</v>
      </c>
    </row>
    <row r="1267" spans="1:8" ht="30" x14ac:dyDescent="0.25">
      <c r="A1267" s="17" t="s">
        <v>3637</v>
      </c>
      <c r="B1267" s="17" t="s">
        <v>3637</v>
      </c>
      <c r="C1267" s="17" t="s">
        <v>271</v>
      </c>
      <c r="D1267" s="17" t="s">
        <v>269</v>
      </c>
      <c r="E1267" s="17">
        <v>5.2359699999999999E-4</v>
      </c>
      <c r="F1267" s="6" t="s">
        <v>233</v>
      </c>
      <c r="G1267" s="6" t="s">
        <v>234</v>
      </c>
      <c r="H1267" s="6">
        <v>3</v>
      </c>
    </row>
    <row r="1268" spans="1:8" ht="30" x14ac:dyDescent="0.25">
      <c r="A1268" s="17" t="s">
        <v>3638</v>
      </c>
      <c r="B1268" s="17" t="s">
        <v>3638</v>
      </c>
      <c r="C1268" s="17" t="s">
        <v>271</v>
      </c>
      <c r="D1268" s="17" t="s">
        <v>269</v>
      </c>
      <c r="E1268" s="17">
        <v>5.2359699999999999E-4</v>
      </c>
      <c r="F1268" s="6" t="s">
        <v>233</v>
      </c>
      <c r="G1268" s="6" t="s">
        <v>234</v>
      </c>
      <c r="H1268" s="6">
        <v>3</v>
      </c>
    </row>
    <row r="1269" spans="1:8" ht="30" x14ac:dyDescent="0.25">
      <c r="A1269" s="17" t="s">
        <v>3639</v>
      </c>
      <c r="B1269" s="17" t="s">
        <v>3639</v>
      </c>
      <c r="C1269" s="17" t="s">
        <v>271</v>
      </c>
      <c r="D1269" s="17" t="s">
        <v>269</v>
      </c>
      <c r="E1269" s="17">
        <v>5.2359699999999999E-4</v>
      </c>
      <c r="F1269" s="6" t="s">
        <v>233</v>
      </c>
      <c r="G1269" s="6" t="s">
        <v>234</v>
      </c>
      <c r="H1269" s="6">
        <v>3</v>
      </c>
    </row>
    <row r="1270" spans="1:8" ht="30" x14ac:dyDescent="0.25">
      <c r="A1270" s="17" t="s">
        <v>3640</v>
      </c>
      <c r="B1270" s="17" t="s">
        <v>3640</v>
      </c>
      <c r="C1270" s="17" t="s">
        <v>271</v>
      </c>
      <c r="D1270" s="17" t="s">
        <v>269</v>
      </c>
      <c r="E1270" s="17">
        <v>5.2359699999999999E-4</v>
      </c>
      <c r="F1270" s="6" t="s">
        <v>233</v>
      </c>
      <c r="G1270" s="6" t="s">
        <v>234</v>
      </c>
      <c r="H1270" s="6">
        <v>3</v>
      </c>
    </row>
    <row r="1271" spans="1:8" ht="30" x14ac:dyDescent="0.25">
      <c r="A1271" s="17" t="s">
        <v>3641</v>
      </c>
      <c r="B1271" s="17" t="s">
        <v>3641</v>
      </c>
      <c r="C1271" s="17" t="s">
        <v>271</v>
      </c>
      <c r="D1271" s="17" t="s">
        <v>269</v>
      </c>
      <c r="E1271" s="17">
        <v>5.2359699999999999E-4</v>
      </c>
      <c r="F1271" s="6" t="s">
        <v>233</v>
      </c>
      <c r="G1271" s="6" t="s">
        <v>234</v>
      </c>
      <c r="H1271" s="6">
        <v>3</v>
      </c>
    </row>
    <row r="1272" spans="1:8" ht="30" x14ac:dyDescent="0.25">
      <c r="A1272" s="17" t="s">
        <v>3642</v>
      </c>
      <c r="B1272" s="17" t="s">
        <v>3642</v>
      </c>
      <c r="C1272" s="17" t="s">
        <v>271</v>
      </c>
      <c r="D1272" s="17" t="s">
        <v>269</v>
      </c>
      <c r="E1272" s="17">
        <v>5.2359699999999999E-4</v>
      </c>
      <c r="F1272" s="6" t="s">
        <v>233</v>
      </c>
      <c r="G1272" s="6" t="s">
        <v>234</v>
      </c>
      <c r="H1272" s="6">
        <v>3</v>
      </c>
    </row>
    <row r="1273" spans="1:8" ht="30" x14ac:dyDescent="0.25">
      <c r="A1273" s="17" t="s">
        <v>3643</v>
      </c>
      <c r="B1273" s="17" t="s">
        <v>3643</v>
      </c>
      <c r="C1273" s="17" t="s">
        <v>271</v>
      </c>
      <c r="D1273" s="17" t="s">
        <v>269</v>
      </c>
      <c r="E1273" s="17">
        <v>5.2359699999999999E-4</v>
      </c>
      <c r="F1273" s="6" t="s">
        <v>233</v>
      </c>
      <c r="G1273" s="6" t="s">
        <v>234</v>
      </c>
      <c r="H1273" s="6">
        <v>3</v>
      </c>
    </row>
    <row r="1274" spans="1:8" ht="30" x14ac:dyDescent="0.25">
      <c r="A1274" s="17" t="s">
        <v>3644</v>
      </c>
      <c r="B1274" s="17" t="s">
        <v>3644</v>
      </c>
      <c r="C1274" s="17" t="s">
        <v>271</v>
      </c>
      <c r="D1274" s="17" t="s">
        <v>269</v>
      </c>
      <c r="E1274" s="17">
        <v>5.2359699999999999E-4</v>
      </c>
      <c r="F1274" s="6" t="s">
        <v>233</v>
      </c>
      <c r="G1274" s="6" t="s">
        <v>234</v>
      </c>
      <c r="H1274" s="6">
        <v>3</v>
      </c>
    </row>
    <row r="1275" spans="1:8" ht="30" x14ac:dyDescent="0.25">
      <c r="A1275" s="17" t="s">
        <v>3645</v>
      </c>
      <c r="B1275" s="17" t="s">
        <v>3645</v>
      </c>
      <c r="C1275" s="17" t="s">
        <v>271</v>
      </c>
      <c r="D1275" s="17" t="s">
        <v>269</v>
      </c>
      <c r="E1275" s="17">
        <v>5.2359699999999999E-4</v>
      </c>
      <c r="F1275" s="6" t="s">
        <v>233</v>
      </c>
      <c r="G1275" s="6" t="s">
        <v>234</v>
      </c>
      <c r="H1275" s="6">
        <v>3</v>
      </c>
    </row>
    <row r="1276" spans="1:8" ht="30" x14ac:dyDescent="0.25">
      <c r="A1276" s="17" t="s">
        <v>3646</v>
      </c>
      <c r="B1276" s="17" t="s">
        <v>3646</v>
      </c>
      <c r="C1276" s="17" t="s">
        <v>271</v>
      </c>
      <c r="D1276" s="17" t="s">
        <v>269</v>
      </c>
      <c r="E1276" s="17">
        <v>5.2359699999999999E-4</v>
      </c>
      <c r="F1276" s="6" t="s">
        <v>233</v>
      </c>
      <c r="G1276" s="6" t="s">
        <v>234</v>
      </c>
      <c r="H1276" s="6">
        <v>3</v>
      </c>
    </row>
    <row r="1277" spans="1:8" ht="45" x14ac:dyDescent="0.25">
      <c r="A1277" s="17" t="s">
        <v>3647</v>
      </c>
      <c r="B1277" s="17" t="s">
        <v>3647</v>
      </c>
      <c r="C1277" s="17" t="s">
        <v>271</v>
      </c>
      <c r="D1277" s="17" t="s">
        <v>269</v>
      </c>
      <c r="E1277" s="17">
        <v>5.2359699999999999E-4</v>
      </c>
      <c r="F1277" s="6" t="s">
        <v>233</v>
      </c>
      <c r="G1277" s="6" t="s">
        <v>234</v>
      </c>
      <c r="H1277" s="6">
        <v>3</v>
      </c>
    </row>
    <row r="1278" spans="1:8" ht="30" x14ac:dyDescent="0.25">
      <c r="A1278" s="17" t="s">
        <v>3648</v>
      </c>
      <c r="B1278" s="17" t="s">
        <v>3648</v>
      </c>
      <c r="C1278" s="17" t="s">
        <v>271</v>
      </c>
      <c r="D1278" s="17" t="s">
        <v>269</v>
      </c>
      <c r="E1278" s="17">
        <v>5.2359699999999999E-4</v>
      </c>
      <c r="F1278" s="6" t="s">
        <v>233</v>
      </c>
      <c r="G1278" s="6" t="s">
        <v>234</v>
      </c>
      <c r="H1278" s="6">
        <v>3</v>
      </c>
    </row>
    <row r="1279" spans="1:8" ht="30" x14ac:dyDescent="0.25">
      <c r="A1279" s="17" t="s">
        <v>3649</v>
      </c>
      <c r="B1279" s="17" t="s">
        <v>3649</v>
      </c>
      <c r="C1279" s="17" t="s">
        <v>271</v>
      </c>
      <c r="D1279" s="17" t="s">
        <v>269</v>
      </c>
      <c r="E1279" s="17">
        <v>5.2359699999999999E-4</v>
      </c>
      <c r="F1279" s="6" t="s">
        <v>233</v>
      </c>
      <c r="G1279" s="6" t="s">
        <v>234</v>
      </c>
      <c r="H1279" s="6">
        <v>3</v>
      </c>
    </row>
    <row r="1280" spans="1:8" ht="30" x14ac:dyDescent="0.25">
      <c r="A1280" s="17" t="s">
        <v>3650</v>
      </c>
      <c r="B1280" s="17" t="s">
        <v>3650</v>
      </c>
      <c r="C1280" s="17" t="s">
        <v>271</v>
      </c>
      <c r="D1280" s="17" t="s">
        <v>269</v>
      </c>
      <c r="E1280" s="17">
        <v>5.2359699999999999E-4</v>
      </c>
      <c r="F1280" s="6" t="s">
        <v>233</v>
      </c>
      <c r="G1280" s="6" t="s">
        <v>234</v>
      </c>
      <c r="H1280" s="6">
        <v>3</v>
      </c>
    </row>
    <row r="1281" spans="1:8" ht="30" x14ac:dyDescent="0.25">
      <c r="A1281" s="17" t="s">
        <v>3651</v>
      </c>
      <c r="B1281" s="17" t="s">
        <v>3651</v>
      </c>
      <c r="C1281" s="17" t="s">
        <v>271</v>
      </c>
      <c r="D1281" s="17" t="s">
        <v>269</v>
      </c>
      <c r="E1281" s="17">
        <v>5.2359699999999999E-4</v>
      </c>
      <c r="F1281" s="6" t="s">
        <v>233</v>
      </c>
      <c r="G1281" s="6" t="s">
        <v>234</v>
      </c>
      <c r="H1281" s="6">
        <v>3</v>
      </c>
    </row>
    <row r="1282" spans="1:8" ht="30" x14ac:dyDescent="0.25">
      <c r="A1282" s="17" t="s">
        <v>3652</v>
      </c>
      <c r="B1282" s="17" t="s">
        <v>3652</v>
      </c>
      <c r="C1282" s="17" t="s">
        <v>271</v>
      </c>
      <c r="D1282" s="17" t="s">
        <v>269</v>
      </c>
      <c r="E1282" s="17">
        <v>5.2359699999999999E-4</v>
      </c>
      <c r="F1282" s="6" t="s">
        <v>233</v>
      </c>
      <c r="G1282" s="6" t="s">
        <v>234</v>
      </c>
      <c r="H1282" s="6">
        <v>3</v>
      </c>
    </row>
    <row r="1283" spans="1:8" ht="30" x14ac:dyDescent="0.25">
      <c r="A1283" s="17" t="s">
        <v>3653</v>
      </c>
      <c r="B1283" s="17" t="s">
        <v>3653</v>
      </c>
      <c r="C1283" s="17" t="s">
        <v>271</v>
      </c>
      <c r="D1283" s="17" t="s">
        <v>269</v>
      </c>
      <c r="E1283" s="17">
        <v>5.2359699999999999E-4</v>
      </c>
      <c r="F1283" s="6" t="s">
        <v>233</v>
      </c>
      <c r="G1283" s="6" t="s">
        <v>234</v>
      </c>
      <c r="H1283" s="6">
        <v>3</v>
      </c>
    </row>
    <row r="1284" spans="1:8" ht="30" x14ac:dyDescent="0.25">
      <c r="A1284" s="17" t="s">
        <v>3654</v>
      </c>
      <c r="B1284" s="17" t="s">
        <v>3654</v>
      </c>
      <c r="C1284" s="17" t="s">
        <v>271</v>
      </c>
      <c r="D1284" s="17" t="s">
        <v>269</v>
      </c>
      <c r="E1284" s="17">
        <v>5.2359699999999999E-4</v>
      </c>
      <c r="F1284" s="6" t="s">
        <v>233</v>
      </c>
      <c r="G1284" s="6" t="s">
        <v>234</v>
      </c>
      <c r="H1284" s="6">
        <v>3</v>
      </c>
    </row>
    <row r="1285" spans="1:8" ht="45" x14ac:dyDescent="0.25">
      <c r="A1285" s="17" t="s">
        <v>3655</v>
      </c>
      <c r="B1285" s="17" t="s">
        <v>3655</v>
      </c>
      <c r="C1285" s="17" t="s">
        <v>271</v>
      </c>
      <c r="D1285" s="17" t="s">
        <v>269</v>
      </c>
      <c r="E1285" s="17">
        <v>5.2359699999999999E-4</v>
      </c>
      <c r="F1285" s="6" t="s">
        <v>233</v>
      </c>
      <c r="G1285" s="6" t="s">
        <v>234</v>
      </c>
      <c r="H1285" s="6">
        <v>3</v>
      </c>
    </row>
    <row r="1286" spans="1:8" ht="45" x14ac:dyDescent="0.25">
      <c r="A1286" s="17" t="s">
        <v>3656</v>
      </c>
      <c r="B1286" s="17" t="s">
        <v>3656</v>
      </c>
      <c r="C1286" s="17" t="s">
        <v>271</v>
      </c>
      <c r="D1286" s="17" t="s">
        <v>269</v>
      </c>
      <c r="E1286" s="17">
        <v>5.2359699999999999E-4</v>
      </c>
      <c r="F1286" s="6" t="s">
        <v>233</v>
      </c>
      <c r="G1286" s="6" t="s">
        <v>234</v>
      </c>
      <c r="H1286" s="6">
        <v>3</v>
      </c>
    </row>
    <row r="1287" spans="1:8" ht="45" x14ac:dyDescent="0.25">
      <c r="A1287" s="17" t="s">
        <v>3657</v>
      </c>
      <c r="B1287" s="17" t="s">
        <v>3657</v>
      </c>
      <c r="C1287" s="17" t="s">
        <v>271</v>
      </c>
      <c r="D1287" s="17" t="s">
        <v>269</v>
      </c>
      <c r="E1287" s="17">
        <v>5.2359699999999999E-4</v>
      </c>
      <c r="F1287" s="6" t="s">
        <v>233</v>
      </c>
      <c r="G1287" s="6" t="s">
        <v>234</v>
      </c>
      <c r="H1287" s="6">
        <v>3</v>
      </c>
    </row>
    <row r="1288" spans="1:8" ht="30" x14ac:dyDescent="0.25">
      <c r="A1288" s="17" t="s">
        <v>3658</v>
      </c>
      <c r="B1288" s="17" t="s">
        <v>3658</v>
      </c>
      <c r="C1288" s="17" t="s">
        <v>271</v>
      </c>
      <c r="D1288" s="17" t="s">
        <v>269</v>
      </c>
      <c r="E1288" s="17">
        <v>5.2359699999999999E-4</v>
      </c>
      <c r="F1288" s="6" t="s">
        <v>233</v>
      </c>
      <c r="G1288" s="6" t="s">
        <v>234</v>
      </c>
      <c r="H1288" s="6">
        <v>3</v>
      </c>
    </row>
    <row r="1289" spans="1:8" ht="30" x14ac:dyDescent="0.25">
      <c r="A1289" s="17" t="s">
        <v>3659</v>
      </c>
      <c r="B1289" s="17" t="s">
        <v>3659</v>
      </c>
      <c r="C1289" s="17" t="s">
        <v>271</v>
      </c>
      <c r="D1289" s="17" t="s">
        <v>269</v>
      </c>
      <c r="E1289" s="17">
        <v>5.2359699999999999E-4</v>
      </c>
      <c r="F1289" s="6" t="s">
        <v>233</v>
      </c>
      <c r="G1289" s="6" t="s">
        <v>234</v>
      </c>
      <c r="H1289" s="6">
        <v>3</v>
      </c>
    </row>
    <row r="1290" spans="1:8" ht="30" x14ac:dyDescent="0.25">
      <c r="A1290" s="17" t="s">
        <v>3660</v>
      </c>
      <c r="B1290" s="17" t="s">
        <v>3660</v>
      </c>
      <c r="C1290" s="17" t="s">
        <v>271</v>
      </c>
      <c r="D1290" s="17" t="s">
        <v>269</v>
      </c>
      <c r="E1290" s="17">
        <v>5.2359699999999999E-4</v>
      </c>
      <c r="F1290" s="6" t="s">
        <v>233</v>
      </c>
      <c r="G1290" s="6" t="s">
        <v>234</v>
      </c>
      <c r="H1290" s="6">
        <v>3</v>
      </c>
    </row>
    <row r="1291" spans="1:8" ht="30" x14ac:dyDescent="0.25">
      <c r="A1291" s="17" t="s">
        <v>3661</v>
      </c>
      <c r="B1291" s="17" t="s">
        <v>3661</v>
      </c>
      <c r="C1291" s="17" t="s">
        <v>271</v>
      </c>
      <c r="D1291" s="17" t="s">
        <v>269</v>
      </c>
      <c r="E1291" s="17">
        <v>5.2359699999999999E-4</v>
      </c>
      <c r="F1291" s="6" t="s">
        <v>233</v>
      </c>
      <c r="G1291" s="6" t="s">
        <v>234</v>
      </c>
      <c r="H1291" s="6">
        <v>3</v>
      </c>
    </row>
    <row r="1292" spans="1:8" ht="30" x14ac:dyDescent="0.25">
      <c r="A1292" s="17" t="s">
        <v>3662</v>
      </c>
      <c r="B1292" s="17" t="s">
        <v>3662</v>
      </c>
      <c r="C1292" s="17" t="s">
        <v>271</v>
      </c>
      <c r="D1292" s="17" t="s">
        <v>269</v>
      </c>
      <c r="E1292" s="17">
        <v>5.2359699999999999E-4</v>
      </c>
      <c r="F1292" s="6" t="s">
        <v>233</v>
      </c>
      <c r="G1292" s="6" t="s">
        <v>234</v>
      </c>
      <c r="H1292" s="6">
        <v>3</v>
      </c>
    </row>
    <row r="1293" spans="1:8" ht="30" x14ac:dyDescent="0.25">
      <c r="A1293" s="17" t="s">
        <v>3663</v>
      </c>
      <c r="B1293" s="17" t="s">
        <v>3663</v>
      </c>
      <c r="C1293" s="17" t="s">
        <v>271</v>
      </c>
      <c r="D1293" s="17" t="s">
        <v>269</v>
      </c>
      <c r="E1293" s="17">
        <v>5.2359699999999999E-4</v>
      </c>
      <c r="F1293" s="6" t="s">
        <v>233</v>
      </c>
      <c r="G1293" s="6" t="s">
        <v>234</v>
      </c>
      <c r="H1293" s="6">
        <v>3</v>
      </c>
    </row>
    <row r="1294" spans="1:8" ht="30" x14ac:dyDescent="0.25">
      <c r="A1294" s="17" t="s">
        <v>3664</v>
      </c>
      <c r="B1294" s="17" t="s">
        <v>3664</v>
      </c>
      <c r="C1294" s="17" t="s">
        <v>271</v>
      </c>
      <c r="D1294" s="17" t="s">
        <v>269</v>
      </c>
      <c r="E1294" s="17">
        <v>5.2359699999999999E-4</v>
      </c>
      <c r="F1294" s="6" t="s">
        <v>233</v>
      </c>
      <c r="G1294" s="6" t="s">
        <v>234</v>
      </c>
      <c r="H1294" s="6">
        <v>3</v>
      </c>
    </row>
    <row r="1295" spans="1:8" ht="30" x14ac:dyDescent="0.25">
      <c r="A1295" s="17" t="s">
        <v>3665</v>
      </c>
      <c r="B1295" s="17" t="s">
        <v>3665</v>
      </c>
      <c r="C1295" s="17" t="s">
        <v>271</v>
      </c>
      <c r="D1295" s="17" t="s">
        <v>269</v>
      </c>
      <c r="E1295" s="17">
        <v>5.2359699999999999E-4</v>
      </c>
      <c r="F1295" s="6" t="s">
        <v>233</v>
      </c>
      <c r="G1295" s="6" t="s">
        <v>234</v>
      </c>
      <c r="H1295" s="6">
        <v>3</v>
      </c>
    </row>
    <row r="1296" spans="1:8" ht="30" x14ac:dyDescent="0.25">
      <c r="A1296" s="17" t="s">
        <v>3666</v>
      </c>
      <c r="B1296" s="17" t="s">
        <v>3666</v>
      </c>
      <c r="C1296" s="17" t="s">
        <v>271</v>
      </c>
      <c r="D1296" s="17" t="s">
        <v>269</v>
      </c>
      <c r="E1296" s="17">
        <v>5.2359699999999999E-4</v>
      </c>
      <c r="F1296" s="6" t="s">
        <v>233</v>
      </c>
      <c r="G1296" s="6" t="s">
        <v>234</v>
      </c>
      <c r="H1296" s="6">
        <v>3</v>
      </c>
    </row>
    <row r="1297" spans="1:8" ht="30" x14ac:dyDescent="0.25">
      <c r="A1297" s="17" t="s">
        <v>3667</v>
      </c>
      <c r="B1297" s="17" t="s">
        <v>3667</v>
      </c>
      <c r="C1297" s="17" t="s">
        <v>271</v>
      </c>
      <c r="D1297" s="17" t="s">
        <v>269</v>
      </c>
      <c r="E1297" s="17">
        <v>5.2359699999999999E-4</v>
      </c>
      <c r="F1297" s="6" t="s">
        <v>233</v>
      </c>
      <c r="G1297" s="6" t="s">
        <v>234</v>
      </c>
      <c r="H1297" s="6">
        <v>3</v>
      </c>
    </row>
    <row r="1298" spans="1:8" ht="30" x14ac:dyDescent="0.25">
      <c r="A1298" s="17" t="s">
        <v>3668</v>
      </c>
      <c r="B1298" s="17" t="s">
        <v>3668</v>
      </c>
      <c r="C1298" s="17" t="s">
        <v>271</v>
      </c>
      <c r="D1298" s="17" t="s">
        <v>269</v>
      </c>
      <c r="E1298" s="17">
        <v>5.2359699999999999E-4</v>
      </c>
      <c r="F1298" s="6" t="s">
        <v>233</v>
      </c>
      <c r="G1298" s="6" t="s">
        <v>234</v>
      </c>
      <c r="H1298" s="6">
        <v>3</v>
      </c>
    </row>
    <row r="1299" spans="1:8" ht="30" x14ac:dyDescent="0.25">
      <c r="A1299" s="17" t="s">
        <v>3652</v>
      </c>
      <c r="B1299" s="17" t="s">
        <v>3652</v>
      </c>
      <c r="C1299" s="17" t="s">
        <v>271</v>
      </c>
      <c r="D1299" s="17" t="s">
        <v>269</v>
      </c>
      <c r="E1299" s="17">
        <v>5.2359699999999999E-4</v>
      </c>
      <c r="F1299" s="6" t="s">
        <v>233</v>
      </c>
      <c r="G1299" s="6" t="s">
        <v>234</v>
      </c>
      <c r="H1299" s="6">
        <v>3</v>
      </c>
    </row>
    <row r="1300" spans="1:8" ht="30" x14ac:dyDescent="0.25">
      <c r="A1300" s="17" t="s">
        <v>3669</v>
      </c>
      <c r="B1300" s="17" t="s">
        <v>3669</v>
      </c>
      <c r="C1300" s="17" t="s">
        <v>271</v>
      </c>
      <c r="D1300" s="17" t="s">
        <v>269</v>
      </c>
      <c r="E1300" s="17">
        <v>5.2359699999999999E-4</v>
      </c>
      <c r="F1300" s="6" t="s">
        <v>233</v>
      </c>
      <c r="G1300" s="6" t="s">
        <v>234</v>
      </c>
      <c r="H1300" s="6">
        <v>3</v>
      </c>
    </row>
    <row r="1301" spans="1:8" ht="45" x14ac:dyDescent="0.25">
      <c r="A1301" s="17" t="s">
        <v>3670</v>
      </c>
      <c r="B1301" s="17" t="s">
        <v>3670</v>
      </c>
      <c r="C1301" s="17" t="s">
        <v>271</v>
      </c>
      <c r="D1301" s="17" t="s">
        <v>269</v>
      </c>
      <c r="E1301" s="17">
        <v>5.2359699999999999E-4</v>
      </c>
      <c r="F1301" s="6" t="s">
        <v>233</v>
      </c>
      <c r="G1301" s="6" t="s">
        <v>234</v>
      </c>
      <c r="H1301" s="6">
        <v>3</v>
      </c>
    </row>
    <row r="1302" spans="1:8" ht="30" x14ac:dyDescent="0.25">
      <c r="A1302" s="17" t="s">
        <v>3671</v>
      </c>
      <c r="B1302" s="17" t="s">
        <v>3671</v>
      </c>
      <c r="C1302" s="17" t="s">
        <v>271</v>
      </c>
      <c r="D1302" s="17" t="s">
        <v>269</v>
      </c>
      <c r="E1302" s="17">
        <v>5.2359699999999999E-4</v>
      </c>
      <c r="F1302" s="6" t="s">
        <v>233</v>
      </c>
      <c r="G1302" s="6" t="s">
        <v>234</v>
      </c>
      <c r="H1302" s="6">
        <v>3</v>
      </c>
    </row>
    <row r="1303" spans="1:8" ht="30" x14ac:dyDescent="0.25">
      <c r="A1303" s="17" t="s">
        <v>3672</v>
      </c>
      <c r="B1303" s="17" t="s">
        <v>3672</v>
      </c>
      <c r="C1303" s="17" t="s">
        <v>271</v>
      </c>
      <c r="D1303" s="17" t="s">
        <v>269</v>
      </c>
      <c r="E1303" s="17">
        <v>5.2359699999999999E-4</v>
      </c>
      <c r="F1303" s="6" t="s">
        <v>233</v>
      </c>
      <c r="G1303" s="6" t="s">
        <v>234</v>
      </c>
      <c r="H1303" s="6">
        <v>3</v>
      </c>
    </row>
    <row r="1304" spans="1:8" ht="30" x14ac:dyDescent="0.25">
      <c r="A1304" s="17" t="s">
        <v>3673</v>
      </c>
      <c r="B1304" s="17" t="s">
        <v>3673</v>
      </c>
      <c r="C1304" s="17" t="s">
        <v>271</v>
      </c>
      <c r="D1304" s="17" t="s">
        <v>269</v>
      </c>
      <c r="E1304" s="17">
        <v>5.2359699999999999E-4</v>
      </c>
      <c r="F1304" s="6" t="s">
        <v>233</v>
      </c>
      <c r="G1304" s="6" t="s">
        <v>234</v>
      </c>
      <c r="H1304" s="6">
        <v>3</v>
      </c>
    </row>
    <row r="1305" spans="1:8" ht="30" x14ac:dyDescent="0.25">
      <c r="A1305" s="17" t="s">
        <v>3674</v>
      </c>
      <c r="B1305" s="17" t="s">
        <v>3674</v>
      </c>
      <c r="C1305" s="17" t="s">
        <v>271</v>
      </c>
      <c r="D1305" s="17" t="s">
        <v>269</v>
      </c>
      <c r="E1305" s="17">
        <v>5.2359699999999999E-4</v>
      </c>
      <c r="F1305" s="6" t="s">
        <v>233</v>
      </c>
      <c r="G1305" s="6" t="s">
        <v>234</v>
      </c>
      <c r="H1305" s="6">
        <v>3</v>
      </c>
    </row>
    <row r="1306" spans="1:8" ht="30" x14ac:dyDescent="0.25">
      <c r="A1306" s="17" t="s">
        <v>3675</v>
      </c>
      <c r="B1306" s="17" t="s">
        <v>3675</v>
      </c>
      <c r="C1306" s="17" t="s">
        <v>271</v>
      </c>
      <c r="D1306" s="17" t="s">
        <v>269</v>
      </c>
      <c r="E1306" s="17">
        <v>5.2359699999999999E-4</v>
      </c>
      <c r="F1306" s="6" t="s">
        <v>233</v>
      </c>
      <c r="G1306" s="6" t="s">
        <v>234</v>
      </c>
      <c r="H1306" s="6">
        <v>3</v>
      </c>
    </row>
    <row r="1307" spans="1:8" ht="30" x14ac:dyDescent="0.25">
      <c r="A1307" s="17" t="s">
        <v>3676</v>
      </c>
      <c r="B1307" s="17" t="s">
        <v>3676</v>
      </c>
      <c r="C1307" s="17" t="s">
        <v>271</v>
      </c>
      <c r="D1307" s="17" t="s">
        <v>269</v>
      </c>
      <c r="E1307" s="17">
        <v>5.2359699999999999E-4</v>
      </c>
      <c r="F1307" s="6" t="s">
        <v>233</v>
      </c>
      <c r="G1307" s="6" t="s">
        <v>234</v>
      </c>
      <c r="H1307" s="6">
        <v>3</v>
      </c>
    </row>
    <row r="1308" spans="1:8" ht="30" x14ac:dyDescent="0.25">
      <c r="A1308" s="17" t="s">
        <v>3677</v>
      </c>
      <c r="B1308" s="17" t="s">
        <v>3677</v>
      </c>
      <c r="C1308" s="17" t="s">
        <v>271</v>
      </c>
      <c r="D1308" s="17" t="s">
        <v>269</v>
      </c>
      <c r="E1308" s="17">
        <v>5.2359699999999999E-4</v>
      </c>
      <c r="F1308" s="6" t="s">
        <v>233</v>
      </c>
      <c r="G1308" s="6" t="s">
        <v>234</v>
      </c>
      <c r="H1308" s="6">
        <v>3</v>
      </c>
    </row>
    <row r="1309" spans="1:8" ht="45" x14ac:dyDescent="0.25">
      <c r="A1309" s="17" t="s">
        <v>3657</v>
      </c>
      <c r="B1309" s="17" t="s">
        <v>3657</v>
      </c>
      <c r="C1309" s="17" t="s">
        <v>271</v>
      </c>
      <c r="D1309" s="17" t="s">
        <v>269</v>
      </c>
      <c r="E1309" s="17">
        <v>5.2359699999999999E-4</v>
      </c>
      <c r="F1309" s="6" t="s">
        <v>233</v>
      </c>
      <c r="G1309" s="6" t="s">
        <v>234</v>
      </c>
      <c r="H1309" s="6">
        <v>3</v>
      </c>
    </row>
    <row r="1310" spans="1:8" ht="30" x14ac:dyDescent="0.25">
      <c r="A1310" s="17" t="s">
        <v>3678</v>
      </c>
      <c r="B1310" s="17" t="s">
        <v>3678</v>
      </c>
      <c r="C1310" s="17" t="s">
        <v>271</v>
      </c>
      <c r="D1310" s="17" t="s">
        <v>269</v>
      </c>
      <c r="E1310" s="17">
        <v>5.2359699999999999E-4</v>
      </c>
      <c r="F1310" s="6" t="s">
        <v>233</v>
      </c>
      <c r="G1310" s="6" t="s">
        <v>234</v>
      </c>
      <c r="H1310" s="6">
        <v>3</v>
      </c>
    </row>
    <row r="1311" spans="1:8" ht="30" x14ac:dyDescent="0.25">
      <c r="A1311" s="17" t="s">
        <v>3646</v>
      </c>
      <c r="B1311" s="17" t="s">
        <v>3646</v>
      </c>
      <c r="C1311" s="17" t="s">
        <v>271</v>
      </c>
      <c r="D1311" s="17" t="s">
        <v>269</v>
      </c>
      <c r="E1311" s="17">
        <v>5.2359699999999999E-4</v>
      </c>
      <c r="F1311" s="6" t="s">
        <v>233</v>
      </c>
      <c r="G1311" s="6" t="s">
        <v>234</v>
      </c>
      <c r="H1311" s="6">
        <v>3</v>
      </c>
    </row>
    <row r="1312" spans="1:8" ht="30" x14ac:dyDescent="0.25">
      <c r="A1312" s="17" t="s">
        <v>3679</v>
      </c>
      <c r="B1312" s="17" t="s">
        <v>3679</v>
      </c>
      <c r="C1312" s="17" t="s">
        <v>271</v>
      </c>
      <c r="D1312" s="17" t="s">
        <v>269</v>
      </c>
      <c r="E1312" s="17">
        <v>5.2359699999999999E-4</v>
      </c>
      <c r="F1312" s="6" t="s">
        <v>233</v>
      </c>
      <c r="G1312" s="6" t="s">
        <v>234</v>
      </c>
      <c r="H1312" s="6">
        <v>3</v>
      </c>
    </row>
    <row r="1313" spans="1:8" ht="30" x14ac:dyDescent="0.25">
      <c r="A1313" s="17" t="s">
        <v>3680</v>
      </c>
      <c r="B1313" s="17" t="s">
        <v>3680</v>
      </c>
      <c r="C1313" s="17" t="s">
        <v>271</v>
      </c>
      <c r="D1313" s="17" t="s">
        <v>269</v>
      </c>
      <c r="E1313" s="17">
        <v>5.2359699999999999E-4</v>
      </c>
      <c r="F1313" s="6" t="s">
        <v>233</v>
      </c>
      <c r="G1313" s="6" t="s">
        <v>234</v>
      </c>
      <c r="H1313" s="6">
        <v>3</v>
      </c>
    </row>
    <row r="1314" spans="1:8" ht="30" x14ac:dyDescent="0.25">
      <c r="A1314" s="17" t="s">
        <v>3681</v>
      </c>
      <c r="B1314" s="17" t="s">
        <v>3681</v>
      </c>
      <c r="C1314" s="17" t="s">
        <v>271</v>
      </c>
      <c r="D1314" s="17" t="s">
        <v>269</v>
      </c>
      <c r="E1314" s="17">
        <v>5.2359699999999999E-4</v>
      </c>
      <c r="F1314" s="6" t="s">
        <v>233</v>
      </c>
      <c r="G1314" s="6" t="s">
        <v>234</v>
      </c>
      <c r="H1314" s="6">
        <v>3</v>
      </c>
    </row>
    <row r="1315" spans="1:8" ht="30" x14ac:dyDescent="0.25">
      <c r="A1315" s="17" t="s">
        <v>3653</v>
      </c>
      <c r="B1315" s="17" t="s">
        <v>3653</v>
      </c>
      <c r="C1315" s="17" t="s">
        <v>271</v>
      </c>
      <c r="D1315" s="17" t="s">
        <v>269</v>
      </c>
      <c r="E1315" s="17">
        <v>5.2359699999999999E-4</v>
      </c>
      <c r="F1315" s="6" t="s">
        <v>233</v>
      </c>
      <c r="G1315" s="6" t="s">
        <v>234</v>
      </c>
      <c r="H1315" s="6">
        <v>3</v>
      </c>
    </row>
    <row r="1316" spans="1:8" ht="30" x14ac:dyDescent="0.25">
      <c r="A1316" s="17" t="s">
        <v>3654</v>
      </c>
      <c r="B1316" s="17" t="s">
        <v>3654</v>
      </c>
      <c r="C1316" s="17" t="s">
        <v>271</v>
      </c>
      <c r="D1316" s="17" t="s">
        <v>269</v>
      </c>
      <c r="E1316" s="17">
        <v>5.2359699999999999E-4</v>
      </c>
      <c r="F1316" s="6" t="s">
        <v>233</v>
      </c>
      <c r="G1316" s="6" t="s">
        <v>234</v>
      </c>
      <c r="H1316" s="6">
        <v>3</v>
      </c>
    </row>
    <row r="1317" spans="1:8" ht="30" x14ac:dyDescent="0.25">
      <c r="A1317" s="17" t="s">
        <v>3682</v>
      </c>
      <c r="B1317" s="17" t="s">
        <v>3682</v>
      </c>
      <c r="C1317" s="17" t="s">
        <v>271</v>
      </c>
      <c r="D1317" s="17" t="s">
        <v>269</v>
      </c>
      <c r="E1317" s="17">
        <v>5.2359699999999999E-4</v>
      </c>
      <c r="F1317" s="6" t="s">
        <v>233</v>
      </c>
      <c r="G1317" s="6" t="s">
        <v>234</v>
      </c>
      <c r="H1317" s="6">
        <v>3</v>
      </c>
    </row>
    <row r="1318" spans="1:8" ht="30" x14ac:dyDescent="0.25">
      <c r="A1318" s="17" t="s">
        <v>3683</v>
      </c>
      <c r="B1318" s="17" t="s">
        <v>3683</v>
      </c>
      <c r="C1318" s="17" t="s">
        <v>271</v>
      </c>
      <c r="D1318" s="17" t="s">
        <v>269</v>
      </c>
      <c r="E1318" s="17">
        <v>5.2359699999999999E-4</v>
      </c>
      <c r="F1318" s="6" t="s">
        <v>233</v>
      </c>
      <c r="G1318" s="6" t="s">
        <v>234</v>
      </c>
      <c r="H1318" s="6">
        <v>3</v>
      </c>
    </row>
    <row r="1319" spans="1:8" ht="30" x14ac:dyDescent="0.25">
      <c r="A1319" s="17" t="s">
        <v>3684</v>
      </c>
      <c r="B1319" s="17" t="s">
        <v>3684</v>
      </c>
      <c r="C1319" s="17" t="s">
        <v>271</v>
      </c>
      <c r="D1319" s="17" t="s">
        <v>269</v>
      </c>
      <c r="E1319" s="17">
        <v>5.2359699999999999E-4</v>
      </c>
      <c r="F1319" s="6" t="s">
        <v>233</v>
      </c>
      <c r="G1319" s="6" t="s">
        <v>234</v>
      </c>
      <c r="H1319" s="6">
        <v>3</v>
      </c>
    </row>
    <row r="1320" spans="1:8" ht="30" x14ac:dyDescent="0.25">
      <c r="A1320" s="17" t="s">
        <v>3685</v>
      </c>
      <c r="B1320" s="17" t="s">
        <v>3685</v>
      </c>
      <c r="C1320" s="17" t="s">
        <v>271</v>
      </c>
      <c r="D1320" s="17" t="s">
        <v>269</v>
      </c>
      <c r="E1320" s="17">
        <v>5.2359699999999999E-4</v>
      </c>
      <c r="F1320" s="6" t="s">
        <v>233</v>
      </c>
      <c r="G1320" s="6" t="s">
        <v>234</v>
      </c>
      <c r="H1320" s="6">
        <v>3</v>
      </c>
    </row>
    <row r="1321" spans="1:8" ht="30" x14ac:dyDescent="0.25">
      <c r="A1321" s="17" t="s">
        <v>3686</v>
      </c>
      <c r="B1321" s="17" t="s">
        <v>3686</v>
      </c>
      <c r="C1321" s="17" t="s">
        <v>271</v>
      </c>
      <c r="D1321" s="17" t="s">
        <v>269</v>
      </c>
      <c r="E1321" s="17">
        <v>5.2359699999999999E-4</v>
      </c>
      <c r="F1321" s="6" t="s">
        <v>233</v>
      </c>
      <c r="G1321" s="6" t="s">
        <v>234</v>
      </c>
      <c r="H1321" s="6">
        <v>3</v>
      </c>
    </row>
    <row r="1322" spans="1:8" ht="30" x14ac:dyDescent="0.25">
      <c r="A1322" s="17" t="s">
        <v>3687</v>
      </c>
      <c r="B1322" s="17" t="s">
        <v>3687</v>
      </c>
      <c r="C1322" s="17" t="s">
        <v>271</v>
      </c>
      <c r="D1322" s="17" t="s">
        <v>269</v>
      </c>
      <c r="E1322" s="17">
        <v>5.2359699999999999E-4</v>
      </c>
      <c r="F1322" s="6" t="s">
        <v>233</v>
      </c>
      <c r="G1322" s="6" t="s">
        <v>234</v>
      </c>
      <c r="H1322" s="6">
        <v>3</v>
      </c>
    </row>
    <row r="1323" spans="1:8" ht="30" x14ac:dyDescent="0.25">
      <c r="A1323" s="17" t="s">
        <v>3688</v>
      </c>
      <c r="B1323" s="17" t="s">
        <v>3688</v>
      </c>
      <c r="C1323" s="17" t="s">
        <v>271</v>
      </c>
      <c r="D1323" s="17" t="s">
        <v>269</v>
      </c>
      <c r="E1323" s="17">
        <v>5.2359699999999999E-4</v>
      </c>
      <c r="F1323" s="6" t="s">
        <v>233</v>
      </c>
      <c r="G1323" s="6" t="s">
        <v>234</v>
      </c>
      <c r="H1323" s="6">
        <v>3</v>
      </c>
    </row>
    <row r="1324" spans="1:8" ht="30" x14ac:dyDescent="0.25">
      <c r="A1324" s="17" t="s">
        <v>3689</v>
      </c>
      <c r="B1324" s="17" t="s">
        <v>3689</v>
      </c>
      <c r="C1324" s="17" t="s">
        <v>271</v>
      </c>
      <c r="D1324" s="17" t="s">
        <v>269</v>
      </c>
      <c r="E1324" s="17">
        <v>5.2359699999999999E-4</v>
      </c>
      <c r="F1324" s="6" t="s">
        <v>233</v>
      </c>
      <c r="G1324" s="6" t="s">
        <v>234</v>
      </c>
      <c r="H1324" s="6">
        <v>3</v>
      </c>
    </row>
    <row r="1325" spans="1:8" ht="30" x14ac:dyDescent="0.25">
      <c r="A1325" s="17" t="s">
        <v>3690</v>
      </c>
      <c r="B1325" s="17" t="s">
        <v>3690</v>
      </c>
      <c r="C1325" s="17" t="s">
        <v>271</v>
      </c>
      <c r="D1325" s="17" t="s">
        <v>269</v>
      </c>
      <c r="E1325" s="17">
        <v>5.2359699999999999E-4</v>
      </c>
      <c r="F1325" s="6" t="s">
        <v>233</v>
      </c>
      <c r="G1325" s="6" t="s">
        <v>234</v>
      </c>
      <c r="H1325" s="6">
        <v>3</v>
      </c>
    </row>
    <row r="1326" spans="1:8" ht="30" x14ac:dyDescent="0.25">
      <c r="A1326" s="17" t="s">
        <v>3691</v>
      </c>
      <c r="B1326" s="17" t="s">
        <v>3691</v>
      </c>
      <c r="C1326" s="17" t="s">
        <v>271</v>
      </c>
      <c r="D1326" s="17" t="s">
        <v>269</v>
      </c>
      <c r="E1326" s="17">
        <v>5.2359699999999999E-4</v>
      </c>
      <c r="F1326" s="6" t="s">
        <v>233</v>
      </c>
      <c r="G1326" s="6" t="s">
        <v>234</v>
      </c>
      <c r="H1326" s="6">
        <v>3</v>
      </c>
    </row>
    <row r="1327" spans="1:8" ht="30" x14ac:dyDescent="0.25">
      <c r="A1327" s="17" t="s">
        <v>3692</v>
      </c>
      <c r="B1327" s="17" t="s">
        <v>3692</v>
      </c>
      <c r="C1327" s="17" t="s">
        <v>271</v>
      </c>
      <c r="D1327" s="17" t="s">
        <v>269</v>
      </c>
      <c r="E1327" s="17">
        <v>5.2359699999999999E-4</v>
      </c>
      <c r="F1327" s="6" t="s">
        <v>233</v>
      </c>
      <c r="G1327" s="6" t="s">
        <v>234</v>
      </c>
      <c r="H1327" s="6">
        <v>3</v>
      </c>
    </row>
    <row r="1328" spans="1:8" ht="30" x14ac:dyDescent="0.25">
      <c r="A1328" s="17" t="s">
        <v>3693</v>
      </c>
      <c r="B1328" s="17" t="s">
        <v>3693</v>
      </c>
      <c r="C1328" s="17" t="s">
        <v>271</v>
      </c>
      <c r="D1328" s="17" t="s">
        <v>269</v>
      </c>
      <c r="E1328" s="17">
        <v>5.2359699999999999E-4</v>
      </c>
      <c r="F1328" s="6" t="s">
        <v>233</v>
      </c>
      <c r="G1328" s="6" t="s">
        <v>234</v>
      </c>
      <c r="H1328" s="6">
        <v>3</v>
      </c>
    </row>
    <row r="1329" spans="1:8" ht="30" x14ac:dyDescent="0.25">
      <c r="A1329" s="17" t="s">
        <v>3694</v>
      </c>
      <c r="B1329" s="17" t="s">
        <v>3694</v>
      </c>
      <c r="C1329" s="17" t="s">
        <v>271</v>
      </c>
      <c r="D1329" s="17" t="s">
        <v>269</v>
      </c>
      <c r="E1329" s="17">
        <v>5.2359699999999999E-4</v>
      </c>
      <c r="F1329" s="6" t="s">
        <v>233</v>
      </c>
      <c r="G1329" s="6" t="s">
        <v>234</v>
      </c>
      <c r="H1329" s="6">
        <v>3</v>
      </c>
    </row>
    <row r="1330" spans="1:8" ht="30" x14ac:dyDescent="0.25">
      <c r="A1330" s="17" t="s">
        <v>3695</v>
      </c>
      <c r="B1330" s="17" t="s">
        <v>3695</v>
      </c>
      <c r="C1330" s="17" t="s">
        <v>271</v>
      </c>
      <c r="D1330" s="17" t="s">
        <v>269</v>
      </c>
      <c r="E1330" s="17">
        <v>5.2359699999999999E-4</v>
      </c>
      <c r="F1330" s="6" t="s">
        <v>233</v>
      </c>
      <c r="G1330" s="6" t="s">
        <v>234</v>
      </c>
      <c r="H1330" s="6">
        <v>3</v>
      </c>
    </row>
    <row r="1331" spans="1:8" ht="30" x14ac:dyDescent="0.25">
      <c r="A1331" s="17" t="s">
        <v>3696</v>
      </c>
      <c r="B1331" s="17" t="s">
        <v>3696</v>
      </c>
      <c r="C1331" s="17" t="s">
        <v>271</v>
      </c>
      <c r="D1331" s="17" t="s">
        <v>269</v>
      </c>
      <c r="E1331" s="17">
        <v>5.2359699999999999E-4</v>
      </c>
      <c r="F1331" s="6" t="s">
        <v>233</v>
      </c>
      <c r="G1331" s="6" t="s">
        <v>234</v>
      </c>
      <c r="H1331" s="6">
        <v>3</v>
      </c>
    </row>
    <row r="1332" spans="1:8" ht="30" x14ac:dyDescent="0.25">
      <c r="A1332" s="17" t="s">
        <v>3697</v>
      </c>
      <c r="B1332" s="17" t="s">
        <v>3697</v>
      </c>
      <c r="C1332" s="17" t="s">
        <v>271</v>
      </c>
      <c r="D1332" s="17" t="s">
        <v>269</v>
      </c>
      <c r="E1332" s="17">
        <v>5.2359699999999999E-4</v>
      </c>
      <c r="F1332" s="6" t="s">
        <v>233</v>
      </c>
      <c r="G1332" s="6" t="s">
        <v>234</v>
      </c>
      <c r="H1332" s="6">
        <v>3</v>
      </c>
    </row>
    <row r="1333" spans="1:8" ht="30" x14ac:dyDescent="0.25">
      <c r="A1333" s="17" t="s">
        <v>3698</v>
      </c>
      <c r="B1333" s="17" t="s">
        <v>3698</v>
      </c>
      <c r="C1333" s="17" t="s">
        <v>271</v>
      </c>
      <c r="D1333" s="17" t="s">
        <v>269</v>
      </c>
      <c r="E1333" s="17">
        <v>5.2359699999999999E-4</v>
      </c>
      <c r="F1333" s="6" t="s">
        <v>233</v>
      </c>
      <c r="G1333" s="6" t="s">
        <v>234</v>
      </c>
      <c r="H1333" s="6">
        <v>3</v>
      </c>
    </row>
    <row r="1334" spans="1:8" ht="30" x14ac:dyDescent="0.25">
      <c r="A1334" s="17" t="s">
        <v>3699</v>
      </c>
      <c r="B1334" s="17" t="s">
        <v>3699</v>
      </c>
      <c r="C1334" s="17" t="s">
        <v>271</v>
      </c>
      <c r="D1334" s="17" t="s">
        <v>269</v>
      </c>
      <c r="E1334" s="17">
        <v>5.2359699999999999E-4</v>
      </c>
      <c r="F1334" s="6" t="s">
        <v>233</v>
      </c>
      <c r="G1334" s="6" t="s">
        <v>234</v>
      </c>
      <c r="H1334" s="6">
        <v>3</v>
      </c>
    </row>
    <row r="1335" spans="1:8" x14ac:dyDescent="0.25">
      <c r="A1335" s="17" t="s">
        <v>3690</v>
      </c>
      <c r="B1335" s="17" t="s">
        <v>3690</v>
      </c>
      <c r="C1335" s="6" t="s">
        <v>250</v>
      </c>
      <c r="D1335" s="6" t="s">
        <v>248</v>
      </c>
      <c r="E1335" s="6">
        <v>4.3868599999999998E-4</v>
      </c>
      <c r="F1335" s="6" t="s">
        <v>233</v>
      </c>
      <c r="G1335" s="6" t="s">
        <v>234</v>
      </c>
      <c r="H1335" s="6">
        <v>3</v>
      </c>
    </row>
    <row r="1336" spans="1:8" ht="45" x14ac:dyDescent="0.25">
      <c r="A1336" s="17" t="s">
        <v>3700</v>
      </c>
      <c r="B1336" s="17" t="s">
        <v>3700</v>
      </c>
      <c r="C1336" s="17" t="s">
        <v>271</v>
      </c>
      <c r="D1336" s="17" t="s">
        <v>269</v>
      </c>
      <c r="E1336" s="17">
        <v>5.2359699999999999E-4</v>
      </c>
      <c r="F1336" s="6" t="s">
        <v>233</v>
      </c>
      <c r="G1336" s="6" t="s">
        <v>234</v>
      </c>
      <c r="H1336" s="6">
        <v>3</v>
      </c>
    </row>
    <row r="1337" spans="1:8" ht="45" x14ac:dyDescent="0.25">
      <c r="A1337" s="17" t="s">
        <v>3701</v>
      </c>
      <c r="B1337" s="17" t="s">
        <v>3701</v>
      </c>
      <c r="C1337" s="17" t="s">
        <v>271</v>
      </c>
      <c r="D1337" s="17" t="s">
        <v>269</v>
      </c>
      <c r="E1337" s="17">
        <v>5.2359699999999999E-4</v>
      </c>
      <c r="F1337" s="6" t="s">
        <v>233</v>
      </c>
      <c r="G1337" s="6" t="s">
        <v>234</v>
      </c>
      <c r="H1337" s="6">
        <v>3</v>
      </c>
    </row>
    <row r="1338" spans="1:8" ht="30" x14ac:dyDescent="0.25">
      <c r="A1338" s="17" t="s">
        <v>3702</v>
      </c>
      <c r="B1338" s="17" t="s">
        <v>3702</v>
      </c>
      <c r="C1338" s="17" t="s">
        <v>271</v>
      </c>
      <c r="D1338" s="17" t="s">
        <v>269</v>
      </c>
      <c r="E1338" s="17">
        <v>5.2359699999999999E-4</v>
      </c>
      <c r="F1338" s="6" t="s">
        <v>233</v>
      </c>
      <c r="G1338" s="6" t="s">
        <v>234</v>
      </c>
      <c r="H1338" s="6">
        <v>3</v>
      </c>
    </row>
    <row r="1339" spans="1:8" ht="30" x14ac:dyDescent="0.25">
      <c r="A1339" s="17" t="s">
        <v>3703</v>
      </c>
      <c r="B1339" s="17" t="s">
        <v>3703</v>
      </c>
      <c r="C1339" s="17" t="s">
        <v>271</v>
      </c>
      <c r="D1339" s="17" t="s">
        <v>269</v>
      </c>
      <c r="E1339" s="17">
        <v>5.2359699999999999E-4</v>
      </c>
      <c r="F1339" s="6" t="s">
        <v>233</v>
      </c>
      <c r="G1339" s="6" t="s">
        <v>234</v>
      </c>
      <c r="H1339" s="6">
        <v>3</v>
      </c>
    </row>
    <row r="1340" spans="1:8" ht="30" x14ac:dyDescent="0.25">
      <c r="A1340" s="17" t="s">
        <v>3704</v>
      </c>
      <c r="B1340" s="17" t="s">
        <v>3704</v>
      </c>
      <c r="C1340" s="17" t="s">
        <v>271</v>
      </c>
      <c r="D1340" s="17" t="s">
        <v>269</v>
      </c>
      <c r="E1340" s="17">
        <v>5.2359699999999999E-4</v>
      </c>
      <c r="F1340" s="6" t="s">
        <v>233</v>
      </c>
      <c r="G1340" s="6" t="s">
        <v>234</v>
      </c>
      <c r="H1340" s="6">
        <v>3</v>
      </c>
    </row>
    <row r="1341" spans="1:8" ht="30" x14ac:dyDescent="0.25">
      <c r="A1341" s="17" t="s">
        <v>3705</v>
      </c>
      <c r="B1341" s="17" t="s">
        <v>3705</v>
      </c>
      <c r="C1341" s="17" t="s">
        <v>271</v>
      </c>
      <c r="D1341" s="17" t="s">
        <v>269</v>
      </c>
      <c r="E1341" s="17">
        <v>5.2359699999999999E-4</v>
      </c>
      <c r="F1341" s="6" t="s">
        <v>233</v>
      </c>
      <c r="G1341" s="6" t="s">
        <v>234</v>
      </c>
      <c r="H1341" s="6">
        <v>3</v>
      </c>
    </row>
    <row r="1342" spans="1:8" ht="30" x14ac:dyDescent="0.25">
      <c r="A1342" s="17" t="s">
        <v>3706</v>
      </c>
      <c r="B1342" s="17" t="s">
        <v>3706</v>
      </c>
      <c r="C1342" s="17" t="s">
        <v>271</v>
      </c>
      <c r="D1342" s="17" t="s">
        <v>269</v>
      </c>
      <c r="E1342" s="17">
        <v>5.2359699999999999E-4</v>
      </c>
      <c r="F1342" s="6" t="s">
        <v>233</v>
      </c>
      <c r="G1342" s="6" t="s">
        <v>234</v>
      </c>
      <c r="H1342" s="6">
        <v>3</v>
      </c>
    </row>
    <row r="1343" spans="1:8" ht="30" x14ac:dyDescent="0.25">
      <c r="A1343" s="17" t="s">
        <v>3707</v>
      </c>
      <c r="B1343" s="17" t="s">
        <v>3707</v>
      </c>
      <c r="C1343" s="17" t="s">
        <v>271</v>
      </c>
      <c r="D1343" s="17" t="s">
        <v>269</v>
      </c>
      <c r="E1343" s="17">
        <v>5.2359699999999999E-4</v>
      </c>
      <c r="F1343" s="6" t="s">
        <v>233</v>
      </c>
      <c r="G1343" s="6" t="s">
        <v>234</v>
      </c>
      <c r="H1343" s="6">
        <v>3</v>
      </c>
    </row>
    <row r="1344" spans="1:8" ht="30" x14ac:dyDescent="0.25">
      <c r="A1344" s="17" t="s">
        <v>3708</v>
      </c>
      <c r="B1344" s="17" t="s">
        <v>3708</v>
      </c>
      <c r="C1344" s="17" t="s">
        <v>271</v>
      </c>
      <c r="D1344" s="17" t="s">
        <v>269</v>
      </c>
      <c r="E1344" s="17">
        <v>5.2359699999999999E-4</v>
      </c>
      <c r="F1344" s="6" t="s">
        <v>233</v>
      </c>
      <c r="G1344" s="6" t="s">
        <v>234</v>
      </c>
      <c r="H1344" s="6">
        <v>3</v>
      </c>
    </row>
    <row r="1345" spans="1:8" ht="30" x14ac:dyDescent="0.25">
      <c r="A1345" s="17" t="s">
        <v>3709</v>
      </c>
      <c r="B1345" s="17" t="s">
        <v>3709</v>
      </c>
      <c r="C1345" s="17" t="s">
        <v>271</v>
      </c>
      <c r="D1345" s="17" t="s">
        <v>269</v>
      </c>
      <c r="E1345" s="17">
        <v>5.2359699999999999E-4</v>
      </c>
      <c r="F1345" s="6" t="s">
        <v>233</v>
      </c>
      <c r="G1345" s="6" t="s">
        <v>234</v>
      </c>
      <c r="H1345" s="6">
        <v>3</v>
      </c>
    </row>
    <row r="1346" spans="1:8" ht="30" x14ac:dyDescent="0.25">
      <c r="A1346" s="17" t="s">
        <v>3710</v>
      </c>
      <c r="B1346" s="17" t="s">
        <v>3710</v>
      </c>
      <c r="C1346" s="17" t="s">
        <v>271</v>
      </c>
      <c r="D1346" s="17" t="s">
        <v>269</v>
      </c>
      <c r="E1346" s="17">
        <v>5.2359699999999999E-4</v>
      </c>
      <c r="F1346" s="6" t="s">
        <v>233</v>
      </c>
      <c r="G1346" s="6" t="s">
        <v>234</v>
      </c>
      <c r="H1346" s="6">
        <v>3</v>
      </c>
    </row>
    <row r="1347" spans="1:8" ht="30" x14ac:dyDescent="0.25">
      <c r="A1347" s="17" t="s">
        <v>3711</v>
      </c>
      <c r="B1347" s="17" t="s">
        <v>3711</v>
      </c>
      <c r="C1347" s="17" t="s">
        <v>271</v>
      </c>
      <c r="D1347" s="17" t="s">
        <v>269</v>
      </c>
      <c r="E1347" s="17">
        <v>5.2359699999999999E-4</v>
      </c>
      <c r="F1347" s="6" t="s">
        <v>233</v>
      </c>
      <c r="G1347" s="6" t="s">
        <v>234</v>
      </c>
      <c r="H1347" s="6">
        <v>3</v>
      </c>
    </row>
    <row r="1348" spans="1:8" ht="30" x14ac:dyDescent="0.25">
      <c r="A1348" s="17" t="s">
        <v>3712</v>
      </c>
      <c r="B1348" s="17" t="s">
        <v>3712</v>
      </c>
      <c r="C1348" s="17" t="s">
        <v>271</v>
      </c>
      <c r="D1348" s="17" t="s">
        <v>269</v>
      </c>
      <c r="E1348" s="17">
        <v>5.2359699999999999E-4</v>
      </c>
      <c r="F1348" s="6" t="s">
        <v>233</v>
      </c>
      <c r="G1348" s="6" t="s">
        <v>234</v>
      </c>
      <c r="H1348" s="6">
        <v>3</v>
      </c>
    </row>
    <row r="1349" spans="1:8" ht="30" x14ac:dyDescent="0.25">
      <c r="A1349" s="17" t="s">
        <v>3713</v>
      </c>
      <c r="B1349" s="17" t="s">
        <v>3713</v>
      </c>
      <c r="C1349" s="17" t="s">
        <v>271</v>
      </c>
      <c r="D1349" s="17" t="s">
        <v>269</v>
      </c>
      <c r="E1349" s="17">
        <v>5.2359699999999999E-4</v>
      </c>
      <c r="F1349" s="6" t="s">
        <v>233</v>
      </c>
      <c r="G1349" s="6" t="s">
        <v>234</v>
      </c>
      <c r="H1349" s="6">
        <v>3</v>
      </c>
    </row>
    <row r="1350" spans="1:8" ht="30" x14ac:dyDescent="0.25">
      <c r="A1350" s="17" t="s">
        <v>3714</v>
      </c>
      <c r="B1350" s="17" t="s">
        <v>3714</v>
      </c>
      <c r="C1350" s="17" t="s">
        <v>271</v>
      </c>
      <c r="D1350" s="17" t="s">
        <v>269</v>
      </c>
      <c r="E1350" s="17">
        <v>5.2359699999999999E-4</v>
      </c>
      <c r="F1350" s="6" t="s">
        <v>233</v>
      </c>
      <c r="G1350" s="6" t="s">
        <v>234</v>
      </c>
      <c r="H1350" s="6">
        <v>3</v>
      </c>
    </row>
    <row r="1351" spans="1:8" ht="30" x14ac:dyDescent="0.25">
      <c r="A1351" s="17" t="s">
        <v>3715</v>
      </c>
      <c r="B1351" s="17" t="s">
        <v>3715</v>
      </c>
      <c r="C1351" s="17" t="s">
        <v>271</v>
      </c>
      <c r="D1351" s="17" t="s">
        <v>269</v>
      </c>
      <c r="E1351" s="17">
        <v>5.2359699999999999E-4</v>
      </c>
      <c r="F1351" s="6" t="s">
        <v>233</v>
      </c>
      <c r="G1351" s="6" t="s">
        <v>234</v>
      </c>
      <c r="H1351" s="6">
        <v>3</v>
      </c>
    </row>
    <row r="1352" spans="1:8" ht="30" x14ac:dyDescent="0.25">
      <c r="A1352" s="17" t="s">
        <v>3716</v>
      </c>
      <c r="B1352" s="17" t="s">
        <v>3716</v>
      </c>
      <c r="C1352" s="17" t="s">
        <v>271</v>
      </c>
      <c r="D1352" s="17" t="s">
        <v>269</v>
      </c>
      <c r="E1352" s="17">
        <v>5.2359699999999999E-4</v>
      </c>
      <c r="F1352" s="6" t="s">
        <v>233</v>
      </c>
      <c r="G1352" s="6" t="s">
        <v>234</v>
      </c>
      <c r="H1352" s="6">
        <v>3</v>
      </c>
    </row>
    <row r="1353" spans="1:8" ht="30" x14ac:dyDescent="0.25">
      <c r="A1353" s="17" t="s">
        <v>3717</v>
      </c>
      <c r="B1353" s="17" t="s">
        <v>3717</v>
      </c>
      <c r="C1353" s="17" t="s">
        <v>271</v>
      </c>
      <c r="D1353" s="17" t="s">
        <v>269</v>
      </c>
      <c r="E1353" s="17">
        <v>5.2359699999999999E-4</v>
      </c>
      <c r="F1353" s="6" t="s">
        <v>233</v>
      </c>
      <c r="G1353" s="6" t="s">
        <v>234</v>
      </c>
      <c r="H1353" s="6">
        <v>3</v>
      </c>
    </row>
    <row r="1354" spans="1:8" ht="30" x14ac:dyDescent="0.25">
      <c r="A1354" s="17" t="s">
        <v>3718</v>
      </c>
      <c r="B1354" s="17" t="s">
        <v>3718</v>
      </c>
      <c r="C1354" s="17" t="s">
        <v>271</v>
      </c>
      <c r="D1354" s="17" t="s">
        <v>269</v>
      </c>
      <c r="E1354" s="17">
        <v>5.2359699999999999E-4</v>
      </c>
      <c r="F1354" s="6" t="s">
        <v>233</v>
      </c>
      <c r="G1354" s="6" t="s">
        <v>234</v>
      </c>
      <c r="H1354" s="6">
        <v>3</v>
      </c>
    </row>
    <row r="1355" spans="1:8" ht="30" x14ac:dyDescent="0.25">
      <c r="A1355" s="17" t="s">
        <v>3719</v>
      </c>
      <c r="B1355" s="17" t="s">
        <v>3719</v>
      </c>
      <c r="C1355" s="17" t="s">
        <v>271</v>
      </c>
      <c r="D1355" s="17" t="s">
        <v>269</v>
      </c>
      <c r="E1355" s="17">
        <v>5.2359699999999999E-4</v>
      </c>
      <c r="F1355" s="6" t="s">
        <v>233</v>
      </c>
      <c r="G1355" s="6" t="s">
        <v>234</v>
      </c>
      <c r="H1355" s="6">
        <v>3</v>
      </c>
    </row>
    <row r="1356" spans="1:8" ht="30" x14ac:dyDescent="0.25">
      <c r="A1356" s="17" t="s">
        <v>3720</v>
      </c>
      <c r="B1356" s="17" t="s">
        <v>3720</v>
      </c>
      <c r="C1356" s="17" t="s">
        <v>271</v>
      </c>
      <c r="D1356" s="17" t="s">
        <v>269</v>
      </c>
      <c r="E1356" s="17">
        <v>5.2359699999999999E-4</v>
      </c>
      <c r="F1356" s="6" t="s">
        <v>233</v>
      </c>
      <c r="G1356" s="6" t="s">
        <v>234</v>
      </c>
      <c r="H1356" s="6">
        <v>3</v>
      </c>
    </row>
    <row r="1357" spans="1:8" ht="30" x14ac:dyDescent="0.25">
      <c r="A1357" s="17" t="s">
        <v>3721</v>
      </c>
      <c r="B1357" s="17" t="s">
        <v>3721</v>
      </c>
      <c r="C1357" s="17" t="s">
        <v>271</v>
      </c>
      <c r="D1357" s="17" t="s">
        <v>269</v>
      </c>
      <c r="E1357" s="17">
        <v>5.2359699999999999E-4</v>
      </c>
      <c r="F1357" s="6" t="s">
        <v>233</v>
      </c>
      <c r="G1357" s="6" t="s">
        <v>234</v>
      </c>
      <c r="H1357" s="6">
        <v>3</v>
      </c>
    </row>
    <row r="1358" spans="1:8" ht="30" x14ac:dyDescent="0.25">
      <c r="A1358" s="17" t="s">
        <v>3722</v>
      </c>
      <c r="B1358" s="17" t="s">
        <v>3722</v>
      </c>
      <c r="C1358" s="17" t="s">
        <v>271</v>
      </c>
      <c r="D1358" s="17" t="s">
        <v>269</v>
      </c>
      <c r="E1358" s="17">
        <v>5.2359699999999999E-4</v>
      </c>
      <c r="F1358" s="6" t="s">
        <v>233</v>
      </c>
      <c r="G1358" s="6" t="s">
        <v>234</v>
      </c>
      <c r="H1358" s="6">
        <v>3</v>
      </c>
    </row>
    <row r="1359" spans="1:8" ht="30" x14ac:dyDescent="0.25">
      <c r="A1359" s="17" t="s">
        <v>3723</v>
      </c>
      <c r="B1359" s="17" t="s">
        <v>3723</v>
      </c>
      <c r="C1359" s="17" t="s">
        <v>271</v>
      </c>
      <c r="D1359" s="17" t="s">
        <v>269</v>
      </c>
      <c r="E1359" s="17">
        <v>5.2359699999999999E-4</v>
      </c>
      <c r="F1359" s="6" t="s">
        <v>233</v>
      </c>
      <c r="G1359" s="6" t="s">
        <v>234</v>
      </c>
      <c r="H1359" s="6">
        <v>3</v>
      </c>
    </row>
    <row r="1360" spans="1:8" ht="30" x14ac:dyDescent="0.25">
      <c r="A1360" s="17" t="s">
        <v>3724</v>
      </c>
      <c r="B1360" s="17" t="s">
        <v>3724</v>
      </c>
      <c r="C1360" s="17" t="s">
        <v>271</v>
      </c>
      <c r="D1360" s="17" t="s">
        <v>269</v>
      </c>
      <c r="E1360" s="17">
        <v>5.2359699999999999E-4</v>
      </c>
      <c r="F1360" s="6" t="s">
        <v>233</v>
      </c>
      <c r="G1360" s="6" t="s">
        <v>234</v>
      </c>
      <c r="H1360" s="6">
        <v>3</v>
      </c>
    </row>
    <row r="1361" spans="1:8" ht="45" x14ac:dyDescent="0.25">
      <c r="A1361" s="17" t="s">
        <v>3725</v>
      </c>
      <c r="B1361" s="17" t="s">
        <v>3725</v>
      </c>
      <c r="C1361" s="17" t="s">
        <v>271</v>
      </c>
      <c r="D1361" s="17" t="s">
        <v>269</v>
      </c>
      <c r="E1361" s="17">
        <v>5.2359699999999999E-4</v>
      </c>
      <c r="F1361" s="6" t="s">
        <v>233</v>
      </c>
      <c r="G1361" s="6" t="s">
        <v>234</v>
      </c>
      <c r="H1361" s="6">
        <v>3</v>
      </c>
    </row>
    <row r="1362" spans="1:8" ht="30" x14ac:dyDescent="0.25">
      <c r="A1362" s="17" t="s">
        <v>3726</v>
      </c>
      <c r="B1362" s="17" t="s">
        <v>3726</v>
      </c>
      <c r="C1362" s="17" t="s">
        <v>271</v>
      </c>
      <c r="D1362" s="17" t="s">
        <v>269</v>
      </c>
      <c r="E1362" s="17">
        <v>5.2359699999999999E-4</v>
      </c>
      <c r="F1362" s="6" t="s">
        <v>233</v>
      </c>
      <c r="G1362" s="6" t="s">
        <v>234</v>
      </c>
      <c r="H1362" s="6">
        <v>3</v>
      </c>
    </row>
    <row r="1363" spans="1:8" ht="60" x14ac:dyDescent="0.25">
      <c r="A1363" s="17" t="s">
        <v>3727</v>
      </c>
      <c r="B1363" s="17" t="s">
        <v>3727</v>
      </c>
      <c r="C1363" s="17" t="s">
        <v>271</v>
      </c>
      <c r="D1363" s="17" t="s">
        <v>269</v>
      </c>
      <c r="E1363" s="17">
        <v>5.2359699999999999E-4</v>
      </c>
      <c r="F1363" s="6" t="s">
        <v>233</v>
      </c>
      <c r="G1363" s="6" t="s">
        <v>234</v>
      </c>
      <c r="H1363" s="6">
        <v>3</v>
      </c>
    </row>
    <row r="1364" spans="1:8" ht="45" x14ac:dyDescent="0.25">
      <c r="A1364" s="17" t="s">
        <v>3728</v>
      </c>
      <c r="B1364" s="17" t="s">
        <v>3728</v>
      </c>
      <c r="C1364" s="17" t="s">
        <v>271</v>
      </c>
      <c r="D1364" s="17" t="s">
        <v>269</v>
      </c>
      <c r="E1364" s="17">
        <v>5.2359699999999999E-4</v>
      </c>
      <c r="F1364" s="6" t="s">
        <v>233</v>
      </c>
      <c r="G1364" s="6" t="s">
        <v>234</v>
      </c>
      <c r="H1364" s="6">
        <v>3</v>
      </c>
    </row>
    <row r="1365" spans="1:8" ht="30" x14ac:dyDescent="0.25">
      <c r="A1365" s="17" t="s">
        <v>3729</v>
      </c>
      <c r="B1365" s="17" t="s">
        <v>3729</v>
      </c>
      <c r="C1365" s="17" t="s">
        <v>271</v>
      </c>
      <c r="D1365" s="17" t="s">
        <v>269</v>
      </c>
      <c r="E1365" s="17">
        <v>5.2359699999999999E-4</v>
      </c>
      <c r="F1365" s="6" t="s">
        <v>233</v>
      </c>
      <c r="G1365" s="6" t="s">
        <v>234</v>
      </c>
      <c r="H1365" s="6">
        <v>3</v>
      </c>
    </row>
    <row r="1366" spans="1:8" ht="30" x14ac:dyDescent="0.25">
      <c r="A1366" s="17" t="s">
        <v>3730</v>
      </c>
      <c r="B1366" s="17" t="s">
        <v>3730</v>
      </c>
      <c r="C1366" s="17" t="s">
        <v>271</v>
      </c>
      <c r="D1366" s="17" t="s">
        <v>269</v>
      </c>
      <c r="E1366" s="17">
        <v>5.2359699999999999E-4</v>
      </c>
      <c r="F1366" s="6" t="s">
        <v>233</v>
      </c>
      <c r="G1366" s="6" t="s">
        <v>234</v>
      </c>
      <c r="H1366" s="6">
        <v>3</v>
      </c>
    </row>
    <row r="1367" spans="1:8" ht="30" x14ac:dyDescent="0.25">
      <c r="A1367" s="17" t="s">
        <v>3731</v>
      </c>
      <c r="B1367" s="17" t="s">
        <v>3731</v>
      </c>
      <c r="C1367" s="17" t="s">
        <v>271</v>
      </c>
      <c r="D1367" s="17" t="s">
        <v>269</v>
      </c>
      <c r="E1367" s="17">
        <v>5.2359699999999999E-4</v>
      </c>
      <c r="F1367" s="6" t="s">
        <v>233</v>
      </c>
      <c r="G1367" s="6" t="s">
        <v>234</v>
      </c>
      <c r="H1367" s="6">
        <v>3</v>
      </c>
    </row>
    <row r="1368" spans="1:8" ht="30" x14ac:dyDescent="0.25">
      <c r="A1368" s="17" t="s">
        <v>3732</v>
      </c>
      <c r="B1368" s="17" t="s">
        <v>3732</v>
      </c>
      <c r="C1368" s="17" t="s">
        <v>271</v>
      </c>
      <c r="D1368" s="17" t="s">
        <v>269</v>
      </c>
      <c r="E1368" s="17">
        <v>5.2359699999999999E-4</v>
      </c>
      <c r="F1368" s="6" t="s">
        <v>233</v>
      </c>
      <c r="G1368" s="6" t="s">
        <v>234</v>
      </c>
      <c r="H1368" s="6">
        <v>3</v>
      </c>
    </row>
    <row r="1369" spans="1:8" ht="30" x14ac:dyDescent="0.25">
      <c r="A1369" s="17" t="s">
        <v>3733</v>
      </c>
      <c r="B1369" s="17" t="s">
        <v>3733</v>
      </c>
      <c r="C1369" s="17" t="s">
        <v>271</v>
      </c>
      <c r="D1369" s="17" t="s">
        <v>269</v>
      </c>
      <c r="E1369" s="17">
        <v>5.2359699999999999E-4</v>
      </c>
      <c r="F1369" s="6" t="s">
        <v>233</v>
      </c>
      <c r="G1369" s="6" t="s">
        <v>234</v>
      </c>
      <c r="H1369" s="6">
        <v>3</v>
      </c>
    </row>
    <row r="1370" spans="1:8" ht="30" x14ac:dyDescent="0.25">
      <c r="A1370" s="17" t="s">
        <v>3734</v>
      </c>
      <c r="B1370" s="17" t="s">
        <v>3734</v>
      </c>
      <c r="C1370" s="17" t="s">
        <v>271</v>
      </c>
      <c r="D1370" s="17" t="s">
        <v>269</v>
      </c>
      <c r="E1370" s="17">
        <v>5.2359699999999999E-4</v>
      </c>
      <c r="F1370" s="6" t="s">
        <v>233</v>
      </c>
      <c r="G1370" s="6" t="s">
        <v>234</v>
      </c>
      <c r="H1370" s="6">
        <v>3</v>
      </c>
    </row>
    <row r="1371" spans="1:8" ht="30" x14ac:dyDescent="0.25">
      <c r="A1371" s="17" t="s">
        <v>3735</v>
      </c>
      <c r="B1371" s="17" t="s">
        <v>3735</v>
      </c>
      <c r="C1371" s="17" t="s">
        <v>271</v>
      </c>
      <c r="D1371" s="17" t="s">
        <v>269</v>
      </c>
      <c r="E1371" s="17">
        <v>5.2359699999999999E-4</v>
      </c>
      <c r="F1371" s="6" t="s">
        <v>233</v>
      </c>
      <c r="G1371" s="6" t="s">
        <v>234</v>
      </c>
      <c r="H1371" s="6">
        <v>3</v>
      </c>
    </row>
    <row r="1372" spans="1:8" ht="30" x14ac:dyDescent="0.25">
      <c r="A1372" s="17" t="s">
        <v>3736</v>
      </c>
      <c r="B1372" s="17" t="s">
        <v>3736</v>
      </c>
      <c r="C1372" s="17" t="s">
        <v>271</v>
      </c>
      <c r="D1372" s="17" t="s">
        <v>269</v>
      </c>
      <c r="E1372" s="17">
        <v>5.2359699999999999E-4</v>
      </c>
      <c r="F1372" s="6" t="s">
        <v>233</v>
      </c>
      <c r="G1372" s="6" t="s">
        <v>234</v>
      </c>
      <c r="H1372" s="6">
        <v>3</v>
      </c>
    </row>
    <row r="1373" spans="1:8" ht="30" x14ac:dyDescent="0.25">
      <c r="A1373" s="17" t="s">
        <v>3737</v>
      </c>
      <c r="B1373" s="17" t="s">
        <v>3737</v>
      </c>
      <c r="C1373" s="17" t="s">
        <v>271</v>
      </c>
      <c r="D1373" s="17" t="s">
        <v>269</v>
      </c>
      <c r="E1373" s="17">
        <v>5.2359699999999999E-4</v>
      </c>
      <c r="F1373" s="6" t="s">
        <v>233</v>
      </c>
      <c r="G1373" s="6" t="s">
        <v>234</v>
      </c>
      <c r="H1373" s="6">
        <v>3</v>
      </c>
    </row>
    <row r="1374" spans="1:8" ht="30" x14ac:dyDescent="0.25">
      <c r="A1374" s="17" t="s">
        <v>3738</v>
      </c>
      <c r="B1374" s="17" t="s">
        <v>3738</v>
      </c>
      <c r="C1374" s="17" t="s">
        <v>271</v>
      </c>
      <c r="D1374" s="17" t="s">
        <v>269</v>
      </c>
      <c r="E1374" s="17">
        <v>5.2359699999999999E-4</v>
      </c>
      <c r="F1374" s="6" t="s">
        <v>233</v>
      </c>
      <c r="G1374" s="6" t="s">
        <v>234</v>
      </c>
      <c r="H1374" s="6">
        <v>3</v>
      </c>
    </row>
    <row r="1375" spans="1:8" ht="30" x14ac:dyDescent="0.25">
      <c r="A1375" s="17" t="s">
        <v>3739</v>
      </c>
      <c r="B1375" s="17" t="s">
        <v>3739</v>
      </c>
      <c r="C1375" s="17" t="s">
        <v>271</v>
      </c>
      <c r="D1375" s="17" t="s">
        <v>269</v>
      </c>
      <c r="E1375" s="17">
        <v>5.2359699999999999E-4</v>
      </c>
      <c r="F1375" s="6" t="s">
        <v>233</v>
      </c>
      <c r="G1375" s="6" t="s">
        <v>234</v>
      </c>
      <c r="H1375" s="6">
        <v>3</v>
      </c>
    </row>
    <row r="1376" spans="1:8" ht="30" x14ac:dyDescent="0.25">
      <c r="A1376" s="17" t="s">
        <v>3740</v>
      </c>
      <c r="B1376" s="17" t="s">
        <v>3740</v>
      </c>
      <c r="C1376" s="17" t="s">
        <v>271</v>
      </c>
      <c r="D1376" s="17" t="s">
        <v>269</v>
      </c>
      <c r="E1376" s="17">
        <v>5.2359699999999999E-4</v>
      </c>
      <c r="F1376" s="6" t="s">
        <v>233</v>
      </c>
      <c r="G1376" s="6" t="s">
        <v>234</v>
      </c>
      <c r="H1376" s="6">
        <v>3</v>
      </c>
    </row>
    <row r="1377" spans="1:8" ht="30" x14ac:dyDescent="0.25">
      <c r="A1377" s="17" t="s">
        <v>3741</v>
      </c>
      <c r="B1377" s="17" t="s">
        <v>3741</v>
      </c>
      <c r="C1377" s="17" t="s">
        <v>271</v>
      </c>
      <c r="D1377" s="17" t="s">
        <v>269</v>
      </c>
      <c r="E1377" s="17">
        <v>5.2359699999999999E-4</v>
      </c>
      <c r="F1377" s="6" t="s">
        <v>233</v>
      </c>
      <c r="G1377" s="6" t="s">
        <v>234</v>
      </c>
      <c r="H1377" s="6">
        <v>3</v>
      </c>
    </row>
    <row r="1378" spans="1:8" ht="30" x14ac:dyDescent="0.25">
      <c r="A1378" s="17" t="s">
        <v>3742</v>
      </c>
      <c r="B1378" s="17" t="s">
        <v>3742</v>
      </c>
      <c r="C1378" s="17" t="s">
        <v>271</v>
      </c>
      <c r="D1378" s="17" t="s">
        <v>269</v>
      </c>
      <c r="E1378" s="17">
        <v>5.2359699999999999E-4</v>
      </c>
      <c r="F1378" s="6" t="s">
        <v>233</v>
      </c>
      <c r="G1378" s="6" t="s">
        <v>234</v>
      </c>
      <c r="H1378" s="6">
        <v>3</v>
      </c>
    </row>
    <row r="1379" spans="1:8" ht="30" x14ac:dyDescent="0.25">
      <c r="A1379" s="17" t="s">
        <v>3743</v>
      </c>
      <c r="B1379" s="17" t="s">
        <v>3743</v>
      </c>
      <c r="C1379" s="17" t="s">
        <v>271</v>
      </c>
      <c r="D1379" s="17" t="s">
        <v>269</v>
      </c>
      <c r="E1379" s="17">
        <v>5.2359699999999999E-4</v>
      </c>
      <c r="F1379" s="6" t="s">
        <v>233</v>
      </c>
      <c r="G1379" s="6" t="s">
        <v>234</v>
      </c>
      <c r="H1379" s="6">
        <v>3</v>
      </c>
    </row>
    <row r="1380" spans="1:8" ht="45" x14ac:dyDescent="0.25">
      <c r="A1380" s="17" t="s">
        <v>3744</v>
      </c>
      <c r="B1380" s="17" t="s">
        <v>3744</v>
      </c>
      <c r="C1380" s="17" t="s">
        <v>271</v>
      </c>
      <c r="D1380" s="17" t="s">
        <v>269</v>
      </c>
      <c r="E1380" s="17">
        <v>5.2359699999999999E-4</v>
      </c>
      <c r="F1380" s="6" t="s">
        <v>233</v>
      </c>
      <c r="G1380" s="6" t="s">
        <v>234</v>
      </c>
      <c r="H1380" s="6">
        <v>3</v>
      </c>
    </row>
    <row r="1381" spans="1:8" ht="30" x14ac:dyDescent="0.25">
      <c r="A1381" s="17" t="s">
        <v>3745</v>
      </c>
      <c r="B1381" s="17" t="s">
        <v>3745</v>
      </c>
      <c r="C1381" s="17" t="s">
        <v>271</v>
      </c>
      <c r="D1381" s="17" t="s">
        <v>269</v>
      </c>
      <c r="E1381" s="17">
        <v>5.2359699999999999E-4</v>
      </c>
      <c r="F1381" s="6" t="s">
        <v>233</v>
      </c>
      <c r="G1381" s="6" t="s">
        <v>234</v>
      </c>
      <c r="H1381" s="6">
        <v>3</v>
      </c>
    </row>
    <row r="1382" spans="1:8" ht="30" x14ac:dyDescent="0.25">
      <c r="A1382" s="17" t="s">
        <v>3746</v>
      </c>
      <c r="B1382" s="17" t="s">
        <v>3746</v>
      </c>
      <c r="C1382" s="17" t="s">
        <v>271</v>
      </c>
      <c r="D1382" s="17" t="s">
        <v>269</v>
      </c>
      <c r="E1382" s="17">
        <v>5.2359699999999999E-4</v>
      </c>
      <c r="F1382" s="6" t="s">
        <v>233</v>
      </c>
      <c r="G1382" s="6" t="s">
        <v>234</v>
      </c>
      <c r="H1382" s="6">
        <v>3</v>
      </c>
    </row>
    <row r="1383" spans="1:8" ht="30" x14ac:dyDescent="0.25">
      <c r="A1383" s="17" t="s">
        <v>3747</v>
      </c>
      <c r="B1383" s="17" t="s">
        <v>3747</v>
      </c>
      <c r="C1383" s="17" t="s">
        <v>271</v>
      </c>
      <c r="D1383" s="17" t="s">
        <v>269</v>
      </c>
      <c r="E1383" s="17">
        <v>5.2359699999999999E-4</v>
      </c>
      <c r="F1383" s="6" t="s">
        <v>233</v>
      </c>
      <c r="G1383" s="6" t="s">
        <v>234</v>
      </c>
      <c r="H1383" s="6">
        <v>3</v>
      </c>
    </row>
    <row r="1384" spans="1:8" ht="30" x14ac:dyDescent="0.25">
      <c r="A1384" s="17" t="s">
        <v>3748</v>
      </c>
      <c r="B1384" s="17" t="s">
        <v>3748</v>
      </c>
      <c r="C1384" s="17" t="s">
        <v>271</v>
      </c>
      <c r="D1384" s="17" t="s">
        <v>269</v>
      </c>
      <c r="E1384" s="17">
        <v>5.2359699999999999E-4</v>
      </c>
      <c r="F1384" s="6" t="s">
        <v>233</v>
      </c>
      <c r="G1384" s="6" t="s">
        <v>234</v>
      </c>
      <c r="H1384" s="6">
        <v>3</v>
      </c>
    </row>
    <row r="1385" spans="1:8" ht="30" x14ac:dyDescent="0.25">
      <c r="A1385" s="17" t="s">
        <v>3749</v>
      </c>
      <c r="B1385" s="17" t="s">
        <v>3749</v>
      </c>
      <c r="C1385" s="17" t="s">
        <v>271</v>
      </c>
      <c r="D1385" s="17" t="s">
        <v>269</v>
      </c>
      <c r="E1385" s="17">
        <v>5.2359699999999999E-4</v>
      </c>
      <c r="F1385" s="6" t="s">
        <v>233</v>
      </c>
      <c r="G1385" s="6" t="s">
        <v>234</v>
      </c>
      <c r="H1385" s="6">
        <v>3</v>
      </c>
    </row>
    <row r="1386" spans="1:8" ht="30" x14ac:dyDescent="0.25">
      <c r="A1386" s="17" t="s">
        <v>3750</v>
      </c>
      <c r="B1386" s="17" t="s">
        <v>3750</v>
      </c>
      <c r="C1386" s="17" t="s">
        <v>271</v>
      </c>
      <c r="D1386" s="17" t="s">
        <v>269</v>
      </c>
      <c r="E1386" s="17">
        <v>5.2359699999999999E-4</v>
      </c>
      <c r="F1386" s="6" t="s">
        <v>233</v>
      </c>
      <c r="G1386" s="6" t="s">
        <v>234</v>
      </c>
      <c r="H1386" s="6">
        <v>3</v>
      </c>
    </row>
    <row r="1387" spans="1:8" x14ac:dyDescent="0.25">
      <c r="A1387" s="17" t="s">
        <v>3751</v>
      </c>
      <c r="B1387" s="17" t="s">
        <v>3751</v>
      </c>
      <c r="C1387" s="6" t="s">
        <v>310</v>
      </c>
      <c r="D1387" s="17" t="s">
        <v>308</v>
      </c>
      <c r="E1387" s="6">
        <v>5.3341800000000002E-4</v>
      </c>
      <c r="F1387" s="6" t="s">
        <v>233</v>
      </c>
      <c r="G1387" s="6" t="s">
        <v>234</v>
      </c>
      <c r="H1387" s="6">
        <v>3</v>
      </c>
    </row>
    <row r="1388" spans="1:8" x14ac:dyDescent="0.25">
      <c r="A1388" s="17" t="s">
        <v>1135</v>
      </c>
      <c r="B1388" s="17" t="s">
        <v>1135</v>
      </c>
      <c r="C1388" s="6" t="s">
        <v>310</v>
      </c>
      <c r="D1388" s="17" t="s">
        <v>308</v>
      </c>
      <c r="E1388" s="6">
        <v>5.3341800000000002E-4</v>
      </c>
      <c r="F1388" s="6" t="s">
        <v>233</v>
      </c>
      <c r="G1388" s="6" t="s">
        <v>234</v>
      </c>
      <c r="H1388" s="6">
        <v>3</v>
      </c>
    </row>
    <row r="1389" spans="1:8" x14ac:dyDescent="0.25">
      <c r="A1389" s="17" t="s">
        <v>3752</v>
      </c>
      <c r="B1389" s="17" t="s">
        <v>3752</v>
      </c>
      <c r="C1389" s="6" t="s">
        <v>310</v>
      </c>
      <c r="D1389" s="17" t="s">
        <v>308</v>
      </c>
      <c r="E1389" s="6">
        <v>5.3341800000000002E-4</v>
      </c>
      <c r="F1389" s="6" t="s">
        <v>233</v>
      </c>
      <c r="G1389" s="6" t="s">
        <v>234</v>
      </c>
      <c r="H1389" s="6">
        <v>3</v>
      </c>
    </row>
    <row r="1390" spans="1:8" x14ac:dyDescent="0.25">
      <c r="A1390" s="17" t="s">
        <v>3753</v>
      </c>
      <c r="B1390" s="17" t="s">
        <v>3753</v>
      </c>
      <c r="C1390" s="6" t="s">
        <v>310</v>
      </c>
      <c r="D1390" s="17" t="s">
        <v>308</v>
      </c>
      <c r="E1390" s="6">
        <v>5.3341800000000002E-4</v>
      </c>
      <c r="F1390" s="6" t="s">
        <v>233</v>
      </c>
      <c r="G1390" s="6" t="s">
        <v>234</v>
      </c>
      <c r="H1390" s="6">
        <v>3</v>
      </c>
    </row>
    <row r="1391" spans="1:8" x14ac:dyDescent="0.25">
      <c r="A1391" s="17" t="s">
        <v>3754</v>
      </c>
      <c r="B1391" s="17" t="s">
        <v>3754</v>
      </c>
      <c r="C1391" s="6" t="s">
        <v>310</v>
      </c>
      <c r="D1391" s="17" t="s">
        <v>308</v>
      </c>
      <c r="E1391" s="6">
        <v>5.3341800000000002E-4</v>
      </c>
      <c r="F1391" s="6" t="s">
        <v>233</v>
      </c>
      <c r="G1391" s="6" t="s">
        <v>234</v>
      </c>
      <c r="H1391" s="6">
        <v>3</v>
      </c>
    </row>
    <row r="1392" spans="1:8" x14ac:dyDescent="0.25">
      <c r="A1392" s="17" t="s">
        <v>3755</v>
      </c>
      <c r="B1392" s="17" t="s">
        <v>3755</v>
      </c>
      <c r="C1392" s="6" t="s">
        <v>310</v>
      </c>
      <c r="D1392" s="17" t="s">
        <v>308</v>
      </c>
      <c r="E1392" s="6">
        <v>5.3341800000000002E-4</v>
      </c>
      <c r="F1392" s="6" t="s">
        <v>233</v>
      </c>
      <c r="G1392" s="6" t="s">
        <v>234</v>
      </c>
      <c r="H1392" s="6">
        <v>3</v>
      </c>
    </row>
    <row r="1393" spans="1:8" x14ac:dyDescent="0.25">
      <c r="A1393" s="17" t="s">
        <v>3756</v>
      </c>
      <c r="B1393" s="17" t="s">
        <v>3756</v>
      </c>
      <c r="C1393" s="6" t="s">
        <v>310</v>
      </c>
      <c r="D1393" s="17" t="s">
        <v>308</v>
      </c>
      <c r="E1393" s="6">
        <v>5.3341800000000002E-4</v>
      </c>
      <c r="F1393" s="6" t="s">
        <v>233</v>
      </c>
      <c r="G1393" s="6" t="s">
        <v>234</v>
      </c>
      <c r="H1393" s="6">
        <v>3</v>
      </c>
    </row>
    <row r="1394" spans="1:8" x14ac:dyDescent="0.25">
      <c r="A1394" s="17" t="s">
        <v>3757</v>
      </c>
      <c r="B1394" s="17" t="s">
        <v>3757</v>
      </c>
      <c r="C1394" s="6" t="s">
        <v>310</v>
      </c>
      <c r="D1394" s="17" t="s">
        <v>308</v>
      </c>
      <c r="E1394" s="6">
        <v>5.3341800000000002E-4</v>
      </c>
      <c r="F1394" s="6" t="s">
        <v>233</v>
      </c>
      <c r="G1394" s="6" t="s">
        <v>234</v>
      </c>
      <c r="H1394" s="6">
        <v>3</v>
      </c>
    </row>
    <row r="1395" spans="1:8" x14ac:dyDescent="0.25">
      <c r="A1395" s="17" t="s">
        <v>3758</v>
      </c>
      <c r="B1395" s="17" t="s">
        <v>3758</v>
      </c>
      <c r="C1395" s="6" t="s">
        <v>310</v>
      </c>
      <c r="D1395" s="17" t="s">
        <v>308</v>
      </c>
      <c r="E1395" s="6">
        <v>5.3341800000000002E-4</v>
      </c>
      <c r="F1395" s="6" t="s">
        <v>233</v>
      </c>
      <c r="G1395" s="6" t="s">
        <v>234</v>
      </c>
      <c r="H1395" s="6">
        <v>3</v>
      </c>
    </row>
    <row r="1396" spans="1:8" x14ac:dyDescent="0.25">
      <c r="A1396" s="17" t="s">
        <v>3759</v>
      </c>
      <c r="B1396" s="17" t="s">
        <v>3759</v>
      </c>
      <c r="C1396" s="6" t="s">
        <v>310</v>
      </c>
      <c r="D1396" s="17" t="s">
        <v>308</v>
      </c>
      <c r="E1396" s="6">
        <v>5.3341800000000002E-4</v>
      </c>
      <c r="F1396" s="6" t="s">
        <v>233</v>
      </c>
      <c r="G1396" s="6" t="s">
        <v>234</v>
      </c>
      <c r="H1396" s="6">
        <v>3</v>
      </c>
    </row>
    <row r="1397" spans="1:8" x14ac:dyDescent="0.25">
      <c r="A1397" s="17" t="s">
        <v>3760</v>
      </c>
      <c r="B1397" s="17" t="s">
        <v>3760</v>
      </c>
      <c r="C1397" s="6" t="s">
        <v>310</v>
      </c>
      <c r="D1397" s="17" t="s">
        <v>308</v>
      </c>
      <c r="E1397" s="6">
        <v>5.3341800000000002E-4</v>
      </c>
      <c r="F1397" s="6" t="s">
        <v>233</v>
      </c>
      <c r="G1397" s="6" t="s">
        <v>234</v>
      </c>
      <c r="H1397" s="6">
        <v>3</v>
      </c>
    </row>
    <row r="1398" spans="1:8" x14ac:dyDescent="0.25">
      <c r="A1398" s="17" t="s">
        <v>3761</v>
      </c>
      <c r="B1398" s="17" t="s">
        <v>3761</v>
      </c>
      <c r="C1398" s="6" t="s">
        <v>310</v>
      </c>
      <c r="D1398" s="17" t="s">
        <v>308</v>
      </c>
      <c r="E1398" s="6">
        <v>5.3341800000000002E-4</v>
      </c>
      <c r="F1398" s="6" t="s">
        <v>233</v>
      </c>
      <c r="G1398" s="6" t="s">
        <v>234</v>
      </c>
      <c r="H1398" s="6">
        <v>3</v>
      </c>
    </row>
    <row r="1399" spans="1:8" x14ac:dyDescent="0.25">
      <c r="A1399" s="17" t="s">
        <v>3762</v>
      </c>
      <c r="B1399" s="17" t="s">
        <v>3762</v>
      </c>
      <c r="C1399" s="6" t="s">
        <v>310</v>
      </c>
      <c r="D1399" s="17" t="s">
        <v>308</v>
      </c>
      <c r="E1399" s="6">
        <v>5.3341800000000002E-4</v>
      </c>
      <c r="F1399" s="6" t="s">
        <v>233</v>
      </c>
      <c r="G1399" s="6" t="s">
        <v>234</v>
      </c>
      <c r="H1399" s="6">
        <v>3</v>
      </c>
    </row>
    <row r="1400" spans="1:8" x14ac:dyDescent="0.25">
      <c r="A1400" s="17" t="s">
        <v>3763</v>
      </c>
      <c r="B1400" s="17" t="s">
        <v>3763</v>
      </c>
      <c r="C1400" s="6" t="s">
        <v>310</v>
      </c>
      <c r="D1400" s="17" t="s">
        <v>308</v>
      </c>
      <c r="E1400" s="6">
        <v>5.3341800000000002E-4</v>
      </c>
      <c r="F1400" s="6" t="s">
        <v>233</v>
      </c>
      <c r="G1400" s="6" t="s">
        <v>234</v>
      </c>
      <c r="H1400" s="6">
        <v>3</v>
      </c>
    </row>
    <row r="1401" spans="1:8" x14ac:dyDescent="0.25">
      <c r="A1401" s="17" t="s">
        <v>3764</v>
      </c>
      <c r="B1401" s="17" t="s">
        <v>3764</v>
      </c>
      <c r="C1401" s="6" t="s">
        <v>310</v>
      </c>
      <c r="D1401" s="17" t="s">
        <v>308</v>
      </c>
      <c r="E1401" s="6">
        <v>5.3341800000000002E-4</v>
      </c>
      <c r="F1401" s="6" t="s">
        <v>233</v>
      </c>
      <c r="G1401" s="6" t="s">
        <v>234</v>
      </c>
      <c r="H1401" s="6">
        <v>3</v>
      </c>
    </row>
    <row r="1402" spans="1:8" x14ac:dyDescent="0.25">
      <c r="A1402" s="17" t="s">
        <v>3765</v>
      </c>
      <c r="B1402" s="17" t="s">
        <v>3765</v>
      </c>
      <c r="C1402" s="6" t="s">
        <v>310</v>
      </c>
      <c r="D1402" s="17" t="s">
        <v>308</v>
      </c>
      <c r="E1402" s="6">
        <v>5.3341800000000002E-4</v>
      </c>
      <c r="F1402" s="6" t="s">
        <v>233</v>
      </c>
      <c r="G1402" s="6" t="s">
        <v>234</v>
      </c>
      <c r="H1402" s="6">
        <v>3</v>
      </c>
    </row>
    <row r="1403" spans="1:8" x14ac:dyDescent="0.25">
      <c r="A1403" s="17" t="s">
        <v>3766</v>
      </c>
      <c r="B1403" s="17" t="s">
        <v>3766</v>
      </c>
      <c r="C1403" s="6" t="s">
        <v>310</v>
      </c>
      <c r="D1403" s="17" t="s">
        <v>308</v>
      </c>
      <c r="E1403" s="6">
        <v>5.3341800000000002E-4</v>
      </c>
      <c r="F1403" s="6" t="s">
        <v>233</v>
      </c>
      <c r="G1403" s="6" t="s">
        <v>234</v>
      </c>
      <c r="H1403" s="6">
        <v>3</v>
      </c>
    </row>
    <row r="1404" spans="1:8" x14ac:dyDescent="0.25">
      <c r="A1404" s="17" t="s">
        <v>3767</v>
      </c>
      <c r="B1404" s="17" t="s">
        <v>3767</v>
      </c>
      <c r="C1404" s="6" t="s">
        <v>310</v>
      </c>
      <c r="D1404" s="17" t="s">
        <v>308</v>
      </c>
      <c r="E1404" s="6">
        <v>5.3341800000000002E-4</v>
      </c>
      <c r="F1404" s="6" t="s">
        <v>233</v>
      </c>
      <c r="G1404" s="6" t="s">
        <v>234</v>
      </c>
      <c r="H1404" s="6">
        <v>3</v>
      </c>
    </row>
    <row r="1405" spans="1:8" x14ac:dyDescent="0.25">
      <c r="A1405" s="17" t="s">
        <v>3768</v>
      </c>
      <c r="B1405" s="17" t="s">
        <v>3768</v>
      </c>
      <c r="C1405" s="6" t="s">
        <v>310</v>
      </c>
      <c r="D1405" s="17" t="s">
        <v>308</v>
      </c>
      <c r="E1405" s="6">
        <v>5.3341800000000002E-4</v>
      </c>
      <c r="F1405" s="6" t="s">
        <v>233</v>
      </c>
      <c r="G1405" s="6" t="s">
        <v>234</v>
      </c>
      <c r="H1405" s="6">
        <v>3</v>
      </c>
    </row>
    <row r="1406" spans="1:8" x14ac:dyDescent="0.25">
      <c r="A1406" s="17" t="s">
        <v>3769</v>
      </c>
      <c r="B1406" s="17" t="s">
        <v>3769</v>
      </c>
      <c r="C1406" s="6" t="s">
        <v>310</v>
      </c>
      <c r="D1406" s="17" t="s">
        <v>308</v>
      </c>
      <c r="E1406" s="6">
        <v>5.3341800000000002E-4</v>
      </c>
      <c r="F1406" s="6" t="s">
        <v>233</v>
      </c>
      <c r="G1406" s="6" t="s">
        <v>234</v>
      </c>
      <c r="H1406" s="6">
        <v>3</v>
      </c>
    </row>
    <row r="1407" spans="1:8" x14ac:dyDescent="0.25">
      <c r="A1407" s="17" t="s">
        <v>3770</v>
      </c>
      <c r="B1407" s="17" t="s">
        <v>3770</v>
      </c>
      <c r="C1407" s="6" t="s">
        <v>310</v>
      </c>
      <c r="D1407" s="17" t="s">
        <v>308</v>
      </c>
      <c r="E1407" s="6">
        <v>5.3341800000000002E-4</v>
      </c>
      <c r="F1407" s="6" t="s">
        <v>233</v>
      </c>
      <c r="G1407" s="6" t="s">
        <v>234</v>
      </c>
      <c r="H1407" s="6">
        <v>3</v>
      </c>
    </row>
    <row r="1408" spans="1:8" x14ac:dyDescent="0.25">
      <c r="A1408" s="17" t="s">
        <v>3771</v>
      </c>
      <c r="B1408" s="17" t="s">
        <v>3771</v>
      </c>
      <c r="C1408" s="6" t="s">
        <v>310</v>
      </c>
      <c r="D1408" s="17" t="s">
        <v>308</v>
      </c>
      <c r="E1408" s="6">
        <v>5.3341800000000002E-4</v>
      </c>
      <c r="F1408" s="6" t="s">
        <v>233</v>
      </c>
      <c r="G1408" s="6" t="s">
        <v>234</v>
      </c>
      <c r="H1408" s="6">
        <v>3</v>
      </c>
    </row>
    <row r="1409" spans="1:8" x14ac:dyDescent="0.25">
      <c r="A1409" s="17" t="s">
        <v>3772</v>
      </c>
      <c r="B1409" s="17" t="s">
        <v>3772</v>
      </c>
      <c r="C1409" s="6" t="s">
        <v>310</v>
      </c>
      <c r="D1409" s="17" t="s">
        <v>308</v>
      </c>
      <c r="E1409" s="6">
        <v>5.3341800000000002E-4</v>
      </c>
      <c r="F1409" s="6" t="s">
        <v>233</v>
      </c>
      <c r="G1409" s="6" t="s">
        <v>234</v>
      </c>
      <c r="H1409" s="6">
        <v>3</v>
      </c>
    </row>
    <row r="1410" spans="1:8" x14ac:dyDescent="0.25">
      <c r="A1410" s="17" t="s">
        <v>3773</v>
      </c>
      <c r="B1410" s="17" t="s">
        <v>3773</v>
      </c>
      <c r="C1410" s="6" t="s">
        <v>310</v>
      </c>
      <c r="D1410" s="17" t="s">
        <v>308</v>
      </c>
      <c r="E1410" s="6">
        <v>5.3341800000000002E-4</v>
      </c>
      <c r="F1410" s="6" t="s">
        <v>233</v>
      </c>
      <c r="G1410" s="6" t="s">
        <v>234</v>
      </c>
      <c r="H1410" s="6">
        <v>3</v>
      </c>
    </row>
    <row r="1411" spans="1:8" x14ac:dyDescent="0.25">
      <c r="A1411" s="17" t="s">
        <v>3774</v>
      </c>
      <c r="B1411" s="17" t="s">
        <v>3774</v>
      </c>
      <c r="C1411" s="6" t="s">
        <v>310</v>
      </c>
      <c r="D1411" s="17" t="s">
        <v>308</v>
      </c>
      <c r="E1411" s="6">
        <v>5.3341800000000002E-4</v>
      </c>
      <c r="F1411" s="6" t="s">
        <v>233</v>
      </c>
      <c r="G1411" s="6" t="s">
        <v>234</v>
      </c>
      <c r="H1411" s="6">
        <v>3</v>
      </c>
    </row>
    <row r="1412" spans="1:8" x14ac:dyDescent="0.25">
      <c r="A1412" s="17" t="s">
        <v>3775</v>
      </c>
      <c r="B1412" s="17" t="s">
        <v>3775</v>
      </c>
      <c r="C1412" s="6" t="s">
        <v>310</v>
      </c>
      <c r="D1412" s="17" t="s">
        <v>308</v>
      </c>
      <c r="E1412" s="6">
        <v>5.3341800000000002E-4</v>
      </c>
      <c r="F1412" s="6" t="s">
        <v>233</v>
      </c>
      <c r="G1412" s="6" t="s">
        <v>234</v>
      </c>
      <c r="H1412" s="6">
        <v>3</v>
      </c>
    </row>
    <row r="1413" spans="1:8" x14ac:dyDescent="0.25">
      <c r="A1413" s="17" t="s">
        <v>3776</v>
      </c>
      <c r="B1413" s="17" t="s">
        <v>3776</v>
      </c>
      <c r="C1413" s="6" t="s">
        <v>310</v>
      </c>
      <c r="D1413" s="17" t="s">
        <v>308</v>
      </c>
      <c r="E1413" s="6">
        <v>5.3341800000000002E-4</v>
      </c>
      <c r="F1413" s="6" t="s">
        <v>233</v>
      </c>
      <c r="G1413" s="6" t="s">
        <v>234</v>
      </c>
      <c r="H1413" s="6">
        <v>3</v>
      </c>
    </row>
    <row r="1414" spans="1:8" x14ac:dyDescent="0.25">
      <c r="A1414" s="17" t="s">
        <v>3777</v>
      </c>
      <c r="B1414" s="17" t="s">
        <v>3777</v>
      </c>
      <c r="C1414" s="6" t="s">
        <v>310</v>
      </c>
      <c r="D1414" s="17" t="s">
        <v>308</v>
      </c>
      <c r="E1414" s="6">
        <v>5.3341800000000002E-4</v>
      </c>
      <c r="F1414" s="6" t="s">
        <v>233</v>
      </c>
      <c r="G1414" s="6" t="s">
        <v>234</v>
      </c>
      <c r="H1414" s="6">
        <v>3</v>
      </c>
    </row>
    <row r="1415" spans="1:8" x14ac:dyDescent="0.25">
      <c r="A1415" s="17" t="s">
        <v>3778</v>
      </c>
      <c r="B1415" s="17" t="s">
        <v>3778</v>
      </c>
      <c r="C1415" s="6" t="s">
        <v>310</v>
      </c>
      <c r="D1415" s="17" t="s">
        <v>308</v>
      </c>
      <c r="E1415" s="6">
        <v>5.3341800000000002E-4</v>
      </c>
      <c r="F1415" s="6" t="s">
        <v>233</v>
      </c>
      <c r="G1415" s="6" t="s">
        <v>234</v>
      </c>
      <c r="H1415" s="6">
        <v>3</v>
      </c>
    </row>
    <row r="1416" spans="1:8" x14ac:dyDescent="0.25">
      <c r="A1416" s="17" t="s">
        <v>3779</v>
      </c>
      <c r="B1416" s="17" t="s">
        <v>3779</v>
      </c>
      <c r="C1416" s="6" t="s">
        <v>310</v>
      </c>
      <c r="D1416" s="17" t="s">
        <v>308</v>
      </c>
      <c r="E1416" s="6">
        <v>5.3341800000000002E-4</v>
      </c>
      <c r="F1416" s="6" t="s">
        <v>233</v>
      </c>
      <c r="G1416" s="6" t="s">
        <v>234</v>
      </c>
      <c r="H1416" s="6">
        <v>3</v>
      </c>
    </row>
    <row r="1417" spans="1:8" x14ac:dyDescent="0.25">
      <c r="A1417" s="17" t="s">
        <v>3780</v>
      </c>
      <c r="B1417" s="17" t="s">
        <v>3780</v>
      </c>
      <c r="C1417" s="6" t="s">
        <v>310</v>
      </c>
      <c r="D1417" s="17" t="s">
        <v>308</v>
      </c>
      <c r="E1417" s="6">
        <v>5.3341800000000002E-4</v>
      </c>
      <c r="F1417" s="6" t="s">
        <v>233</v>
      </c>
      <c r="G1417" s="6" t="s">
        <v>234</v>
      </c>
      <c r="H1417" s="6">
        <v>3</v>
      </c>
    </row>
    <row r="1418" spans="1:8" x14ac:dyDescent="0.25">
      <c r="A1418" s="17" t="s">
        <v>3781</v>
      </c>
      <c r="B1418" s="17" t="s">
        <v>3781</v>
      </c>
      <c r="C1418" s="6" t="s">
        <v>310</v>
      </c>
      <c r="D1418" s="17" t="s">
        <v>308</v>
      </c>
      <c r="E1418" s="6">
        <v>5.3341800000000002E-4</v>
      </c>
      <c r="F1418" s="6" t="s">
        <v>233</v>
      </c>
      <c r="G1418" s="6" t="s">
        <v>234</v>
      </c>
      <c r="H1418" s="6">
        <v>3</v>
      </c>
    </row>
    <row r="1419" spans="1:8" x14ac:dyDescent="0.25">
      <c r="A1419" s="17" t="s">
        <v>3782</v>
      </c>
      <c r="B1419" s="17" t="s">
        <v>3782</v>
      </c>
      <c r="C1419" s="6" t="s">
        <v>310</v>
      </c>
      <c r="D1419" s="17" t="s">
        <v>308</v>
      </c>
      <c r="E1419" s="6">
        <v>5.3341800000000002E-4</v>
      </c>
      <c r="F1419" s="6" t="s">
        <v>233</v>
      </c>
      <c r="G1419" s="6" t="s">
        <v>234</v>
      </c>
      <c r="H1419" s="6">
        <v>3</v>
      </c>
    </row>
    <row r="1420" spans="1:8" x14ac:dyDescent="0.25">
      <c r="A1420" s="17" t="s">
        <v>488</v>
      </c>
      <c r="B1420" s="17" t="s">
        <v>488</v>
      </c>
      <c r="C1420" s="6" t="s">
        <v>310</v>
      </c>
      <c r="D1420" s="17" t="s">
        <v>308</v>
      </c>
      <c r="E1420" s="6">
        <v>5.3341800000000002E-4</v>
      </c>
      <c r="F1420" s="6" t="s">
        <v>233</v>
      </c>
      <c r="G1420" s="6" t="s">
        <v>234</v>
      </c>
      <c r="H1420" s="6">
        <v>3</v>
      </c>
    </row>
    <row r="1421" spans="1:8" x14ac:dyDescent="0.25">
      <c r="A1421" s="17" t="s">
        <v>3783</v>
      </c>
      <c r="B1421" s="17" t="s">
        <v>3783</v>
      </c>
      <c r="C1421" s="6" t="s">
        <v>310</v>
      </c>
      <c r="D1421" s="17" t="s">
        <v>308</v>
      </c>
      <c r="E1421" s="6">
        <v>5.3341800000000002E-4</v>
      </c>
      <c r="F1421" s="6" t="s">
        <v>233</v>
      </c>
      <c r="G1421" s="6" t="s">
        <v>234</v>
      </c>
      <c r="H1421" s="6">
        <v>3</v>
      </c>
    </row>
    <row r="1422" spans="1:8" x14ac:dyDescent="0.25">
      <c r="A1422" s="17" t="s">
        <v>3784</v>
      </c>
      <c r="B1422" s="17" t="s">
        <v>3784</v>
      </c>
      <c r="C1422" s="6" t="s">
        <v>310</v>
      </c>
      <c r="D1422" s="17" t="s">
        <v>308</v>
      </c>
      <c r="E1422" s="6">
        <v>5.3341800000000002E-4</v>
      </c>
      <c r="F1422" s="6" t="s">
        <v>233</v>
      </c>
      <c r="G1422" s="6" t="s">
        <v>234</v>
      </c>
      <c r="H1422" s="6">
        <v>3</v>
      </c>
    </row>
    <row r="1423" spans="1:8" x14ac:dyDescent="0.25">
      <c r="A1423" s="17" t="s">
        <v>3785</v>
      </c>
      <c r="B1423" s="17" t="s">
        <v>3785</v>
      </c>
      <c r="C1423" s="6" t="s">
        <v>310</v>
      </c>
      <c r="D1423" s="17" t="s">
        <v>308</v>
      </c>
      <c r="E1423" s="6">
        <v>5.3341800000000002E-4</v>
      </c>
      <c r="F1423" s="6" t="s">
        <v>233</v>
      </c>
      <c r="G1423" s="6" t="s">
        <v>234</v>
      </c>
      <c r="H1423" s="6">
        <v>3</v>
      </c>
    </row>
    <row r="1424" spans="1:8" x14ac:dyDescent="0.25">
      <c r="A1424" s="17" t="s">
        <v>1372</v>
      </c>
      <c r="B1424" s="17" t="s">
        <v>1372</v>
      </c>
      <c r="C1424" s="6" t="s">
        <v>310</v>
      </c>
      <c r="D1424" s="17" t="s">
        <v>308</v>
      </c>
      <c r="E1424" s="6">
        <v>5.3341800000000002E-4</v>
      </c>
      <c r="F1424" s="6" t="s">
        <v>233</v>
      </c>
      <c r="G1424" s="6" t="s">
        <v>234</v>
      </c>
      <c r="H1424" s="6">
        <v>3</v>
      </c>
    </row>
    <row r="1425" spans="1:8" x14ac:dyDescent="0.25">
      <c r="A1425" s="17" t="s">
        <v>3786</v>
      </c>
      <c r="B1425" s="17" t="s">
        <v>3786</v>
      </c>
      <c r="C1425" s="6" t="s">
        <v>310</v>
      </c>
      <c r="D1425" s="17" t="s">
        <v>308</v>
      </c>
      <c r="E1425" s="6">
        <v>5.3341800000000002E-4</v>
      </c>
      <c r="F1425" s="6" t="s">
        <v>233</v>
      </c>
      <c r="G1425" s="6" t="s">
        <v>234</v>
      </c>
      <c r="H1425" s="6">
        <v>3</v>
      </c>
    </row>
    <row r="1426" spans="1:8" x14ac:dyDescent="0.25">
      <c r="A1426" s="17" t="s">
        <v>3787</v>
      </c>
      <c r="B1426" s="17" t="s">
        <v>3787</v>
      </c>
      <c r="C1426" s="6" t="s">
        <v>310</v>
      </c>
      <c r="D1426" s="17" t="s">
        <v>308</v>
      </c>
      <c r="E1426" s="6">
        <v>5.3341800000000002E-4</v>
      </c>
      <c r="F1426" s="6" t="s">
        <v>233</v>
      </c>
      <c r="G1426" s="6" t="s">
        <v>234</v>
      </c>
      <c r="H1426" s="6">
        <v>3</v>
      </c>
    </row>
    <row r="1427" spans="1:8" x14ac:dyDescent="0.25">
      <c r="A1427" s="17" t="s">
        <v>3788</v>
      </c>
      <c r="B1427" s="17" t="s">
        <v>3788</v>
      </c>
      <c r="C1427" s="6" t="s">
        <v>310</v>
      </c>
      <c r="D1427" s="17" t="s">
        <v>308</v>
      </c>
      <c r="E1427" s="6">
        <v>5.3341800000000002E-4</v>
      </c>
      <c r="F1427" s="6" t="s">
        <v>233</v>
      </c>
      <c r="G1427" s="6" t="s">
        <v>234</v>
      </c>
      <c r="H1427" s="6">
        <v>3</v>
      </c>
    </row>
    <row r="1428" spans="1:8" x14ac:dyDescent="0.25">
      <c r="A1428" s="17" t="s">
        <v>3789</v>
      </c>
      <c r="B1428" s="17" t="s">
        <v>3789</v>
      </c>
      <c r="C1428" s="6" t="s">
        <v>310</v>
      </c>
      <c r="D1428" s="17" t="s">
        <v>308</v>
      </c>
      <c r="E1428" s="6">
        <v>5.3341800000000002E-4</v>
      </c>
      <c r="F1428" s="6" t="s">
        <v>233</v>
      </c>
      <c r="G1428" s="6" t="s">
        <v>234</v>
      </c>
      <c r="H1428" s="6">
        <v>3</v>
      </c>
    </row>
    <row r="1429" spans="1:8" x14ac:dyDescent="0.25">
      <c r="A1429" s="17" t="s">
        <v>3790</v>
      </c>
      <c r="B1429" s="17" t="s">
        <v>3790</v>
      </c>
      <c r="C1429" s="6" t="s">
        <v>310</v>
      </c>
      <c r="D1429" s="17" t="s">
        <v>308</v>
      </c>
      <c r="E1429" s="6">
        <v>5.3341800000000002E-4</v>
      </c>
      <c r="F1429" s="6" t="s">
        <v>233</v>
      </c>
      <c r="G1429" s="6" t="s">
        <v>234</v>
      </c>
      <c r="H1429" s="6">
        <v>3</v>
      </c>
    </row>
    <row r="1430" spans="1:8" x14ac:dyDescent="0.25">
      <c r="A1430" s="17" t="s">
        <v>3791</v>
      </c>
      <c r="B1430" s="17" t="s">
        <v>3791</v>
      </c>
      <c r="C1430" s="6" t="s">
        <v>310</v>
      </c>
      <c r="D1430" s="17" t="s">
        <v>308</v>
      </c>
      <c r="E1430" s="6">
        <v>5.3341800000000002E-4</v>
      </c>
      <c r="F1430" s="6" t="s">
        <v>233</v>
      </c>
      <c r="G1430" s="6" t="s">
        <v>234</v>
      </c>
      <c r="H1430" s="6">
        <v>3</v>
      </c>
    </row>
    <row r="1431" spans="1:8" ht="30" x14ac:dyDescent="0.25">
      <c r="A1431" s="17" t="s">
        <v>3792</v>
      </c>
      <c r="B1431" s="17" t="s">
        <v>3792</v>
      </c>
      <c r="C1431" s="6" t="s">
        <v>310</v>
      </c>
      <c r="D1431" s="17" t="s">
        <v>308</v>
      </c>
      <c r="E1431" s="6">
        <v>5.3341800000000002E-4</v>
      </c>
      <c r="F1431" s="6" t="s">
        <v>233</v>
      </c>
      <c r="G1431" s="6" t="s">
        <v>234</v>
      </c>
      <c r="H1431" s="6">
        <v>3</v>
      </c>
    </row>
    <row r="1432" spans="1:8" x14ac:dyDescent="0.25">
      <c r="A1432" s="17" t="s">
        <v>3793</v>
      </c>
      <c r="B1432" s="17" t="s">
        <v>3793</v>
      </c>
      <c r="C1432" s="6" t="s">
        <v>310</v>
      </c>
      <c r="D1432" s="17" t="s">
        <v>308</v>
      </c>
      <c r="E1432" s="6">
        <v>5.3341800000000002E-4</v>
      </c>
      <c r="F1432" s="6" t="s">
        <v>233</v>
      </c>
      <c r="G1432" s="6" t="s">
        <v>234</v>
      </c>
      <c r="H1432" s="6">
        <v>3</v>
      </c>
    </row>
    <row r="1433" spans="1:8" x14ac:dyDescent="0.25">
      <c r="A1433" s="17" t="s">
        <v>3794</v>
      </c>
      <c r="B1433" s="17" t="s">
        <v>3794</v>
      </c>
      <c r="C1433" s="6" t="s">
        <v>310</v>
      </c>
      <c r="D1433" s="17" t="s">
        <v>308</v>
      </c>
      <c r="E1433" s="6">
        <v>5.3341800000000002E-4</v>
      </c>
      <c r="F1433" s="6" t="s">
        <v>233</v>
      </c>
      <c r="G1433" s="6" t="s">
        <v>234</v>
      </c>
      <c r="H1433" s="6">
        <v>3</v>
      </c>
    </row>
    <row r="1434" spans="1:8" ht="30" x14ac:dyDescent="0.25">
      <c r="A1434" s="17" t="s">
        <v>3795</v>
      </c>
      <c r="B1434" s="17" t="s">
        <v>3795</v>
      </c>
      <c r="C1434" s="6" t="s">
        <v>310</v>
      </c>
      <c r="D1434" s="17" t="s">
        <v>308</v>
      </c>
      <c r="E1434" s="6">
        <v>5.3341800000000002E-4</v>
      </c>
      <c r="F1434" s="6" t="s">
        <v>233</v>
      </c>
      <c r="G1434" s="6" t="s">
        <v>234</v>
      </c>
      <c r="H1434" s="6">
        <v>3</v>
      </c>
    </row>
    <row r="1435" spans="1:8" ht="30" x14ac:dyDescent="0.25">
      <c r="A1435" s="17" t="s">
        <v>3796</v>
      </c>
      <c r="B1435" s="17" t="s">
        <v>3796</v>
      </c>
      <c r="C1435" s="6" t="s">
        <v>310</v>
      </c>
      <c r="D1435" s="17" t="s">
        <v>308</v>
      </c>
      <c r="E1435" s="6">
        <v>5.3341800000000002E-4</v>
      </c>
      <c r="F1435" s="6" t="s">
        <v>233</v>
      </c>
      <c r="G1435" s="6" t="s">
        <v>234</v>
      </c>
      <c r="H1435" s="6">
        <v>3</v>
      </c>
    </row>
    <row r="1436" spans="1:8" ht="30" x14ac:dyDescent="0.25">
      <c r="A1436" s="17" t="s">
        <v>3797</v>
      </c>
      <c r="B1436" s="17" t="s">
        <v>3797</v>
      </c>
      <c r="C1436" s="6" t="s">
        <v>310</v>
      </c>
      <c r="D1436" s="17" t="s">
        <v>308</v>
      </c>
      <c r="E1436" s="6">
        <v>5.3341800000000002E-4</v>
      </c>
      <c r="F1436" s="6" t="s">
        <v>233</v>
      </c>
      <c r="G1436" s="6" t="s">
        <v>234</v>
      </c>
      <c r="H1436" s="6">
        <v>3</v>
      </c>
    </row>
    <row r="1437" spans="1:8" x14ac:dyDescent="0.25">
      <c r="A1437" s="17" t="s">
        <v>3758</v>
      </c>
      <c r="B1437" s="17" t="s">
        <v>3758</v>
      </c>
      <c r="C1437" s="6" t="s">
        <v>310</v>
      </c>
      <c r="D1437" s="17" t="s">
        <v>308</v>
      </c>
      <c r="E1437" s="6">
        <v>5.3341800000000002E-4</v>
      </c>
      <c r="F1437" s="6" t="s">
        <v>233</v>
      </c>
      <c r="G1437" s="6" t="s">
        <v>234</v>
      </c>
      <c r="H1437" s="6">
        <v>3</v>
      </c>
    </row>
    <row r="1438" spans="1:8" x14ac:dyDescent="0.25">
      <c r="A1438" s="17" t="s">
        <v>3798</v>
      </c>
      <c r="B1438" s="17" t="s">
        <v>3798</v>
      </c>
      <c r="C1438" s="6" t="s">
        <v>310</v>
      </c>
      <c r="D1438" s="17" t="s">
        <v>308</v>
      </c>
      <c r="E1438" s="6">
        <v>5.3341800000000002E-4</v>
      </c>
      <c r="F1438" s="6" t="s">
        <v>233</v>
      </c>
      <c r="G1438" s="6" t="s">
        <v>234</v>
      </c>
      <c r="H1438" s="6">
        <v>3</v>
      </c>
    </row>
    <row r="1439" spans="1:8" x14ac:dyDescent="0.25">
      <c r="A1439" s="17" t="s">
        <v>3799</v>
      </c>
      <c r="B1439" s="17" t="s">
        <v>3799</v>
      </c>
      <c r="C1439" s="6" t="s">
        <v>310</v>
      </c>
      <c r="D1439" s="17" t="s">
        <v>308</v>
      </c>
      <c r="E1439" s="6">
        <v>5.3341800000000002E-4</v>
      </c>
      <c r="F1439" s="6" t="s">
        <v>233</v>
      </c>
      <c r="G1439" s="6" t="s">
        <v>234</v>
      </c>
      <c r="H1439" s="6">
        <v>3</v>
      </c>
    </row>
    <row r="1440" spans="1:8" x14ac:dyDescent="0.25">
      <c r="A1440" s="17" t="s">
        <v>3800</v>
      </c>
      <c r="B1440" s="17" t="s">
        <v>3800</v>
      </c>
      <c r="C1440" s="6" t="s">
        <v>310</v>
      </c>
      <c r="D1440" s="17" t="s">
        <v>308</v>
      </c>
      <c r="E1440" s="6">
        <v>5.3341800000000002E-4</v>
      </c>
      <c r="F1440" s="6" t="s">
        <v>233</v>
      </c>
      <c r="G1440" s="6" t="s">
        <v>234</v>
      </c>
      <c r="H1440" s="6">
        <v>3</v>
      </c>
    </row>
    <row r="1441" spans="1:8" x14ac:dyDescent="0.25">
      <c r="A1441" s="17" t="s">
        <v>3801</v>
      </c>
      <c r="B1441" s="17" t="s">
        <v>3801</v>
      </c>
      <c r="C1441" s="6" t="s">
        <v>310</v>
      </c>
      <c r="D1441" s="17" t="s">
        <v>308</v>
      </c>
      <c r="E1441" s="6">
        <v>5.3341800000000002E-4</v>
      </c>
      <c r="F1441" s="6" t="s">
        <v>233</v>
      </c>
      <c r="G1441" s="6" t="s">
        <v>234</v>
      </c>
      <c r="H1441" s="6">
        <v>3</v>
      </c>
    </row>
    <row r="1442" spans="1:8" x14ac:dyDescent="0.25">
      <c r="A1442" s="17" t="s">
        <v>3802</v>
      </c>
      <c r="B1442" s="17" t="s">
        <v>3802</v>
      </c>
      <c r="C1442" s="6" t="s">
        <v>310</v>
      </c>
      <c r="D1442" s="17" t="s">
        <v>308</v>
      </c>
      <c r="E1442" s="6">
        <v>5.3341800000000002E-4</v>
      </c>
      <c r="F1442" s="6" t="s">
        <v>233</v>
      </c>
      <c r="G1442" s="6" t="s">
        <v>234</v>
      </c>
      <c r="H1442" s="6">
        <v>3</v>
      </c>
    </row>
    <row r="1443" spans="1:8" x14ac:dyDescent="0.25">
      <c r="A1443" s="17" t="s">
        <v>3803</v>
      </c>
      <c r="B1443" s="17" t="s">
        <v>3803</v>
      </c>
      <c r="C1443" s="6" t="s">
        <v>310</v>
      </c>
      <c r="D1443" s="17" t="s">
        <v>308</v>
      </c>
      <c r="E1443" s="6">
        <v>5.3341800000000002E-4</v>
      </c>
      <c r="F1443" s="6" t="s">
        <v>233</v>
      </c>
      <c r="G1443" s="6" t="s">
        <v>234</v>
      </c>
      <c r="H1443" s="6">
        <v>3</v>
      </c>
    </row>
    <row r="1444" spans="1:8" x14ac:dyDescent="0.25">
      <c r="A1444" s="17" t="s">
        <v>3804</v>
      </c>
      <c r="B1444" s="17" t="s">
        <v>3804</v>
      </c>
      <c r="C1444" s="6" t="s">
        <v>310</v>
      </c>
      <c r="D1444" s="17" t="s">
        <v>308</v>
      </c>
      <c r="E1444" s="6">
        <v>5.3341800000000002E-4</v>
      </c>
      <c r="F1444" s="6" t="s">
        <v>233</v>
      </c>
      <c r="G1444" s="6" t="s">
        <v>234</v>
      </c>
      <c r="H1444" s="6">
        <v>3</v>
      </c>
    </row>
    <row r="1445" spans="1:8" x14ac:dyDescent="0.25">
      <c r="A1445" s="17" t="s">
        <v>3805</v>
      </c>
      <c r="B1445" s="17" t="s">
        <v>3805</v>
      </c>
      <c r="C1445" s="6" t="s">
        <v>310</v>
      </c>
      <c r="D1445" s="17" t="s">
        <v>308</v>
      </c>
      <c r="E1445" s="6">
        <v>5.3341800000000002E-4</v>
      </c>
      <c r="F1445" s="6" t="s">
        <v>233</v>
      </c>
      <c r="G1445" s="6" t="s">
        <v>234</v>
      </c>
      <c r="H1445" s="6">
        <v>3</v>
      </c>
    </row>
    <row r="1446" spans="1:8" x14ac:dyDescent="0.25">
      <c r="A1446" s="17" t="s">
        <v>3806</v>
      </c>
      <c r="B1446" s="17" t="s">
        <v>3806</v>
      </c>
      <c r="C1446" s="6" t="s">
        <v>310</v>
      </c>
      <c r="D1446" s="17" t="s">
        <v>308</v>
      </c>
      <c r="E1446" s="6">
        <v>5.3341800000000002E-4</v>
      </c>
      <c r="F1446" s="6" t="s">
        <v>233</v>
      </c>
      <c r="G1446" s="6" t="s">
        <v>234</v>
      </c>
      <c r="H1446" s="6">
        <v>3</v>
      </c>
    </row>
    <row r="1447" spans="1:8" x14ac:dyDescent="0.25">
      <c r="A1447" s="17" t="s">
        <v>3807</v>
      </c>
      <c r="B1447" s="17" t="s">
        <v>3807</v>
      </c>
      <c r="C1447" s="6" t="s">
        <v>310</v>
      </c>
      <c r="D1447" s="17" t="s">
        <v>308</v>
      </c>
      <c r="E1447" s="6">
        <v>5.3341800000000002E-4</v>
      </c>
      <c r="F1447" s="6" t="s">
        <v>233</v>
      </c>
      <c r="G1447" s="6" t="s">
        <v>234</v>
      </c>
      <c r="H1447" s="6">
        <v>3</v>
      </c>
    </row>
    <row r="1448" spans="1:8" x14ac:dyDescent="0.25">
      <c r="A1448" s="17" t="s">
        <v>3808</v>
      </c>
      <c r="B1448" s="17" t="s">
        <v>3808</v>
      </c>
      <c r="C1448" s="6" t="s">
        <v>310</v>
      </c>
      <c r="D1448" s="17" t="s">
        <v>308</v>
      </c>
      <c r="E1448" s="6">
        <v>5.3341800000000002E-4</v>
      </c>
      <c r="F1448" s="6" t="s">
        <v>233</v>
      </c>
      <c r="G1448" s="6" t="s">
        <v>234</v>
      </c>
      <c r="H1448" s="6">
        <v>3</v>
      </c>
    </row>
    <row r="1449" spans="1:8" x14ac:dyDescent="0.25">
      <c r="A1449" s="17" t="s">
        <v>3809</v>
      </c>
      <c r="B1449" s="17" t="s">
        <v>3809</v>
      </c>
      <c r="C1449" s="6" t="s">
        <v>310</v>
      </c>
      <c r="D1449" s="17" t="s">
        <v>308</v>
      </c>
      <c r="E1449" s="6">
        <v>5.3341800000000002E-4</v>
      </c>
      <c r="F1449" s="6" t="s">
        <v>233</v>
      </c>
      <c r="G1449" s="6" t="s">
        <v>234</v>
      </c>
      <c r="H1449" s="6">
        <v>3</v>
      </c>
    </row>
    <row r="1450" spans="1:8" ht="30" x14ac:dyDescent="0.25">
      <c r="A1450" s="17" t="s">
        <v>3810</v>
      </c>
      <c r="B1450" s="17" t="s">
        <v>3810</v>
      </c>
      <c r="C1450" s="6" t="s">
        <v>310</v>
      </c>
      <c r="D1450" s="17" t="s">
        <v>308</v>
      </c>
      <c r="E1450" s="6">
        <v>5.3341800000000002E-4</v>
      </c>
      <c r="F1450" s="6" t="s">
        <v>233</v>
      </c>
      <c r="G1450" s="6" t="s">
        <v>234</v>
      </c>
      <c r="H1450" s="6">
        <v>3</v>
      </c>
    </row>
    <row r="1451" spans="1:8" x14ac:dyDescent="0.25">
      <c r="A1451" s="17" t="s">
        <v>797</v>
      </c>
      <c r="B1451" s="17" t="s">
        <v>797</v>
      </c>
      <c r="C1451" s="6" t="s">
        <v>250</v>
      </c>
      <c r="D1451" s="6" t="s">
        <v>248</v>
      </c>
      <c r="E1451" s="6">
        <v>4.3868599999999998E-4</v>
      </c>
      <c r="F1451" s="6" t="s">
        <v>233</v>
      </c>
      <c r="G1451" s="6" t="s">
        <v>234</v>
      </c>
      <c r="H1451" s="6">
        <v>3</v>
      </c>
    </row>
    <row r="1452" spans="1:8" x14ac:dyDescent="0.25">
      <c r="A1452" s="17" t="s">
        <v>3764</v>
      </c>
      <c r="B1452" s="17" t="s">
        <v>3764</v>
      </c>
      <c r="C1452" s="6" t="s">
        <v>310</v>
      </c>
      <c r="D1452" s="17" t="s">
        <v>308</v>
      </c>
      <c r="E1452" s="6">
        <v>5.3341800000000002E-4</v>
      </c>
      <c r="F1452" s="6" t="s">
        <v>233</v>
      </c>
      <c r="G1452" s="6" t="s">
        <v>234</v>
      </c>
      <c r="H1452" s="6">
        <v>3</v>
      </c>
    </row>
    <row r="1453" spans="1:8" x14ac:dyDescent="0.25">
      <c r="A1453" s="17" t="s">
        <v>3811</v>
      </c>
      <c r="B1453" s="17" t="s">
        <v>3811</v>
      </c>
      <c r="C1453" s="6" t="s">
        <v>310</v>
      </c>
      <c r="D1453" s="17" t="s">
        <v>308</v>
      </c>
      <c r="E1453" s="6">
        <v>5.3341800000000002E-4</v>
      </c>
      <c r="F1453" s="6" t="s">
        <v>233</v>
      </c>
      <c r="G1453" s="6" t="s">
        <v>234</v>
      </c>
      <c r="H1453" s="6">
        <v>3</v>
      </c>
    </row>
    <row r="1454" spans="1:8" x14ac:dyDescent="0.25">
      <c r="A1454" s="17" t="s">
        <v>3812</v>
      </c>
      <c r="B1454" s="17" t="s">
        <v>3812</v>
      </c>
      <c r="C1454" s="6" t="s">
        <v>310</v>
      </c>
      <c r="D1454" s="17" t="s">
        <v>308</v>
      </c>
      <c r="E1454" s="6">
        <v>5.3341800000000002E-4</v>
      </c>
      <c r="F1454" s="6" t="s">
        <v>233</v>
      </c>
      <c r="G1454" s="6" t="s">
        <v>234</v>
      </c>
      <c r="H1454" s="6">
        <v>3</v>
      </c>
    </row>
    <row r="1455" spans="1:8" x14ac:dyDescent="0.25">
      <c r="A1455" s="17" t="s">
        <v>3813</v>
      </c>
      <c r="B1455" s="17" t="s">
        <v>3813</v>
      </c>
      <c r="C1455" s="6" t="s">
        <v>310</v>
      </c>
      <c r="D1455" s="17" t="s">
        <v>308</v>
      </c>
      <c r="E1455" s="6">
        <v>5.3341800000000002E-4</v>
      </c>
      <c r="F1455" s="6" t="s">
        <v>233</v>
      </c>
      <c r="G1455" s="6" t="s">
        <v>234</v>
      </c>
      <c r="H1455" s="6">
        <v>3</v>
      </c>
    </row>
    <row r="1456" spans="1:8" x14ac:dyDescent="0.25">
      <c r="A1456" s="17" t="s">
        <v>3814</v>
      </c>
      <c r="B1456" s="17" t="s">
        <v>3814</v>
      </c>
      <c r="C1456" s="6" t="s">
        <v>310</v>
      </c>
      <c r="D1456" s="17" t="s">
        <v>308</v>
      </c>
      <c r="E1456" s="6">
        <v>5.3341800000000002E-4</v>
      </c>
      <c r="F1456" s="6" t="s">
        <v>233</v>
      </c>
      <c r="G1456" s="6" t="s">
        <v>234</v>
      </c>
      <c r="H1456" s="6">
        <v>3</v>
      </c>
    </row>
    <row r="1457" spans="1:8" x14ac:dyDescent="0.25">
      <c r="A1457" s="17" t="s">
        <v>3815</v>
      </c>
      <c r="B1457" s="17" t="s">
        <v>3815</v>
      </c>
      <c r="C1457" s="6" t="s">
        <v>310</v>
      </c>
      <c r="D1457" s="17" t="s">
        <v>308</v>
      </c>
      <c r="E1457" s="6">
        <v>5.3341800000000002E-4</v>
      </c>
      <c r="F1457" s="6" t="s">
        <v>233</v>
      </c>
      <c r="G1457" s="6" t="s">
        <v>234</v>
      </c>
      <c r="H1457" s="6">
        <v>3</v>
      </c>
    </row>
    <row r="1458" spans="1:8" x14ac:dyDescent="0.25">
      <c r="A1458" s="17" t="s">
        <v>3816</v>
      </c>
      <c r="B1458" s="17" t="s">
        <v>3816</v>
      </c>
      <c r="C1458" s="6" t="s">
        <v>310</v>
      </c>
      <c r="D1458" s="17" t="s">
        <v>308</v>
      </c>
      <c r="E1458" s="6">
        <v>5.3341800000000002E-4</v>
      </c>
      <c r="F1458" s="6" t="s">
        <v>233</v>
      </c>
      <c r="G1458" s="6" t="s">
        <v>234</v>
      </c>
      <c r="H1458" s="6">
        <v>3</v>
      </c>
    </row>
    <row r="1459" spans="1:8" x14ac:dyDescent="0.25">
      <c r="A1459" s="17" t="s">
        <v>3817</v>
      </c>
      <c r="B1459" s="17" t="s">
        <v>3817</v>
      </c>
      <c r="C1459" s="6" t="s">
        <v>310</v>
      </c>
      <c r="D1459" s="17" t="s">
        <v>308</v>
      </c>
      <c r="E1459" s="6">
        <v>5.3341800000000002E-4</v>
      </c>
      <c r="F1459" s="6" t="s">
        <v>233</v>
      </c>
      <c r="G1459" s="6" t="s">
        <v>234</v>
      </c>
      <c r="H1459" s="6">
        <v>3</v>
      </c>
    </row>
    <row r="1460" spans="1:8" x14ac:dyDescent="0.25">
      <c r="A1460" s="17" t="s">
        <v>3818</v>
      </c>
      <c r="B1460" s="17" t="s">
        <v>3818</v>
      </c>
      <c r="C1460" s="6" t="s">
        <v>310</v>
      </c>
      <c r="D1460" s="17" t="s">
        <v>308</v>
      </c>
      <c r="E1460" s="6">
        <v>5.3341800000000002E-4</v>
      </c>
      <c r="F1460" s="6" t="s">
        <v>233</v>
      </c>
      <c r="G1460" s="6" t="s">
        <v>234</v>
      </c>
      <c r="H1460" s="6">
        <v>3</v>
      </c>
    </row>
    <row r="1461" spans="1:8" x14ac:dyDescent="0.25">
      <c r="A1461" s="17" t="s">
        <v>3819</v>
      </c>
      <c r="B1461" s="17" t="s">
        <v>3819</v>
      </c>
      <c r="C1461" s="6" t="s">
        <v>310</v>
      </c>
      <c r="D1461" s="17" t="s">
        <v>308</v>
      </c>
      <c r="E1461" s="6">
        <v>5.3341800000000002E-4</v>
      </c>
      <c r="F1461" s="6" t="s">
        <v>233</v>
      </c>
      <c r="G1461" s="6" t="s">
        <v>234</v>
      </c>
      <c r="H1461" s="6">
        <v>3</v>
      </c>
    </row>
    <row r="1462" spans="1:8" x14ac:dyDescent="0.25">
      <c r="A1462" s="17" t="s">
        <v>3820</v>
      </c>
      <c r="B1462" s="17" t="s">
        <v>3820</v>
      </c>
      <c r="C1462" s="6" t="s">
        <v>301</v>
      </c>
      <c r="D1462" s="17" t="s">
        <v>299</v>
      </c>
      <c r="E1462" s="6">
        <v>6.3590900000000004E-4</v>
      </c>
      <c r="F1462" s="6" t="s">
        <v>233</v>
      </c>
      <c r="G1462" s="6" t="s">
        <v>234</v>
      </c>
      <c r="H1462" s="6">
        <v>3</v>
      </c>
    </row>
    <row r="1463" spans="1:8" ht="30" x14ac:dyDescent="0.25">
      <c r="A1463" s="17" t="s">
        <v>3821</v>
      </c>
      <c r="B1463" s="17" t="s">
        <v>3821</v>
      </c>
      <c r="C1463" s="17" t="s">
        <v>271</v>
      </c>
      <c r="D1463" s="17" t="s">
        <v>269</v>
      </c>
      <c r="E1463" s="17">
        <v>5.2359699999999999E-4</v>
      </c>
      <c r="F1463" s="6" t="s">
        <v>233</v>
      </c>
      <c r="G1463" s="6" t="s">
        <v>234</v>
      </c>
      <c r="H1463" s="6">
        <v>3</v>
      </c>
    </row>
    <row r="1464" spans="1:8" ht="30" x14ac:dyDescent="0.25">
      <c r="A1464" s="17" t="s">
        <v>3822</v>
      </c>
      <c r="B1464" s="17" t="s">
        <v>3822</v>
      </c>
      <c r="C1464" s="17" t="s">
        <v>271</v>
      </c>
      <c r="D1464" s="17" t="s">
        <v>269</v>
      </c>
      <c r="E1464" s="17">
        <v>5.2359699999999999E-4</v>
      </c>
      <c r="F1464" s="6" t="s">
        <v>233</v>
      </c>
      <c r="G1464" s="6" t="s">
        <v>234</v>
      </c>
      <c r="H1464" s="6">
        <v>3</v>
      </c>
    </row>
    <row r="1465" spans="1:8" ht="30" x14ac:dyDescent="0.25">
      <c r="A1465" s="17" t="s">
        <v>3823</v>
      </c>
      <c r="B1465" s="17" t="s">
        <v>3823</v>
      </c>
      <c r="C1465" s="17" t="s">
        <v>271</v>
      </c>
      <c r="D1465" s="17" t="s">
        <v>269</v>
      </c>
      <c r="E1465" s="17">
        <v>5.2359699999999999E-4</v>
      </c>
      <c r="F1465" s="6" t="s">
        <v>233</v>
      </c>
      <c r="G1465" s="6" t="s">
        <v>234</v>
      </c>
      <c r="H1465" s="6">
        <v>3</v>
      </c>
    </row>
    <row r="1466" spans="1:8" ht="30" x14ac:dyDescent="0.25">
      <c r="A1466" s="17" t="s">
        <v>3824</v>
      </c>
      <c r="B1466" s="17" t="s">
        <v>3824</v>
      </c>
      <c r="C1466" s="17" t="s">
        <v>407</v>
      </c>
      <c r="D1466" s="17" t="s">
        <v>408</v>
      </c>
      <c r="E1466" s="17">
        <v>1.6713599999999999E-4</v>
      </c>
      <c r="F1466" s="6" t="s">
        <v>233</v>
      </c>
      <c r="G1466" s="6" t="s">
        <v>234</v>
      </c>
      <c r="H1466" s="6">
        <v>3</v>
      </c>
    </row>
    <row r="1467" spans="1:8" x14ac:dyDescent="0.25">
      <c r="A1467" s="17" t="s">
        <v>3825</v>
      </c>
      <c r="B1467" s="17" t="s">
        <v>3825</v>
      </c>
      <c r="C1467" s="6" t="s">
        <v>310</v>
      </c>
      <c r="D1467" s="17" t="s">
        <v>308</v>
      </c>
      <c r="E1467" s="6">
        <v>5.3341800000000002E-4</v>
      </c>
      <c r="F1467" s="6" t="s">
        <v>233</v>
      </c>
      <c r="G1467" s="6" t="s">
        <v>234</v>
      </c>
      <c r="H1467" s="6">
        <v>3</v>
      </c>
    </row>
    <row r="1468" spans="1:8" x14ac:dyDescent="0.25">
      <c r="A1468" s="17" t="s">
        <v>3826</v>
      </c>
      <c r="B1468" s="17" t="s">
        <v>3826</v>
      </c>
      <c r="C1468" s="6" t="s">
        <v>244</v>
      </c>
      <c r="D1468" s="17" t="s">
        <v>242</v>
      </c>
      <c r="E1468" s="6">
        <v>5.4284299999999999E-4</v>
      </c>
      <c r="F1468" s="6" t="s">
        <v>233</v>
      </c>
      <c r="G1468" s="6" t="s">
        <v>234</v>
      </c>
      <c r="H1468" s="6">
        <v>3</v>
      </c>
    </row>
    <row r="1469" spans="1:8" ht="30" x14ac:dyDescent="0.25">
      <c r="A1469" s="17" t="s">
        <v>3827</v>
      </c>
      <c r="B1469" s="17" t="s">
        <v>3827</v>
      </c>
      <c r="C1469" s="17" t="s">
        <v>737</v>
      </c>
      <c r="D1469" s="17" t="s">
        <v>738</v>
      </c>
      <c r="E1469" s="17">
        <v>1.81306E-4</v>
      </c>
      <c r="F1469" s="6" t="s">
        <v>233</v>
      </c>
      <c r="G1469" s="6" t="s">
        <v>234</v>
      </c>
      <c r="H1469" s="6">
        <v>3</v>
      </c>
    </row>
    <row r="1470" spans="1:8" ht="30" x14ac:dyDescent="0.25">
      <c r="A1470" s="17" t="s">
        <v>3828</v>
      </c>
      <c r="B1470" s="17" t="s">
        <v>3828</v>
      </c>
      <c r="C1470" s="17" t="s">
        <v>1330</v>
      </c>
      <c r="D1470" s="17" t="s">
        <v>1331</v>
      </c>
      <c r="E1470" s="17">
        <v>2.4606500000000001E-4</v>
      </c>
      <c r="F1470" s="6" t="s">
        <v>233</v>
      </c>
      <c r="G1470" s="6" t="s">
        <v>234</v>
      </c>
      <c r="H1470" s="6">
        <v>3</v>
      </c>
    </row>
    <row r="1471" spans="1:8" ht="30" x14ac:dyDescent="0.25">
      <c r="A1471" s="17" t="s">
        <v>3829</v>
      </c>
      <c r="B1471" s="17" t="s">
        <v>3829</v>
      </c>
      <c r="C1471" s="17" t="s">
        <v>271</v>
      </c>
      <c r="D1471" s="17" t="s">
        <v>269</v>
      </c>
      <c r="E1471" s="17">
        <v>5.2359699999999999E-4</v>
      </c>
      <c r="F1471" s="6" t="s">
        <v>233</v>
      </c>
      <c r="G1471" s="6" t="s">
        <v>234</v>
      </c>
      <c r="H1471" s="6">
        <v>3</v>
      </c>
    </row>
    <row r="1472" spans="1:8" ht="30" x14ac:dyDescent="0.25">
      <c r="A1472" s="17" t="s">
        <v>3830</v>
      </c>
      <c r="B1472" s="17" t="s">
        <v>3830</v>
      </c>
      <c r="C1472" s="17" t="s">
        <v>271</v>
      </c>
      <c r="D1472" s="17" t="s">
        <v>269</v>
      </c>
      <c r="E1472" s="17">
        <v>5.2359699999999999E-4</v>
      </c>
      <c r="F1472" s="6" t="s">
        <v>233</v>
      </c>
      <c r="G1472" s="6" t="s">
        <v>234</v>
      </c>
      <c r="H1472" s="6">
        <v>3</v>
      </c>
    </row>
    <row r="1473" spans="1:8" ht="30" x14ac:dyDescent="0.25">
      <c r="A1473" s="17" t="s">
        <v>3831</v>
      </c>
      <c r="B1473" s="17" t="s">
        <v>3831</v>
      </c>
      <c r="C1473" s="17" t="s">
        <v>271</v>
      </c>
      <c r="D1473" s="17" t="s">
        <v>269</v>
      </c>
      <c r="E1473" s="17">
        <v>5.2359699999999999E-4</v>
      </c>
      <c r="F1473" s="6" t="s">
        <v>233</v>
      </c>
      <c r="G1473" s="6" t="s">
        <v>234</v>
      </c>
      <c r="H1473" s="6">
        <v>3</v>
      </c>
    </row>
    <row r="1474" spans="1:8" ht="30" x14ac:dyDescent="0.25">
      <c r="A1474" s="17" t="s">
        <v>3832</v>
      </c>
      <c r="B1474" s="17" t="s">
        <v>3832</v>
      </c>
      <c r="C1474" s="17" t="s">
        <v>247</v>
      </c>
      <c r="D1474" s="17" t="s">
        <v>245</v>
      </c>
      <c r="E1474" s="17">
        <v>1.0475809999999999E-3</v>
      </c>
      <c r="F1474" s="6" t="s">
        <v>233</v>
      </c>
      <c r="G1474" s="6" t="s">
        <v>234</v>
      </c>
      <c r="H1474" s="6">
        <v>3</v>
      </c>
    </row>
    <row r="1475" spans="1:8" ht="30" x14ac:dyDescent="0.25">
      <c r="A1475" s="17" t="s">
        <v>3833</v>
      </c>
      <c r="B1475" s="17" t="s">
        <v>3833</v>
      </c>
      <c r="C1475" s="17" t="s">
        <v>265</v>
      </c>
      <c r="D1475" s="17" t="s">
        <v>263</v>
      </c>
      <c r="E1475" s="17">
        <v>3.0449399999999999E-4</v>
      </c>
      <c r="F1475" s="6" t="s">
        <v>233</v>
      </c>
      <c r="G1475" s="6" t="s">
        <v>234</v>
      </c>
      <c r="H1475" s="6">
        <v>3</v>
      </c>
    </row>
    <row r="1476" spans="1:8" ht="30" x14ac:dyDescent="0.25">
      <c r="A1476" s="17" t="s">
        <v>3834</v>
      </c>
      <c r="B1476" s="17" t="s">
        <v>3834</v>
      </c>
      <c r="C1476" s="17" t="s">
        <v>265</v>
      </c>
      <c r="D1476" s="17" t="s">
        <v>263</v>
      </c>
      <c r="E1476" s="17">
        <v>3.0449399999999999E-4</v>
      </c>
      <c r="F1476" s="6" t="s">
        <v>233</v>
      </c>
      <c r="G1476" s="6" t="s">
        <v>234</v>
      </c>
      <c r="H1476" s="6">
        <v>3</v>
      </c>
    </row>
    <row r="1477" spans="1:8" ht="30" x14ac:dyDescent="0.25">
      <c r="A1477" s="17" t="s">
        <v>3835</v>
      </c>
      <c r="B1477" s="17" t="s">
        <v>3835</v>
      </c>
      <c r="C1477" s="17" t="s">
        <v>271</v>
      </c>
      <c r="D1477" s="17" t="s">
        <v>269</v>
      </c>
      <c r="E1477" s="17">
        <v>5.2359699999999999E-4</v>
      </c>
      <c r="F1477" s="6" t="s">
        <v>233</v>
      </c>
      <c r="G1477" s="6" t="s">
        <v>234</v>
      </c>
      <c r="H1477" s="6">
        <v>3</v>
      </c>
    </row>
    <row r="1478" spans="1:8" ht="30" x14ac:dyDescent="0.25">
      <c r="A1478" s="17" t="s">
        <v>3836</v>
      </c>
      <c r="B1478" s="17" t="s">
        <v>3836</v>
      </c>
      <c r="C1478" s="17" t="s">
        <v>271</v>
      </c>
      <c r="D1478" s="17" t="s">
        <v>269</v>
      </c>
      <c r="E1478" s="17">
        <v>5.2359699999999999E-4</v>
      </c>
      <c r="F1478" s="6" t="s">
        <v>233</v>
      </c>
      <c r="G1478" s="6" t="s">
        <v>234</v>
      </c>
      <c r="H1478" s="6">
        <v>3</v>
      </c>
    </row>
    <row r="1479" spans="1:8" ht="30" x14ac:dyDescent="0.25">
      <c r="A1479" s="17" t="s">
        <v>359</v>
      </c>
      <c r="B1479" s="17" t="s">
        <v>359</v>
      </c>
      <c r="C1479" s="17" t="s">
        <v>280</v>
      </c>
      <c r="D1479" s="17" t="s">
        <v>278</v>
      </c>
      <c r="E1479" s="17">
        <v>6.2829699999999999E-4</v>
      </c>
      <c r="F1479" s="6" t="s">
        <v>233</v>
      </c>
      <c r="G1479" s="6" t="s">
        <v>234</v>
      </c>
      <c r="H1479" s="6">
        <v>3</v>
      </c>
    </row>
    <row r="1480" spans="1:8" ht="30" x14ac:dyDescent="0.25">
      <c r="A1480" s="17" t="s">
        <v>3837</v>
      </c>
      <c r="B1480" s="17" t="s">
        <v>3837</v>
      </c>
      <c r="C1480" s="17" t="s">
        <v>274</v>
      </c>
      <c r="D1480" s="17" t="s">
        <v>272</v>
      </c>
      <c r="E1480" s="17">
        <v>6.1713999999999996E-4</v>
      </c>
      <c r="F1480" s="6" t="s">
        <v>233</v>
      </c>
      <c r="G1480" s="6" t="s">
        <v>234</v>
      </c>
      <c r="H1480" s="6">
        <v>3</v>
      </c>
    </row>
    <row r="1481" spans="1:8" ht="30" x14ac:dyDescent="0.25">
      <c r="A1481" s="17" t="s">
        <v>3865</v>
      </c>
      <c r="B1481" s="17" t="s">
        <v>3866</v>
      </c>
      <c r="C1481" s="17" t="s">
        <v>271</v>
      </c>
      <c r="D1481" s="17" t="s">
        <v>269</v>
      </c>
      <c r="E1481" s="17">
        <v>5.2359699999999999E-4</v>
      </c>
      <c r="F1481" s="6" t="s">
        <v>233</v>
      </c>
      <c r="G1481" s="6" t="s">
        <v>234</v>
      </c>
      <c r="H1481" s="6">
        <v>3</v>
      </c>
    </row>
    <row r="1482" spans="1:8" ht="30" x14ac:dyDescent="0.25">
      <c r="A1482" s="17" t="s">
        <v>3867</v>
      </c>
      <c r="B1482" s="17" t="s">
        <v>3866</v>
      </c>
      <c r="C1482" s="17" t="s">
        <v>271</v>
      </c>
      <c r="D1482" s="17" t="s">
        <v>269</v>
      </c>
      <c r="E1482" s="17">
        <v>5.2359699999999999E-4</v>
      </c>
      <c r="F1482" s="6" t="s">
        <v>233</v>
      </c>
      <c r="G1482" s="6" t="s">
        <v>234</v>
      </c>
      <c r="H1482" s="6">
        <v>3</v>
      </c>
    </row>
    <row r="1483" spans="1:8" ht="30" x14ac:dyDescent="0.25">
      <c r="A1483" s="17" t="s">
        <v>3868</v>
      </c>
      <c r="B1483" s="17" t="s">
        <v>3866</v>
      </c>
      <c r="C1483" s="17" t="s">
        <v>271</v>
      </c>
      <c r="D1483" s="17" t="s">
        <v>269</v>
      </c>
      <c r="E1483" s="17">
        <v>5.2359699999999999E-4</v>
      </c>
      <c r="F1483" s="6" t="s">
        <v>233</v>
      </c>
      <c r="G1483" s="6" t="s">
        <v>234</v>
      </c>
      <c r="H1483" s="6">
        <v>3</v>
      </c>
    </row>
    <row r="1484" spans="1:8" ht="30" x14ac:dyDescent="0.25">
      <c r="A1484" s="17" t="s">
        <v>3869</v>
      </c>
      <c r="B1484" s="17" t="s">
        <v>3866</v>
      </c>
      <c r="C1484" s="17" t="s">
        <v>271</v>
      </c>
      <c r="D1484" s="17" t="s">
        <v>269</v>
      </c>
      <c r="E1484" s="17">
        <v>5.2359699999999999E-4</v>
      </c>
      <c r="F1484" s="6" t="s">
        <v>233</v>
      </c>
      <c r="G1484" s="6" t="s">
        <v>234</v>
      </c>
      <c r="H1484" s="6">
        <v>3</v>
      </c>
    </row>
    <row r="1485" spans="1:8" ht="30" x14ac:dyDescent="0.25">
      <c r="A1485" s="17" t="s">
        <v>3870</v>
      </c>
      <c r="B1485" s="17" t="s">
        <v>3866</v>
      </c>
      <c r="C1485" s="17" t="s">
        <v>271</v>
      </c>
      <c r="D1485" s="17" t="s">
        <v>269</v>
      </c>
      <c r="E1485" s="17">
        <v>5.2359699999999999E-4</v>
      </c>
      <c r="F1485" s="6" t="s">
        <v>233</v>
      </c>
      <c r="G1485" s="6" t="s">
        <v>234</v>
      </c>
      <c r="H1485" s="6">
        <v>3</v>
      </c>
    </row>
    <row r="1486" spans="1:8" ht="30" x14ac:dyDescent="0.25">
      <c r="A1486" s="17" t="s">
        <v>3871</v>
      </c>
      <c r="B1486" s="17" t="s">
        <v>3866</v>
      </c>
      <c r="C1486" s="17" t="s">
        <v>271</v>
      </c>
      <c r="D1486" s="17" t="s">
        <v>269</v>
      </c>
      <c r="E1486" s="17">
        <v>5.2359699999999999E-4</v>
      </c>
      <c r="F1486" s="6" t="s">
        <v>233</v>
      </c>
      <c r="G1486" s="6" t="s">
        <v>234</v>
      </c>
      <c r="H1486" s="6">
        <v>3</v>
      </c>
    </row>
    <row r="1487" spans="1:8" ht="30" x14ac:dyDescent="0.25">
      <c r="A1487" s="17" t="s">
        <v>3872</v>
      </c>
      <c r="B1487" s="17" t="s">
        <v>3873</v>
      </c>
      <c r="C1487" s="17" t="s">
        <v>271</v>
      </c>
      <c r="D1487" s="17" t="s">
        <v>269</v>
      </c>
      <c r="E1487" s="17">
        <v>5.2359699999999999E-4</v>
      </c>
      <c r="F1487" s="6" t="s">
        <v>233</v>
      </c>
      <c r="G1487" s="6" t="s">
        <v>234</v>
      </c>
      <c r="H1487" s="6">
        <v>3</v>
      </c>
    </row>
    <row r="1488" spans="1:8" ht="30" x14ac:dyDescent="0.25">
      <c r="A1488" s="17" t="s">
        <v>3874</v>
      </c>
      <c r="B1488" s="17" t="s">
        <v>3875</v>
      </c>
      <c r="C1488" s="17" t="s">
        <v>271</v>
      </c>
      <c r="D1488" s="17" t="s">
        <v>269</v>
      </c>
      <c r="E1488" s="17">
        <v>5.2359699999999999E-4</v>
      </c>
      <c r="F1488" s="6" t="s">
        <v>233</v>
      </c>
      <c r="G1488" s="6" t="s">
        <v>234</v>
      </c>
      <c r="H1488" s="6">
        <v>3</v>
      </c>
    </row>
    <row r="1489" spans="1:8" ht="30" x14ac:dyDescent="0.25">
      <c r="A1489" s="17" t="s">
        <v>3876</v>
      </c>
      <c r="B1489" s="17" t="s">
        <v>3875</v>
      </c>
      <c r="C1489" s="17" t="s">
        <v>271</v>
      </c>
      <c r="D1489" s="17" t="s">
        <v>269</v>
      </c>
      <c r="E1489" s="17">
        <v>5.2359699999999999E-4</v>
      </c>
      <c r="F1489" s="6" t="s">
        <v>233</v>
      </c>
      <c r="G1489" s="6" t="s">
        <v>234</v>
      </c>
      <c r="H1489" s="6">
        <v>3</v>
      </c>
    </row>
    <row r="1490" spans="1:8" ht="30" x14ac:dyDescent="0.25">
      <c r="A1490" s="17" t="s">
        <v>3877</v>
      </c>
      <c r="B1490" s="17" t="s">
        <v>3875</v>
      </c>
      <c r="C1490" s="17" t="s">
        <v>271</v>
      </c>
      <c r="D1490" s="17" t="s">
        <v>269</v>
      </c>
      <c r="E1490" s="17">
        <v>5.2359699999999999E-4</v>
      </c>
      <c r="F1490" s="6" t="s">
        <v>233</v>
      </c>
      <c r="G1490" s="6" t="s">
        <v>234</v>
      </c>
      <c r="H1490" s="6">
        <v>3</v>
      </c>
    </row>
    <row r="1491" spans="1:8" ht="30" x14ac:dyDescent="0.25">
      <c r="A1491" s="17" t="s">
        <v>3878</v>
      </c>
      <c r="B1491" s="17" t="s">
        <v>3875</v>
      </c>
      <c r="C1491" s="17" t="s">
        <v>271</v>
      </c>
      <c r="D1491" s="17" t="s">
        <v>269</v>
      </c>
      <c r="E1491" s="17">
        <v>5.2359699999999999E-4</v>
      </c>
      <c r="F1491" s="6" t="s">
        <v>233</v>
      </c>
      <c r="G1491" s="6" t="s">
        <v>234</v>
      </c>
      <c r="H1491" s="6">
        <v>3</v>
      </c>
    </row>
    <row r="1492" spans="1:8" ht="30" x14ac:dyDescent="0.25">
      <c r="A1492" s="17" t="s">
        <v>3879</v>
      </c>
      <c r="B1492" s="17" t="s">
        <v>3875</v>
      </c>
      <c r="C1492" s="17" t="s">
        <v>271</v>
      </c>
      <c r="D1492" s="17" t="s">
        <v>269</v>
      </c>
      <c r="E1492" s="17">
        <v>5.2359699999999999E-4</v>
      </c>
      <c r="F1492" s="6" t="s">
        <v>233</v>
      </c>
      <c r="G1492" s="6" t="s">
        <v>234</v>
      </c>
      <c r="H1492" s="6">
        <v>3</v>
      </c>
    </row>
    <row r="1493" spans="1:8" ht="30" x14ac:dyDescent="0.25">
      <c r="A1493" s="17" t="s">
        <v>3880</v>
      </c>
      <c r="B1493" s="17" t="s">
        <v>3875</v>
      </c>
      <c r="C1493" s="17" t="s">
        <v>271</v>
      </c>
      <c r="D1493" s="17" t="s">
        <v>269</v>
      </c>
      <c r="E1493" s="17">
        <v>5.2359699999999999E-4</v>
      </c>
      <c r="F1493" s="6" t="s">
        <v>233</v>
      </c>
      <c r="G1493" s="6" t="s">
        <v>234</v>
      </c>
      <c r="H1493" s="6">
        <v>3</v>
      </c>
    </row>
    <row r="1494" spans="1:8" ht="30" x14ac:dyDescent="0.25">
      <c r="A1494" s="17" t="s">
        <v>3881</v>
      </c>
      <c r="B1494" s="17" t="s">
        <v>3875</v>
      </c>
      <c r="C1494" s="17" t="s">
        <v>271</v>
      </c>
      <c r="D1494" s="17" t="s">
        <v>269</v>
      </c>
      <c r="E1494" s="17">
        <v>5.2359699999999999E-4</v>
      </c>
      <c r="F1494" s="6" t="s">
        <v>233</v>
      </c>
      <c r="G1494" s="6" t="s">
        <v>234</v>
      </c>
      <c r="H1494" s="6">
        <v>3</v>
      </c>
    </row>
    <row r="1495" spans="1:8" ht="30" x14ac:dyDescent="0.25">
      <c r="A1495" s="17" t="s">
        <v>3882</v>
      </c>
      <c r="B1495" s="17" t="s">
        <v>3883</v>
      </c>
      <c r="C1495" s="17" t="s">
        <v>271</v>
      </c>
      <c r="D1495" s="17" t="s">
        <v>269</v>
      </c>
      <c r="E1495" s="17">
        <v>5.2359699999999999E-4</v>
      </c>
      <c r="F1495" s="6" t="s">
        <v>233</v>
      </c>
      <c r="G1495" s="6" t="s">
        <v>234</v>
      </c>
      <c r="H1495" s="6">
        <v>3</v>
      </c>
    </row>
    <row r="1496" spans="1:8" ht="30" x14ac:dyDescent="0.25">
      <c r="A1496" s="17" t="s">
        <v>3884</v>
      </c>
      <c r="B1496" s="17" t="s">
        <v>3883</v>
      </c>
      <c r="C1496" s="17" t="s">
        <v>271</v>
      </c>
      <c r="D1496" s="17" t="s">
        <v>269</v>
      </c>
      <c r="E1496" s="17">
        <v>5.2359699999999999E-4</v>
      </c>
      <c r="F1496" s="6" t="s">
        <v>233</v>
      </c>
      <c r="G1496" s="6" t="s">
        <v>234</v>
      </c>
      <c r="H1496" s="6">
        <v>3</v>
      </c>
    </row>
    <row r="1497" spans="1:8" ht="30" x14ac:dyDescent="0.25">
      <c r="A1497" s="17" t="s">
        <v>3885</v>
      </c>
      <c r="B1497" s="17" t="s">
        <v>3883</v>
      </c>
      <c r="C1497" s="17" t="s">
        <v>271</v>
      </c>
      <c r="D1497" s="17" t="s">
        <v>269</v>
      </c>
      <c r="E1497" s="17">
        <v>5.2359699999999999E-4</v>
      </c>
      <c r="F1497" s="6" t="s">
        <v>233</v>
      </c>
      <c r="G1497" s="6" t="s">
        <v>234</v>
      </c>
      <c r="H1497" s="6">
        <v>3</v>
      </c>
    </row>
    <row r="1498" spans="1:8" ht="30" x14ac:dyDescent="0.25">
      <c r="A1498" s="17" t="s">
        <v>3886</v>
      </c>
      <c r="B1498" s="17" t="s">
        <v>3887</v>
      </c>
      <c r="C1498" s="17" t="s">
        <v>271</v>
      </c>
      <c r="D1498" s="17" t="s">
        <v>269</v>
      </c>
      <c r="E1498" s="17">
        <v>5.2359699999999999E-4</v>
      </c>
      <c r="F1498" s="6" t="s">
        <v>233</v>
      </c>
      <c r="G1498" s="6" t="s">
        <v>234</v>
      </c>
      <c r="H1498" s="6">
        <v>3</v>
      </c>
    </row>
    <row r="1499" spans="1:8" ht="30" x14ac:dyDescent="0.25">
      <c r="A1499" s="17" t="s">
        <v>3888</v>
      </c>
      <c r="B1499" s="17" t="s">
        <v>3887</v>
      </c>
      <c r="C1499" s="17" t="s">
        <v>271</v>
      </c>
      <c r="D1499" s="17" t="s">
        <v>269</v>
      </c>
      <c r="E1499" s="17">
        <v>5.2359699999999999E-4</v>
      </c>
      <c r="F1499" s="6" t="s">
        <v>233</v>
      </c>
      <c r="G1499" s="6" t="s">
        <v>234</v>
      </c>
      <c r="H1499" s="6">
        <v>3</v>
      </c>
    </row>
    <row r="1500" spans="1:8" ht="30" x14ac:dyDescent="0.25">
      <c r="A1500" s="17" t="s">
        <v>3889</v>
      </c>
      <c r="B1500" s="17" t="s">
        <v>3887</v>
      </c>
      <c r="C1500" s="17" t="s">
        <v>271</v>
      </c>
      <c r="D1500" s="17" t="s">
        <v>269</v>
      </c>
      <c r="E1500" s="17">
        <v>5.2359699999999999E-4</v>
      </c>
      <c r="F1500" s="6" t="s">
        <v>233</v>
      </c>
      <c r="G1500" s="6" t="s">
        <v>234</v>
      </c>
      <c r="H1500" s="6">
        <v>3</v>
      </c>
    </row>
    <row r="1501" spans="1:8" ht="30" x14ac:dyDescent="0.25">
      <c r="A1501" s="17" t="s">
        <v>3890</v>
      </c>
      <c r="B1501" s="17" t="s">
        <v>3891</v>
      </c>
      <c r="C1501" s="17" t="s">
        <v>271</v>
      </c>
      <c r="D1501" s="17" t="s">
        <v>269</v>
      </c>
      <c r="E1501" s="17">
        <v>5.2359699999999999E-4</v>
      </c>
      <c r="F1501" s="6" t="s">
        <v>233</v>
      </c>
      <c r="G1501" s="6" t="s">
        <v>234</v>
      </c>
      <c r="H1501" s="6">
        <v>3</v>
      </c>
    </row>
    <row r="1502" spans="1:8" ht="30" x14ac:dyDescent="0.25">
      <c r="A1502" s="17" t="s">
        <v>3892</v>
      </c>
      <c r="B1502" s="17" t="s">
        <v>3891</v>
      </c>
      <c r="C1502" s="17" t="s">
        <v>271</v>
      </c>
      <c r="D1502" s="17" t="s">
        <v>269</v>
      </c>
      <c r="E1502" s="17">
        <v>5.2359699999999999E-4</v>
      </c>
      <c r="F1502" s="6" t="s">
        <v>233</v>
      </c>
      <c r="G1502" s="6" t="s">
        <v>234</v>
      </c>
      <c r="H1502" s="6">
        <v>3</v>
      </c>
    </row>
    <row r="1503" spans="1:8" ht="30" x14ac:dyDescent="0.25">
      <c r="A1503" s="17" t="s">
        <v>3893</v>
      </c>
      <c r="B1503" s="17" t="s">
        <v>3891</v>
      </c>
      <c r="C1503" s="17" t="s">
        <v>271</v>
      </c>
      <c r="D1503" s="17" t="s">
        <v>269</v>
      </c>
      <c r="E1503" s="17">
        <v>5.2359699999999999E-4</v>
      </c>
      <c r="F1503" s="6" t="s">
        <v>233</v>
      </c>
      <c r="G1503" s="6" t="s">
        <v>234</v>
      </c>
      <c r="H1503" s="6">
        <v>3</v>
      </c>
    </row>
    <row r="1504" spans="1:8" ht="30" x14ac:dyDescent="0.25">
      <c r="A1504" s="17" t="s">
        <v>3894</v>
      </c>
      <c r="B1504" s="17" t="s">
        <v>3895</v>
      </c>
      <c r="C1504" s="17" t="s">
        <v>271</v>
      </c>
      <c r="D1504" s="17" t="s">
        <v>269</v>
      </c>
      <c r="E1504" s="17">
        <v>5.2359699999999999E-4</v>
      </c>
      <c r="F1504" s="6" t="s">
        <v>233</v>
      </c>
      <c r="G1504" s="6" t="s">
        <v>234</v>
      </c>
      <c r="H1504" s="6">
        <v>3</v>
      </c>
    </row>
    <row r="1505" spans="1:8" ht="30" x14ac:dyDescent="0.25">
      <c r="A1505" s="17" t="s">
        <v>3896</v>
      </c>
      <c r="B1505" s="17" t="s">
        <v>3897</v>
      </c>
      <c r="C1505" s="17" t="s">
        <v>271</v>
      </c>
      <c r="D1505" s="17" t="s">
        <v>269</v>
      </c>
      <c r="E1505" s="17">
        <v>5.2359699999999999E-4</v>
      </c>
      <c r="F1505" s="6" t="s">
        <v>233</v>
      </c>
      <c r="G1505" s="6" t="s">
        <v>234</v>
      </c>
      <c r="H1505" s="6">
        <v>3</v>
      </c>
    </row>
    <row r="1506" spans="1:8" ht="30" x14ac:dyDescent="0.25">
      <c r="A1506" s="17" t="s">
        <v>3898</v>
      </c>
      <c r="B1506" s="17" t="s">
        <v>3897</v>
      </c>
      <c r="C1506" s="17" t="s">
        <v>271</v>
      </c>
      <c r="D1506" s="17" t="s">
        <v>269</v>
      </c>
      <c r="E1506" s="17">
        <v>5.2359699999999999E-4</v>
      </c>
      <c r="F1506" s="6" t="s">
        <v>233</v>
      </c>
      <c r="G1506" s="6" t="s">
        <v>234</v>
      </c>
      <c r="H1506" s="6">
        <v>3</v>
      </c>
    </row>
    <row r="1507" spans="1:8" ht="30" x14ac:dyDescent="0.25">
      <c r="A1507" s="17" t="s">
        <v>3899</v>
      </c>
      <c r="B1507" s="17" t="s">
        <v>3897</v>
      </c>
      <c r="C1507" s="17" t="s">
        <v>271</v>
      </c>
      <c r="D1507" s="17" t="s">
        <v>269</v>
      </c>
      <c r="E1507" s="17">
        <v>5.2359699999999999E-4</v>
      </c>
      <c r="F1507" s="6" t="s">
        <v>233</v>
      </c>
      <c r="G1507" s="6" t="s">
        <v>234</v>
      </c>
      <c r="H1507" s="6">
        <v>3</v>
      </c>
    </row>
    <row r="1508" spans="1:8" ht="30" x14ac:dyDescent="0.25">
      <c r="A1508" s="17" t="s">
        <v>3900</v>
      </c>
      <c r="B1508" s="17" t="s">
        <v>3901</v>
      </c>
      <c r="C1508" s="17" t="s">
        <v>271</v>
      </c>
      <c r="D1508" s="17" t="s">
        <v>269</v>
      </c>
      <c r="E1508" s="17">
        <v>5.2359699999999999E-4</v>
      </c>
      <c r="F1508" s="6" t="s">
        <v>233</v>
      </c>
      <c r="G1508" s="6" t="s">
        <v>234</v>
      </c>
      <c r="H1508" s="6">
        <v>3</v>
      </c>
    </row>
    <row r="1509" spans="1:8" ht="30" x14ac:dyDescent="0.25">
      <c r="A1509" s="17" t="s">
        <v>3902</v>
      </c>
      <c r="B1509" s="17" t="s">
        <v>3901</v>
      </c>
      <c r="C1509" s="17" t="s">
        <v>271</v>
      </c>
      <c r="D1509" s="17" t="s">
        <v>269</v>
      </c>
      <c r="E1509" s="17">
        <v>5.2359699999999999E-4</v>
      </c>
      <c r="F1509" s="6" t="s">
        <v>233</v>
      </c>
      <c r="G1509" s="6" t="s">
        <v>234</v>
      </c>
      <c r="H1509" s="6">
        <v>3</v>
      </c>
    </row>
    <row r="1510" spans="1:8" ht="30" x14ac:dyDescent="0.25">
      <c r="A1510" s="17" t="s">
        <v>3903</v>
      </c>
      <c r="B1510" s="17" t="s">
        <v>3901</v>
      </c>
      <c r="C1510" s="17" t="s">
        <v>271</v>
      </c>
      <c r="D1510" s="17" t="s">
        <v>269</v>
      </c>
      <c r="E1510" s="17">
        <v>5.2359699999999999E-4</v>
      </c>
      <c r="F1510" s="6" t="s">
        <v>233</v>
      </c>
      <c r="G1510" s="6" t="s">
        <v>234</v>
      </c>
      <c r="H1510" s="6">
        <v>3</v>
      </c>
    </row>
    <row r="1511" spans="1:8" ht="30" x14ac:dyDescent="0.25">
      <c r="A1511" s="17" t="s">
        <v>3904</v>
      </c>
      <c r="B1511" s="17" t="s">
        <v>3905</v>
      </c>
      <c r="C1511" s="17" t="s">
        <v>271</v>
      </c>
      <c r="D1511" s="17" t="s">
        <v>269</v>
      </c>
      <c r="E1511" s="17">
        <v>5.2359699999999999E-4</v>
      </c>
      <c r="F1511" s="6" t="s">
        <v>233</v>
      </c>
      <c r="G1511" s="6" t="s">
        <v>234</v>
      </c>
      <c r="H1511" s="6">
        <v>3</v>
      </c>
    </row>
    <row r="1512" spans="1:8" ht="30" x14ac:dyDescent="0.25">
      <c r="A1512" s="17" t="s">
        <v>3906</v>
      </c>
      <c r="B1512" s="17" t="s">
        <v>3907</v>
      </c>
      <c r="C1512" s="17" t="s">
        <v>271</v>
      </c>
      <c r="D1512" s="17" t="s">
        <v>269</v>
      </c>
      <c r="E1512" s="17">
        <v>5.2359699999999999E-4</v>
      </c>
      <c r="F1512" s="6" t="s">
        <v>233</v>
      </c>
      <c r="G1512" s="6" t="s">
        <v>234</v>
      </c>
      <c r="H1512" s="6">
        <v>3</v>
      </c>
    </row>
    <row r="1513" spans="1:8" ht="30" x14ac:dyDescent="0.25">
      <c r="A1513" s="17" t="s">
        <v>3908</v>
      </c>
      <c r="B1513" s="17" t="s">
        <v>3909</v>
      </c>
      <c r="C1513" s="17" t="s">
        <v>271</v>
      </c>
      <c r="D1513" s="17" t="s">
        <v>269</v>
      </c>
      <c r="E1513" s="17">
        <v>5.2359699999999999E-4</v>
      </c>
      <c r="F1513" s="6" t="s">
        <v>233</v>
      </c>
      <c r="G1513" s="6" t="s">
        <v>234</v>
      </c>
      <c r="H1513" s="6">
        <v>3</v>
      </c>
    </row>
    <row r="1514" spans="1:8" ht="30" x14ac:dyDescent="0.25">
      <c r="A1514" s="17" t="s">
        <v>3910</v>
      </c>
      <c r="B1514" s="17" t="s">
        <v>3911</v>
      </c>
      <c r="C1514" s="17" t="s">
        <v>280</v>
      </c>
      <c r="D1514" s="17" t="s">
        <v>278</v>
      </c>
      <c r="E1514" s="17">
        <v>6.2829699999999999E-4</v>
      </c>
      <c r="F1514" s="6" t="s">
        <v>233</v>
      </c>
      <c r="G1514" s="6" t="s">
        <v>234</v>
      </c>
      <c r="H1514" s="6">
        <v>3</v>
      </c>
    </row>
    <row r="1515" spans="1:8" ht="30" x14ac:dyDescent="0.25">
      <c r="A1515" s="17" t="s">
        <v>3912</v>
      </c>
      <c r="B1515" s="17" t="s">
        <v>3913</v>
      </c>
      <c r="C1515" s="17" t="s">
        <v>244</v>
      </c>
      <c r="D1515" s="17" t="s">
        <v>242</v>
      </c>
      <c r="E1515" s="17">
        <v>5.4284299999999999E-4</v>
      </c>
      <c r="F1515" s="6" t="s">
        <v>233</v>
      </c>
      <c r="G1515" s="6" t="s">
        <v>234</v>
      </c>
      <c r="H1515" s="6">
        <v>3</v>
      </c>
    </row>
    <row r="1516" spans="1:8" ht="30" x14ac:dyDescent="0.25">
      <c r="A1516" s="17" t="s">
        <v>3838</v>
      </c>
      <c r="B1516" s="17" t="s">
        <v>3914</v>
      </c>
      <c r="C1516" s="17" t="s">
        <v>310</v>
      </c>
      <c r="D1516" s="17" t="s">
        <v>308</v>
      </c>
      <c r="E1516" s="17">
        <v>5.3341800000000002E-4</v>
      </c>
      <c r="F1516" s="6" t="s">
        <v>233</v>
      </c>
      <c r="G1516" s="6" t="s">
        <v>234</v>
      </c>
      <c r="H1516" s="6">
        <v>3</v>
      </c>
    </row>
    <row r="1517" spans="1:8" ht="30" x14ac:dyDescent="0.25">
      <c r="A1517" s="17" t="s">
        <v>3839</v>
      </c>
      <c r="B1517" s="17" t="s">
        <v>3914</v>
      </c>
      <c r="C1517" s="17" t="s">
        <v>310</v>
      </c>
      <c r="D1517" s="17" t="s">
        <v>308</v>
      </c>
      <c r="E1517" s="17">
        <v>5.3341800000000002E-4</v>
      </c>
      <c r="F1517" s="6" t="s">
        <v>233</v>
      </c>
      <c r="G1517" s="6" t="s">
        <v>234</v>
      </c>
      <c r="H1517" s="6">
        <v>3</v>
      </c>
    </row>
    <row r="1518" spans="1:8" ht="30" x14ac:dyDescent="0.25">
      <c r="A1518" s="17" t="s">
        <v>3840</v>
      </c>
      <c r="B1518" s="17" t="s">
        <v>3914</v>
      </c>
      <c r="C1518" s="17" t="s">
        <v>310</v>
      </c>
      <c r="D1518" s="17" t="s">
        <v>308</v>
      </c>
      <c r="E1518" s="17">
        <v>5.3341800000000002E-4</v>
      </c>
      <c r="F1518" s="6" t="s">
        <v>233</v>
      </c>
      <c r="G1518" s="6" t="s">
        <v>234</v>
      </c>
      <c r="H1518" s="6">
        <v>3</v>
      </c>
    </row>
    <row r="1519" spans="1:8" ht="30" x14ac:dyDescent="0.25">
      <c r="A1519" s="17" t="s">
        <v>3841</v>
      </c>
      <c r="B1519" s="17" t="s">
        <v>3914</v>
      </c>
      <c r="C1519" s="17" t="s">
        <v>310</v>
      </c>
      <c r="D1519" s="17" t="s">
        <v>308</v>
      </c>
      <c r="E1519" s="17">
        <v>5.3341800000000002E-4</v>
      </c>
      <c r="F1519" s="6" t="s">
        <v>233</v>
      </c>
      <c r="G1519" s="6" t="s">
        <v>234</v>
      </c>
      <c r="H1519" s="6">
        <v>3</v>
      </c>
    </row>
    <row r="1520" spans="1:8" ht="30" x14ac:dyDescent="0.25">
      <c r="A1520" s="17" t="s">
        <v>3842</v>
      </c>
      <c r="B1520" s="17" t="s">
        <v>3914</v>
      </c>
      <c r="C1520" s="17" t="s">
        <v>310</v>
      </c>
      <c r="D1520" s="17" t="s">
        <v>308</v>
      </c>
      <c r="E1520" s="17">
        <v>5.3341800000000002E-4</v>
      </c>
      <c r="F1520" s="6" t="s">
        <v>233</v>
      </c>
      <c r="G1520" s="6" t="s">
        <v>234</v>
      </c>
      <c r="H1520" s="6">
        <v>3</v>
      </c>
    </row>
    <row r="1521" spans="1:8" ht="30" x14ac:dyDescent="0.25">
      <c r="A1521" s="17" t="s">
        <v>3915</v>
      </c>
      <c r="B1521" s="17" t="s">
        <v>3916</v>
      </c>
      <c r="C1521" s="17" t="s">
        <v>271</v>
      </c>
      <c r="D1521" s="17" t="s">
        <v>269</v>
      </c>
      <c r="E1521" s="17">
        <v>5.2359699999999999E-4</v>
      </c>
      <c r="F1521" s="6" t="s">
        <v>233</v>
      </c>
      <c r="G1521" s="6" t="s">
        <v>234</v>
      </c>
      <c r="H1521" s="6">
        <v>3</v>
      </c>
    </row>
    <row r="1522" spans="1:8" ht="30" x14ac:dyDescent="0.25">
      <c r="A1522" s="17" t="s">
        <v>3917</v>
      </c>
      <c r="B1522" s="17" t="s">
        <v>3875</v>
      </c>
      <c r="C1522" s="17" t="s">
        <v>271</v>
      </c>
      <c r="D1522" s="17" t="s">
        <v>269</v>
      </c>
      <c r="E1522" s="17">
        <v>5.2359699999999999E-4</v>
      </c>
      <c r="F1522" s="6" t="s">
        <v>233</v>
      </c>
      <c r="G1522" s="6" t="s">
        <v>234</v>
      </c>
      <c r="H1522" s="6">
        <v>3</v>
      </c>
    </row>
    <row r="1523" spans="1:8" ht="30" x14ac:dyDescent="0.25">
      <c r="A1523" s="17" t="s">
        <v>3878</v>
      </c>
      <c r="B1523" s="17" t="s">
        <v>3875</v>
      </c>
      <c r="C1523" s="17" t="s">
        <v>271</v>
      </c>
      <c r="D1523" s="17" t="s">
        <v>269</v>
      </c>
      <c r="E1523" s="17">
        <v>5.2359699999999999E-4</v>
      </c>
      <c r="F1523" s="6" t="s">
        <v>233</v>
      </c>
      <c r="G1523" s="6" t="s">
        <v>234</v>
      </c>
      <c r="H1523" s="6">
        <v>3</v>
      </c>
    </row>
    <row r="1524" spans="1:8" ht="30" x14ac:dyDescent="0.25">
      <c r="A1524" s="17" t="s">
        <v>3918</v>
      </c>
      <c r="B1524" s="17" t="s">
        <v>3875</v>
      </c>
      <c r="C1524" s="17" t="s">
        <v>271</v>
      </c>
      <c r="D1524" s="17" t="s">
        <v>269</v>
      </c>
      <c r="E1524" s="17">
        <v>5.2359699999999999E-4</v>
      </c>
      <c r="F1524" s="6" t="s">
        <v>233</v>
      </c>
      <c r="G1524" s="6" t="s">
        <v>234</v>
      </c>
      <c r="H1524" s="6">
        <v>3</v>
      </c>
    </row>
    <row r="1525" spans="1:8" ht="30" x14ac:dyDescent="0.25">
      <c r="A1525" s="17" t="s">
        <v>3919</v>
      </c>
      <c r="B1525" s="17" t="s">
        <v>3866</v>
      </c>
      <c r="C1525" s="17" t="s">
        <v>271</v>
      </c>
      <c r="D1525" s="17" t="s">
        <v>269</v>
      </c>
      <c r="E1525" s="17">
        <v>5.2359699999999999E-4</v>
      </c>
      <c r="F1525" s="6" t="s">
        <v>233</v>
      </c>
      <c r="G1525" s="6" t="s">
        <v>234</v>
      </c>
      <c r="H1525" s="6">
        <v>3</v>
      </c>
    </row>
    <row r="1526" spans="1:8" ht="30" x14ac:dyDescent="0.25">
      <c r="A1526" s="17" t="s">
        <v>3920</v>
      </c>
      <c r="B1526" s="17" t="s">
        <v>3891</v>
      </c>
      <c r="C1526" s="17" t="s">
        <v>271</v>
      </c>
      <c r="D1526" s="17" t="s">
        <v>269</v>
      </c>
      <c r="E1526" s="17">
        <v>5.2359699999999999E-4</v>
      </c>
      <c r="F1526" s="6" t="s">
        <v>233</v>
      </c>
      <c r="G1526" s="6" t="s">
        <v>234</v>
      </c>
      <c r="H1526" s="6">
        <v>3</v>
      </c>
    </row>
    <row r="1527" spans="1:8" ht="30" x14ac:dyDescent="0.25">
      <c r="A1527" s="17" t="s">
        <v>3899</v>
      </c>
      <c r="B1527" s="17" t="s">
        <v>3897</v>
      </c>
      <c r="C1527" s="17" t="s">
        <v>271</v>
      </c>
      <c r="D1527" s="17" t="s">
        <v>269</v>
      </c>
      <c r="E1527" s="17">
        <v>5.2359699999999999E-4</v>
      </c>
      <c r="F1527" s="6" t="s">
        <v>233</v>
      </c>
      <c r="G1527" s="6" t="s">
        <v>234</v>
      </c>
      <c r="H1527" s="6">
        <v>3</v>
      </c>
    </row>
    <row r="1528" spans="1:8" ht="30" x14ac:dyDescent="0.25">
      <c r="A1528" s="17" t="s">
        <v>3921</v>
      </c>
      <c r="B1528" s="17" t="s">
        <v>3897</v>
      </c>
      <c r="C1528" s="17" t="s">
        <v>271</v>
      </c>
      <c r="D1528" s="17" t="s">
        <v>269</v>
      </c>
      <c r="E1528" s="17">
        <v>5.2359699999999999E-4</v>
      </c>
      <c r="F1528" s="6" t="s">
        <v>233</v>
      </c>
      <c r="G1528" s="6" t="s">
        <v>234</v>
      </c>
      <c r="H1528" s="6">
        <v>3</v>
      </c>
    </row>
    <row r="1529" spans="1:8" ht="30" x14ac:dyDescent="0.25">
      <c r="A1529" s="17" t="s">
        <v>3922</v>
      </c>
      <c r="B1529" s="17" t="s">
        <v>3883</v>
      </c>
      <c r="C1529" s="17" t="s">
        <v>271</v>
      </c>
      <c r="D1529" s="17" t="s">
        <v>269</v>
      </c>
      <c r="E1529" s="17">
        <v>5.2359699999999999E-4</v>
      </c>
      <c r="F1529" s="6" t="s">
        <v>233</v>
      </c>
      <c r="G1529" s="6" t="s">
        <v>234</v>
      </c>
      <c r="H1529" s="6">
        <v>3</v>
      </c>
    </row>
    <row r="1530" spans="1:8" ht="30" x14ac:dyDescent="0.25">
      <c r="A1530" s="17" t="s">
        <v>3923</v>
      </c>
      <c r="B1530" s="17" t="s">
        <v>3883</v>
      </c>
      <c r="C1530" s="17" t="s">
        <v>271</v>
      </c>
      <c r="D1530" s="17" t="s">
        <v>269</v>
      </c>
      <c r="E1530" s="17">
        <v>5.2359699999999999E-4</v>
      </c>
      <c r="F1530" s="6" t="s">
        <v>233</v>
      </c>
      <c r="G1530" s="6" t="s">
        <v>234</v>
      </c>
      <c r="H1530" s="6">
        <v>3</v>
      </c>
    </row>
    <row r="1531" spans="1:8" ht="30" x14ac:dyDescent="0.25">
      <c r="A1531" s="17" t="s">
        <v>3924</v>
      </c>
      <c r="B1531" s="17" t="s">
        <v>3883</v>
      </c>
      <c r="C1531" s="17" t="s">
        <v>271</v>
      </c>
      <c r="D1531" s="17" t="s">
        <v>269</v>
      </c>
      <c r="E1531" s="17">
        <v>5.2359699999999999E-4</v>
      </c>
      <c r="F1531" s="6" t="s">
        <v>233</v>
      </c>
      <c r="G1531" s="6" t="s">
        <v>234</v>
      </c>
      <c r="H1531" s="6">
        <v>3</v>
      </c>
    </row>
    <row r="1532" spans="1:8" ht="30" x14ac:dyDescent="0.25">
      <c r="A1532" s="17" t="s">
        <v>3925</v>
      </c>
      <c r="B1532" s="17" t="s">
        <v>3883</v>
      </c>
      <c r="C1532" s="17" t="s">
        <v>271</v>
      </c>
      <c r="D1532" s="17" t="s">
        <v>269</v>
      </c>
      <c r="E1532" s="17">
        <v>5.2359699999999999E-4</v>
      </c>
      <c r="F1532" s="6" t="s">
        <v>233</v>
      </c>
      <c r="G1532" s="6" t="s">
        <v>234</v>
      </c>
      <c r="H1532" s="6">
        <v>3</v>
      </c>
    </row>
    <row r="1533" spans="1:8" ht="30" x14ac:dyDescent="0.25">
      <c r="A1533" s="17" t="s">
        <v>3926</v>
      </c>
      <c r="B1533" s="17" t="s">
        <v>3883</v>
      </c>
      <c r="C1533" s="17" t="s">
        <v>271</v>
      </c>
      <c r="D1533" s="17" t="s">
        <v>269</v>
      </c>
      <c r="E1533" s="17">
        <v>5.2359699999999999E-4</v>
      </c>
      <c r="F1533" s="6" t="s">
        <v>233</v>
      </c>
      <c r="G1533" s="6" t="s">
        <v>234</v>
      </c>
      <c r="H1533" s="6">
        <v>3</v>
      </c>
    </row>
    <row r="1534" spans="1:8" ht="30" x14ac:dyDescent="0.25">
      <c r="A1534" s="17" t="s">
        <v>3927</v>
      </c>
      <c r="B1534" s="17" t="s">
        <v>3928</v>
      </c>
      <c r="C1534" s="17" t="s">
        <v>271</v>
      </c>
      <c r="D1534" s="17" t="s">
        <v>269</v>
      </c>
      <c r="E1534" s="17">
        <v>5.2359699999999999E-4</v>
      </c>
      <c r="F1534" s="6" t="s">
        <v>233</v>
      </c>
      <c r="G1534" s="6" t="s">
        <v>234</v>
      </c>
      <c r="H1534" s="6">
        <v>3</v>
      </c>
    </row>
    <row r="1535" spans="1:8" ht="30" x14ac:dyDescent="0.25">
      <c r="A1535" s="17" t="s">
        <v>3929</v>
      </c>
      <c r="B1535" s="17" t="s">
        <v>3928</v>
      </c>
      <c r="C1535" s="17" t="s">
        <v>271</v>
      </c>
      <c r="D1535" s="17" t="s">
        <v>269</v>
      </c>
      <c r="E1535" s="17">
        <v>5.2359699999999999E-4</v>
      </c>
      <c r="F1535" s="6" t="s">
        <v>233</v>
      </c>
      <c r="G1535" s="6" t="s">
        <v>234</v>
      </c>
      <c r="H1535" s="6">
        <v>3</v>
      </c>
    </row>
    <row r="1536" spans="1:8" ht="30" x14ac:dyDescent="0.25">
      <c r="A1536" s="17" t="s">
        <v>3930</v>
      </c>
      <c r="B1536" s="17" t="s">
        <v>3887</v>
      </c>
      <c r="C1536" s="17" t="s">
        <v>271</v>
      </c>
      <c r="D1536" s="17" t="s">
        <v>269</v>
      </c>
      <c r="E1536" s="17">
        <v>5.2359699999999999E-4</v>
      </c>
      <c r="F1536" s="6" t="s">
        <v>233</v>
      </c>
      <c r="G1536" s="6" t="s">
        <v>234</v>
      </c>
      <c r="H1536" s="6">
        <v>3</v>
      </c>
    </row>
    <row r="1537" spans="1:8" ht="30" x14ac:dyDescent="0.25">
      <c r="A1537" s="17" t="s">
        <v>3931</v>
      </c>
      <c r="B1537" s="17" t="s">
        <v>3887</v>
      </c>
      <c r="C1537" s="17" t="s">
        <v>271</v>
      </c>
      <c r="D1537" s="17" t="s">
        <v>269</v>
      </c>
      <c r="E1537" s="17">
        <v>5.2359699999999999E-4</v>
      </c>
      <c r="F1537" s="6" t="s">
        <v>233</v>
      </c>
      <c r="G1537" s="6" t="s">
        <v>234</v>
      </c>
      <c r="H1537" s="6">
        <v>3</v>
      </c>
    </row>
    <row r="1538" spans="1:8" ht="30" x14ac:dyDescent="0.25">
      <c r="A1538" s="17" t="s">
        <v>3932</v>
      </c>
      <c r="B1538" s="17" t="s">
        <v>3887</v>
      </c>
      <c r="C1538" s="17" t="s">
        <v>271</v>
      </c>
      <c r="D1538" s="17" t="s">
        <v>269</v>
      </c>
      <c r="E1538" s="17">
        <v>5.2359699999999999E-4</v>
      </c>
      <c r="F1538" s="6" t="s">
        <v>233</v>
      </c>
      <c r="G1538" s="6" t="s">
        <v>234</v>
      </c>
      <c r="H1538" s="6">
        <v>3</v>
      </c>
    </row>
    <row r="1539" spans="1:8" ht="30" x14ac:dyDescent="0.25">
      <c r="A1539" s="17" t="s">
        <v>3933</v>
      </c>
      <c r="B1539" s="17" t="s">
        <v>3934</v>
      </c>
      <c r="C1539" s="17" t="s">
        <v>271</v>
      </c>
      <c r="D1539" s="17" t="s">
        <v>269</v>
      </c>
      <c r="E1539" s="17">
        <v>5.2359699999999999E-4</v>
      </c>
      <c r="F1539" s="6" t="s">
        <v>233</v>
      </c>
      <c r="G1539" s="6" t="s">
        <v>234</v>
      </c>
      <c r="H1539" s="6">
        <v>3</v>
      </c>
    </row>
    <row r="1540" spans="1:8" ht="30" x14ac:dyDescent="0.25">
      <c r="A1540" s="17" t="s">
        <v>3935</v>
      </c>
      <c r="B1540" s="17" t="s">
        <v>3866</v>
      </c>
      <c r="C1540" s="17" t="s">
        <v>271</v>
      </c>
      <c r="D1540" s="17" t="s">
        <v>269</v>
      </c>
      <c r="E1540" s="17">
        <v>5.2359699999999999E-4</v>
      </c>
      <c r="F1540" s="6" t="s">
        <v>233</v>
      </c>
      <c r="G1540" s="6" t="s">
        <v>234</v>
      </c>
      <c r="H1540" s="6">
        <v>3</v>
      </c>
    </row>
    <row r="1541" spans="1:8" ht="30" x14ac:dyDescent="0.25">
      <c r="A1541" s="17" t="s">
        <v>3936</v>
      </c>
      <c r="B1541" s="17" t="s">
        <v>3887</v>
      </c>
      <c r="C1541" s="17" t="s">
        <v>271</v>
      </c>
      <c r="D1541" s="17" t="s">
        <v>269</v>
      </c>
      <c r="E1541" s="17">
        <v>5.2359699999999999E-4</v>
      </c>
      <c r="F1541" s="6" t="s">
        <v>233</v>
      </c>
      <c r="G1541" s="6" t="s">
        <v>234</v>
      </c>
      <c r="H1541" s="6">
        <v>3</v>
      </c>
    </row>
    <row r="1542" spans="1:8" ht="30" x14ac:dyDescent="0.25">
      <c r="A1542" s="17" t="s">
        <v>3937</v>
      </c>
      <c r="B1542" s="17" t="s">
        <v>3938</v>
      </c>
      <c r="C1542" s="17" t="s">
        <v>271</v>
      </c>
      <c r="D1542" s="17" t="s">
        <v>269</v>
      </c>
      <c r="E1542" s="17">
        <v>5.2359699999999999E-4</v>
      </c>
      <c r="F1542" s="6" t="s">
        <v>233</v>
      </c>
      <c r="G1542" s="6" t="s">
        <v>234</v>
      </c>
      <c r="H1542" s="6">
        <v>3</v>
      </c>
    </row>
    <row r="1543" spans="1:8" ht="30" x14ac:dyDescent="0.25">
      <c r="A1543" s="17" t="s">
        <v>3939</v>
      </c>
      <c r="B1543" s="17" t="s">
        <v>3938</v>
      </c>
      <c r="C1543" s="17" t="s">
        <v>271</v>
      </c>
      <c r="D1543" s="17" t="s">
        <v>269</v>
      </c>
      <c r="E1543" s="17">
        <v>5.2359699999999999E-4</v>
      </c>
      <c r="F1543" s="6" t="s">
        <v>233</v>
      </c>
      <c r="G1543" s="6" t="s">
        <v>234</v>
      </c>
      <c r="H1543" s="6">
        <v>3</v>
      </c>
    </row>
    <row r="1544" spans="1:8" ht="30" x14ac:dyDescent="0.25">
      <c r="A1544" s="17" t="s">
        <v>3940</v>
      </c>
      <c r="B1544" s="17" t="s">
        <v>3941</v>
      </c>
      <c r="C1544" s="17" t="s">
        <v>271</v>
      </c>
      <c r="D1544" s="17" t="s">
        <v>269</v>
      </c>
      <c r="E1544" s="17">
        <v>5.2359699999999999E-4</v>
      </c>
      <c r="F1544" s="6" t="s">
        <v>233</v>
      </c>
      <c r="G1544" s="6" t="s">
        <v>234</v>
      </c>
      <c r="H1544" s="6">
        <v>3</v>
      </c>
    </row>
    <row r="1545" spans="1:8" ht="30" x14ac:dyDescent="0.25">
      <c r="A1545" s="17" t="s">
        <v>3942</v>
      </c>
      <c r="B1545" s="17" t="s">
        <v>3941</v>
      </c>
      <c r="C1545" s="17" t="s">
        <v>271</v>
      </c>
      <c r="D1545" s="17" t="s">
        <v>269</v>
      </c>
      <c r="E1545" s="17">
        <v>5.2359699999999999E-4</v>
      </c>
      <c r="F1545" s="6" t="s">
        <v>233</v>
      </c>
      <c r="G1545" s="6" t="s">
        <v>234</v>
      </c>
      <c r="H1545" s="6">
        <v>3</v>
      </c>
    </row>
    <row r="1546" spans="1:8" ht="30" x14ac:dyDescent="0.25">
      <c r="A1546" s="17" t="s">
        <v>3943</v>
      </c>
      <c r="B1546" s="17" t="s">
        <v>3941</v>
      </c>
      <c r="C1546" s="17" t="s">
        <v>271</v>
      </c>
      <c r="D1546" s="17" t="s">
        <v>269</v>
      </c>
      <c r="E1546" s="17">
        <v>5.2359699999999999E-4</v>
      </c>
      <c r="F1546" s="6" t="s">
        <v>233</v>
      </c>
      <c r="G1546" s="6" t="s">
        <v>234</v>
      </c>
      <c r="H1546" s="6">
        <v>3</v>
      </c>
    </row>
    <row r="1547" spans="1:8" ht="30" x14ac:dyDescent="0.25">
      <c r="A1547" s="17" t="s">
        <v>3944</v>
      </c>
      <c r="B1547" s="17" t="s">
        <v>3887</v>
      </c>
      <c r="C1547" s="17" t="s">
        <v>271</v>
      </c>
      <c r="D1547" s="17" t="s">
        <v>269</v>
      </c>
      <c r="E1547" s="17">
        <v>5.2359699999999999E-4</v>
      </c>
      <c r="F1547" s="6" t="s">
        <v>233</v>
      </c>
      <c r="G1547" s="6" t="s">
        <v>234</v>
      </c>
      <c r="H1547" s="6">
        <v>3</v>
      </c>
    </row>
    <row r="1548" spans="1:8" ht="30" x14ac:dyDescent="0.25">
      <c r="A1548" s="17" t="s">
        <v>3945</v>
      </c>
      <c r="B1548" s="17" t="s">
        <v>3887</v>
      </c>
      <c r="C1548" s="17" t="s">
        <v>271</v>
      </c>
      <c r="D1548" s="17" t="s">
        <v>269</v>
      </c>
      <c r="E1548" s="17">
        <v>5.2359699999999999E-4</v>
      </c>
      <c r="F1548" s="6" t="s">
        <v>233</v>
      </c>
      <c r="G1548" s="6" t="s">
        <v>234</v>
      </c>
      <c r="H1548" s="6">
        <v>3</v>
      </c>
    </row>
    <row r="1549" spans="1:8" ht="30" x14ac:dyDescent="0.25">
      <c r="A1549" s="17" t="s">
        <v>3946</v>
      </c>
      <c r="B1549" s="17" t="s">
        <v>3883</v>
      </c>
      <c r="C1549" s="17" t="s">
        <v>271</v>
      </c>
      <c r="D1549" s="17" t="s">
        <v>269</v>
      </c>
      <c r="E1549" s="17">
        <v>5.2359699999999999E-4</v>
      </c>
      <c r="F1549" s="6" t="s">
        <v>233</v>
      </c>
      <c r="G1549" s="6" t="s">
        <v>234</v>
      </c>
      <c r="H1549" s="6">
        <v>3</v>
      </c>
    </row>
    <row r="1550" spans="1:8" ht="30" x14ac:dyDescent="0.25">
      <c r="A1550" s="17" t="s">
        <v>3947</v>
      </c>
      <c r="B1550" s="17" t="s">
        <v>3883</v>
      </c>
      <c r="C1550" s="17" t="s">
        <v>271</v>
      </c>
      <c r="D1550" s="17" t="s">
        <v>269</v>
      </c>
      <c r="E1550" s="17">
        <v>5.2359699999999999E-4</v>
      </c>
      <c r="F1550" s="6" t="s">
        <v>233</v>
      </c>
      <c r="G1550" s="6" t="s">
        <v>234</v>
      </c>
      <c r="H1550" s="6">
        <v>3</v>
      </c>
    </row>
    <row r="1551" spans="1:8" ht="30" x14ac:dyDescent="0.25">
      <c r="A1551" s="17" t="s">
        <v>3948</v>
      </c>
      <c r="B1551" s="17" t="s">
        <v>3949</v>
      </c>
      <c r="C1551" s="17" t="s">
        <v>301</v>
      </c>
      <c r="D1551" s="17" t="s">
        <v>299</v>
      </c>
      <c r="E1551" s="17">
        <v>6.3590900000000004E-4</v>
      </c>
      <c r="F1551" s="6" t="s">
        <v>233</v>
      </c>
      <c r="G1551" s="6" t="s">
        <v>234</v>
      </c>
      <c r="H1551" s="6">
        <v>3</v>
      </c>
    </row>
    <row r="1552" spans="1:8" ht="30" x14ac:dyDescent="0.25">
      <c r="A1552" s="17" t="s">
        <v>3950</v>
      </c>
      <c r="B1552" s="17" t="s">
        <v>3934</v>
      </c>
      <c r="C1552" s="17" t="s">
        <v>271</v>
      </c>
      <c r="D1552" s="17" t="s">
        <v>269</v>
      </c>
      <c r="E1552" s="17">
        <v>5.2359699999999999E-4</v>
      </c>
      <c r="F1552" s="6" t="s">
        <v>233</v>
      </c>
      <c r="G1552" s="6" t="s">
        <v>234</v>
      </c>
      <c r="H1552" s="6">
        <v>3</v>
      </c>
    </row>
    <row r="1553" spans="1:8" ht="30" x14ac:dyDescent="0.25">
      <c r="A1553" s="17" t="s">
        <v>3843</v>
      </c>
      <c r="B1553" s="17" t="s">
        <v>3951</v>
      </c>
      <c r="C1553" s="17" t="s">
        <v>271</v>
      </c>
      <c r="D1553" s="17" t="s">
        <v>269</v>
      </c>
      <c r="E1553" s="17">
        <v>5.2359699999999999E-4</v>
      </c>
      <c r="F1553" s="6" t="s">
        <v>233</v>
      </c>
      <c r="G1553" s="6" t="s">
        <v>234</v>
      </c>
      <c r="H1553" s="6">
        <v>3</v>
      </c>
    </row>
    <row r="1554" spans="1:8" ht="30" x14ac:dyDescent="0.25">
      <c r="A1554" s="17" t="s">
        <v>3952</v>
      </c>
      <c r="B1554" s="17" t="s">
        <v>3953</v>
      </c>
      <c r="C1554" s="17" t="s">
        <v>271</v>
      </c>
      <c r="D1554" s="17" t="s">
        <v>269</v>
      </c>
      <c r="E1554" s="17">
        <v>5.2359699999999999E-4</v>
      </c>
      <c r="F1554" s="6" t="s">
        <v>233</v>
      </c>
      <c r="G1554" s="6" t="s">
        <v>234</v>
      </c>
      <c r="H1554" s="6">
        <v>3</v>
      </c>
    </row>
    <row r="1555" spans="1:8" ht="30" x14ac:dyDescent="0.25">
      <c r="A1555" s="17" t="s">
        <v>3954</v>
      </c>
      <c r="B1555" s="17" t="s">
        <v>3953</v>
      </c>
      <c r="C1555" s="17" t="s">
        <v>271</v>
      </c>
      <c r="D1555" s="17" t="s">
        <v>269</v>
      </c>
      <c r="E1555" s="17">
        <v>5.2359699999999999E-4</v>
      </c>
      <c r="F1555" s="6" t="s">
        <v>233</v>
      </c>
      <c r="G1555" s="6" t="s">
        <v>234</v>
      </c>
      <c r="H1555" s="6">
        <v>3</v>
      </c>
    </row>
    <row r="1556" spans="1:8" ht="30" x14ac:dyDescent="0.25">
      <c r="A1556" s="17" t="s">
        <v>3955</v>
      </c>
      <c r="B1556" s="17" t="s">
        <v>3956</v>
      </c>
      <c r="C1556" s="17" t="s">
        <v>271</v>
      </c>
      <c r="D1556" s="17" t="s">
        <v>269</v>
      </c>
      <c r="E1556" s="17">
        <v>5.2359699999999999E-4</v>
      </c>
      <c r="F1556" s="6" t="s">
        <v>233</v>
      </c>
      <c r="G1556" s="6" t="s">
        <v>234</v>
      </c>
      <c r="H1556" s="6">
        <v>3</v>
      </c>
    </row>
    <row r="1557" spans="1:8" ht="30" x14ac:dyDescent="0.25">
      <c r="A1557" s="17" t="s">
        <v>3957</v>
      </c>
      <c r="B1557" s="17" t="s">
        <v>3958</v>
      </c>
      <c r="C1557" s="17" t="s">
        <v>301</v>
      </c>
      <c r="D1557" s="17" t="s">
        <v>299</v>
      </c>
      <c r="E1557" s="17">
        <v>6.3590900000000004E-4</v>
      </c>
      <c r="F1557" s="6" t="s">
        <v>233</v>
      </c>
      <c r="G1557" s="6" t="s">
        <v>234</v>
      </c>
      <c r="H1557" s="6">
        <v>3</v>
      </c>
    </row>
    <row r="1558" spans="1:8" ht="30" x14ac:dyDescent="0.25">
      <c r="A1558" s="17" t="s">
        <v>3959</v>
      </c>
      <c r="B1558" s="17" t="s">
        <v>3960</v>
      </c>
      <c r="C1558" s="17" t="s">
        <v>271</v>
      </c>
      <c r="D1558" s="17" t="s">
        <v>269</v>
      </c>
      <c r="E1558" s="17">
        <v>5.2359699999999999E-4</v>
      </c>
      <c r="F1558" s="6" t="s">
        <v>233</v>
      </c>
      <c r="G1558" s="6" t="s">
        <v>234</v>
      </c>
      <c r="H1558" s="6">
        <v>3</v>
      </c>
    </row>
    <row r="1559" spans="1:8" ht="30" x14ac:dyDescent="0.25">
      <c r="A1559" s="17" t="s">
        <v>3961</v>
      </c>
      <c r="B1559" s="17" t="s">
        <v>3956</v>
      </c>
      <c r="C1559" s="17" t="s">
        <v>271</v>
      </c>
      <c r="D1559" s="17" t="s">
        <v>269</v>
      </c>
      <c r="E1559" s="17">
        <v>5.2359699999999999E-4</v>
      </c>
      <c r="F1559" s="6" t="s">
        <v>233</v>
      </c>
      <c r="G1559" s="6" t="s">
        <v>234</v>
      </c>
      <c r="H1559" s="6">
        <v>3</v>
      </c>
    </row>
    <row r="1560" spans="1:8" ht="30" x14ac:dyDescent="0.25">
      <c r="A1560" s="17" t="s">
        <v>3962</v>
      </c>
      <c r="B1560" s="17" t="s">
        <v>3963</v>
      </c>
      <c r="C1560" s="17" t="s">
        <v>271</v>
      </c>
      <c r="D1560" s="17" t="s">
        <v>269</v>
      </c>
      <c r="E1560" s="17">
        <v>5.2359699999999999E-4</v>
      </c>
      <c r="F1560" s="6" t="s">
        <v>233</v>
      </c>
      <c r="G1560" s="6" t="s">
        <v>234</v>
      </c>
      <c r="H1560" s="6">
        <v>3</v>
      </c>
    </row>
    <row r="1561" spans="1:8" ht="30" x14ac:dyDescent="0.25">
      <c r="A1561" s="17" t="s">
        <v>3964</v>
      </c>
      <c r="B1561" s="17" t="s">
        <v>3965</v>
      </c>
      <c r="C1561" s="17" t="s">
        <v>271</v>
      </c>
      <c r="D1561" s="17" t="s">
        <v>269</v>
      </c>
      <c r="E1561" s="17">
        <v>5.2359699999999999E-4</v>
      </c>
      <c r="F1561" s="6" t="s">
        <v>233</v>
      </c>
      <c r="G1561" s="6" t="s">
        <v>234</v>
      </c>
      <c r="H1561" s="6">
        <v>3</v>
      </c>
    </row>
    <row r="1562" spans="1:8" ht="30" x14ac:dyDescent="0.25">
      <c r="A1562" s="17" t="s">
        <v>3966</v>
      </c>
      <c r="B1562" s="17" t="s">
        <v>3967</v>
      </c>
      <c r="C1562" s="17" t="s">
        <v>271</v>
      </c>
      <c r="D1562" s="17" t="s">
        <v>269</v>
      </c>
      <c r="E1562" s="17">
        <v>5.2359699999999999E-4</v>
      </c>
      <c r="F1562" s="6" t="s">
        <v>233</v>
      </c>
      <c r="G1562" s="6" t="s">
        <v>234</v>
      </c>
      <c r="H1562" s="6">
        <v>3</v>
      </c>
    </row>
    <row r="1563" spans="1:8" ht="30" x14ac:dyDescent="0.25">
      <c r="A1563" s="17" t="s">
        <v>3968</v>
      </c>
      <c r="B1563" s="17" t="s">
        <v>3969</v>
      </c>
      <c r="C1563" s="17" t="s">
        <v>301</v>
      </c>
      <c r="D1563" s="17" t="s">
        <v>299</v>
      </c>
      <c r="E1563" s="17">
        <v>6.3590900000000004E-4</v>
      </c>
      <c r="F1563" s="6" t="s">
        <v>233</v>
      </c>
      <c r="G1563" s="6" t="s">
        <v>234</v>
      </c>
      <c r="H1563" s="6">
        <v>3</v>
      </c>
    </row>
    <row r="1564" spans="1:8" ht="30" x14ac:dyDescent="0.25">
      <c r="A1564" s="17" t="s">
        <v>3970</v>
      </c>
      <c r="B1564" s="17" t="s">
        <v>3971</v>
      </c>
      <c r="C1564" s="17" t="s">
        <v>301</v>
      </c>
      <c r="D1564" s="17" t="s">
        <v>299</v>
      </c>
      <c r="E1564" s="17">
        <v>6.3590900000000004E-4</v>
      </c>
      <c r="F1564" s="6" t="s">
        <v>233</v>
      </c>
      <c r="G1564" s="6" t="s">
        <v>234</v>
      </c>
      <c r="H1564" s="6">
        <v>3</v>
      </c>
    </row>
    <row r="1565" spans="1:8" ht="30" x14ac:dyDescent="0.25">
      <c r="A1565" s="17" t="s">
        <v>3972</v>
      </c>
      <c r="B1565" s="17" t="s">
        <v>3973</v>
      </c>
      <c r="C1565" s="17" t="s">
        <v>268</v>
      </c>
      <c r="D1565" s="17" t="s">
        <v>3974</v>
      </c>
      <c r="E1565" s="17">
        <v>5.4511299999999996E-4</v>
      </c>
      <c r="F1565" s="6" t="s">
        <v>233</v>
      </c>
      <c r="G1565" s="6" t="s">
        <v>234</v>
      </c>
      <c r="H1565" s="6">
        <v>3</v>
      </c>
    </row>
    <row r="1566" spans="1:8" ht="30" x14ac:dyDescent="0.25">
      <c r="A1566" s="17" t="s">
        <v>3975</v>
      </c>
      <c r="B1566" s="17" t="s">
        <v>3976</v>
      </c>
      <c r="C1566" s="17" t="s">
        <v>271</v>
      </c>
      <c r="D1566" s="17" t="s">
        <v>269</v>
      </c>
      <c r="E1566" s="17">
        <v>5.2359699999999999E-4</v>
      </c>
      <c r="F1566" s="6" t="s">
        <v>233</v>
      </c>
      <c r="G1566" s="6" t="s">
        <v>234</v>
      </c>
      <c r="H1566" s="6">
        <v>3</v>
      </c>
    </row>
    <row r="1567" spans="1:8" ht="30" x14ac:dyDescent="0.25">
      <c r="A1567" s="17" t="s">
        <v>3844</v>
      </c>
      <c r="B1567" s="17" t="s">
        <v>3977</v>
      </c>
      <c r="C1567" s="17" t="s">
        <v>244</v>
      </c>
      <c r="D1567" s="17" t="s">
        <v>242</v>
      </c>
      <c r="E1567" s="17">
        <v>5.4284299999999999E-4</v>
      </c>
      <c r="F1567" s="6" t="s">
        <v>233</v>
      </c>
      <c r="G1567" s="6" t="s">
        <v>234</v>
      </c>
      <c r="H1567" s="6">
        <v>3</v>
      </c>
    </row>
    <row r="1568" spans="1:8" ht="30" x14ac:dyDescent="0.25">
      <c r="A1568" s="17" t="s">
        <v>3978</v>
      </c>
      <c r="B1568" s="17" t="s">
        <v>3979</v>
      </c>
      <c r="C1568" s="17" t="s">
        <v>265</v>
      </c>
      <c r="D1568" s="17" t="s">
        <v>263</v>
      </c>
      <c r="E1568" s="17">
        <v>3.0449399999999999E-4</v>
      </c>
      <c r="F1568" s="6" t="s">
        <v>233</v>
      </c>
      <c r="G1568" s="6" t="s">
        <v>234</v>
      </c>
      <c r="H1568" s="6">
        <v>3</v>
      </c>
    </row>
    <row r="1569" spans="1:8" ht="30" x14ac:dyDescent="0.25">
      <c r="A1569" s="17" t="s">
        <v>1214</v>
      </c>
      <c r="B1569" s="17" t="s">
        <v>3980</v>
      </c>
      <c r="C1569" s="17" t="s">
        <v>244</v>
      </c>
      <c r="D1569" s="17" t="s">
        <v>242</v>
      </c>
      <c r="E1569" s="17">
        <v>5.4284299999999999E-4</v>
      </c>
      <c r="F1569" s="6" t="s">
        <v>233</v>
      </c>
      <c r="G1569" s="6" t="s">
        <v>234</v>
      </c>
      <c r="H1569" s="6">
        <v>3</v>
      </c>
    </row>
    <row r="1570" spans="1:8" ht="30" x14ac:dyDescent="0.25">
      <c r="A1570" s="17" t="s">
        <v>3981</v>
      </c>
      <c r="B1570" s="17" t="s">
        <v>3982</v>
      </c>
      <c r="C1570" s="17" t="s">
        <v>271</v>
      </c>
      <c r="D1570" s="17" t="s">
        <v>269</v>
      </c>
      <c r="E1570" s="17">
        <v>5.2359699999999999E-4</v>
      </c>
      <c r="F1570" s="6" t="s">
        <v>233</v>
      </c>
      <c r="G1570" s="6" t="s">
        <v>234</v>
      </c>
      <c r="H1570" s="6">
        <v>3</v>
      </c>
    </row>
    <row r="1571" spans="1:8" ht="30" x14ac:dyDescent="0.25">
      <c r="A1571" s="17" t="s">
        <v>3983</v>
      </c>
      <c r="B1571" s="17" t="s">
        <v>3984</v>
      </c>
      <c r="C1571" s="17" t="s">
        <v>280</v>
      </c>
      <c r="D1571" s="17" t="s">
        <v>278</v>
      </c>
      <c r="E1571" s="17">
        <v>6.2829699999999999E-4</v>
      </c>
      <c r="F1571" s="6" t="s">
        <v>233</v>
      </c>
      <c r="G1571" s="6" t="s">
        <v>234</v>
      </c>
      <c r="H1571" s="6">
        <v>3</v>
      </c>
    </row>
    <row r="1572" spans="1:8" ht="30" x14ac:dyDescent="0.25">
      <c r="A1572" s="17" t="s">
        <v>3985</v>
      </c>
      <c r="B1572" s="17" t="s">
        <v>3986</v>
      </c>
      <c r="C1572" s="17" t="s">
        <v>271</v>
      </c>
      <c r="D1572" s="17" t="s">
        <v>269</v>
      </c>
      <c r="E1572" s="17">
        <v>5.2359699999999999E-4</v>
      </c>
      <c r="F1572" s="6" t="s">
        <v>233</v>
      </c>
      <c r="G1572" s="6" t="s">
        <v>234</v>
      </c>
      <c r="H1572" s="6">
        <v>3</v>
      </c>
    </row>
    <row r="1573" spans="1:8" ht="30" x14ac:dyDescent="0.25">
      <c r="A1573" s="17" t="s">
        <v>3987</v>
      </c>
      <c r="B1573" s="17" t="s">
        <v>3988</v>
      </c>
      <c r="C1573" s="17" t="s">
        <v>301</v>
      </c>
      <c r="D1573" s="17" t="s">
        <v>299</v>
      </c>
      <c r="E1573" s="17">
        <v>6.3590900000000004E-4</v>
      </c>
      <c r="F1573" s="6" t="s">
        <v>233</v>
      </c>
      <c r="G1573" s="6" t="s">
        <v>234</v>
      </c>
      <c r="H1573" s="6">
        <v>3</v>
      </c>
    </row>
    <row r="1574" spans="1:8" ht="30" x14ac:dyDescent="0.25">
      <c r="A1574" s="17" t="s">
        <v>3989</v>
      </c>
      <c r="B1574" s="17" t="s">
        <v>3990</v>
      </c>
      <c r="C1574" s="17" t="s">
        <v>280</v>
      </c>
      <c r="D1574" s="17" t="s">
        <v>278</v>
      </c>
      <c r="E1574" s="17">
        <v>6.2829699999999999E-4</v>
      </c>
      <c r="F1574" s="6" t="s">
        <v>233</v>
      </c>
      <c r="G1574" s="6" t="s">
        <v>234</v>
      </c>
      <c r="H1574" s="6">
        <v>3</v>
      </c>
    </row>
    <row r="1575" spans="1:8" ht="30" x14ac:dyDescent="0.25">
      <c r="A1575" s="17" t="s">
        <v>3845</v>
      </c>
      <c r="B1575" s="17" t="s">
        <v>3991</v>
      </c>
      <c r="C1575" s="17" t="s">
        <v>256</v>
      </c>
      <c r="D1575" s="17" t="s">
        <v>254</v>
      </c>
      <c r="E1575" s="17">
        <v>8.1312799999999998E-4</v>
      </c>
      <c r="F1575" s="6" t="s">
        <v>233</v>
      </c>
      <c r="G1575" s="6" t="s">
        <v>234</v>
      </c>
      <c r="H1575" s="6">
        <v>3</v>
      </c>
    </row>
    <row r="1576" spans="1:8" ht="30" x14ac:dyDescent="0.25">
      <c r="A1576" s="17" t="s">
        <v>3846</v>
      </c>
      <c r="B1576" s="17" t="s">
        <v>3990</v>
      </c>
      <c r="C1576" s="17" t="s">
        <v>280</v>
      </c>
      <c r="D1576" s="17" t="s">
        <v>278</v>
      </c>
      <c r="E1576" s="17">
        <v>6.2829699999999999E-4</v>
      </c>
      <c r="F1576" s="6" t="s">
        <v>233</v>
      </c>
      <c r="G1576" s="6" t="s">
        <v>234</v>
      </c>
      <c r="H1576" s="6">
        <v>3</v>
      </c>
    </row>
    <row r="1577" spans="1:8" ht="30" x14ac:dyDescent="0.25">
      <c r="A1577" s="17" t="s">
        <v>3992</v>
      </c>
      <c r="B1577" s="17" t="s">
        <v>3993</v>
      </c>
      <c r="C1577" s="17" t="s">
        <v>271</v>
      </c>
      <c r="D1577" s="17" t="s">
        <v>269</v>
      </c>
      <c r="E1577" s="17">
        <v>5.2359699999999999E-4</v>
      </c>
      <c r="F1577" s="6" t="s">
        <v>233</v>
      </c>
      <c r="G1577" s="6" t="s">
        <v>234</v>
      </c>
      <c r="H1577" s="6">
        <v>3</v>
      </c>
    </row>
    <row r="1578" spans="1:8" ht="30" x14ac:dyDescent="0.25">
      <c r="A1578" s="17" t="s">
        <v>3994</v>
      </c>
      <c r="B1578" s="17" t="s">
        <v>3963</v>
      </c>
      <c r="C1578" s="17" t="s">
        <v>271</v>
      </c>
      <c r="D1578" s="17" t="s">
        <v>269</v>
      </c>
      <c r="E1578" s="17">
        <v>5.2359699999999999E-4</v>
      </c>
      <c r="F1578" s="6" t="s">
        <v>233</v>
      </c>
      <c r="G1578" s="6" t="s">
        <v>234</v>
      </c>
      <c r="H1578" s="6">
        <v>3</v>
      </c>
    </row>
    <row r="1579" spans="1:8" ht="30" x14ac:dyDescent="0.25">
      <c r="A1579" s="17" t="s">
        <v>3995</v>
      </c>
      <c r="B1579" s="17" t="s">
        <v>3996</v>
      </c>
      <c r="C1579" s="17" t="s">
        <v>271</v>
      </c>
      <c r="D1579" s="17" t="s">
        <v>269</v>
      </c>
      <c r="E1579" s="17">
        <v>5.2359699999999999E-4</v>
      </c>
      <c r="F1579" s="6" t="s">
        <v>233</v>
      </c>
      <c r="G1579" s="6" t="s">
        <v>234</v>
      </c>
      <c r="H1579" s="6">
        <v>3</v>
      </c>
    </row>
    <row r="1580" spans="1:8" ht="30" x14ac:dyDescent="0.25">
      <c r="A1580" s="17" t="s">
        <v>3997</v>
      </c>
      <c r="B1580" s="17" t="s">
        <v>3998</v>
      </c>
      <c r="C1580" s="17" t="s">
        <v>301</v>
      </c>
      <c r="D1580" s="17" t="s">
        <v>299</v>
      </c>
      <c r="E1580" s="17">
        <v>6.3590900000000004E-4</v>
      </c>
      <c r="F1580" s="6" t="s">
        <v>233</v>
      </c>
      <c r="G1580" s="6" t="s">
        <v>234</v>
      </c>
      <c r="H1580" s="6">
        <v>3</v>
      </c>
    </row>
    <row r="1581" spans="1:8" ht="30" x14ac:dyDescent="0.25">
      <c r="A1581" s="17" t="s">
        <v>3999</v>
      </c>
      <c r="B1581" s="17" t="s">
        <v>3934</v>
      </c>
      <c r="C1581" s="17" t="s">
        <v>271</v>
      </c>
      <c r="D1581" s="17" t="s">
        <v>269</v>
      </c>
      <c r="E1581" s="17">
        <v>5.2359699999999999E-4</v>
      </c>
      <c r="F1581" s="6" t="s">
        <v>233</v>
      </c>
      <c r="G1581" s="6" t="s">
        <v>234</v>
      </c>
      <c r="H1581" s="6">
        <v>3</v>
      </c>
    </row>
    <row r="1582" spans="1:8" ht="30" x14ac:dyDescent="0.25">
      <c r="A1582" s="17" t="s">
        <v>4000</v>
      </c>
      <c r="B1582" s="17" t="s">
        <v>4001</v>
      </c>
      <c r="C1582" s="17" t="s">
        <v>301</v>
      </c>
      <c r="D1582" s="17" t="s">
        <v>299</v>
      </c>
      <c r="E1582" s="17">
        <v>6.3590900000000004E-4</v>
      </c>
      <c r="F1582" s="6" t="s">
        <v>233</v>
      </c>
      <c r="G1582" s="6" t="s">
        <v>234</v>
      </c>
      <c r="H1582" s="6">
        <v>3</v>
      </c>
    </row>
    <row r="1583" spans="1:8" ht="30" x14ac:dyDescent="0.25">
      <c r="A1583" s="17" t="s">
        <v>4002</v>
      </c>
      <c r="B1583" s="17" t="s">
        <v>3958</v>
      </c>
      <c r="C1583" s="17" t="s">
        <v>301</v>
      </c>
      <c r="D1583" s="17" t="s">
        <v>299</v>
      </c>
      <c r="E1583" s="17">
        <v>6.3590900000000004E-4</v>
      </c>
      <c r="F1583" s="6" t="s">
        <v>233</v>
      </c>
      <c r="G1583" s="6" t="s">
        <v>234</v>
      </c>
      <c r="H1583" s="6">
        <v>3</v>
      </c>
    </row>
    <row r="1584" spans="1:8" ht="30" x14ac:dyDescent="0.25">
      <c r="A1584" s="17" t="s">
        <v>4003</v>
      </c>
      <c r="B1584" s="17" t="s">
        <v>4004</v>
      </c>
      <c r="C1584" s="17" t="s">
        <v>301</v>
      </c>
      <c r="D1584" s="17" t="s">
        <v>299</v>
      </c>
      <c r="E1584" s="17">
        <v>6.3590900000000004E-4</v>
      </c>
      <c r="F1584" s="6" t="s">
        <v>233</v>
      </c>
      <c r="G1584" s="6" t="s">
        <v>234</v>
      </c>
      <c r="H1584" s="6">
        <v>3</v>
      </c>
    </row>
    <row r="1585" spans="1:8" ht="30" x14ac:dyDescent="0.25">
      <c r="A1585" s="17" t="s">
        <v>4005</v>
      </c>
      <c r="B1585" s="17" t="s">
        <v>4006</v>
      </c>
      <c r="C1585" s="17" t="s">
        <v>265</v>
      </c>
      <c r="D1585" s="17" t="s">
        <v>263</v>
      </c>
      <c r="E1585" s="17">
        <v>3.0449399999999999E-4</v>
      </c>
      <c r="F1585" s="6" t="s">
        <v>233</v>
      </c>
      <c r="G1585" s="6" t="s">
        <v>234</v>
      </c>
      <c r="H1585" s="6">
        <v>3</v>
      </c>
    </row>
    <row r="1586" spans="1:8" ht="30" x14ac:dyDescent="0.25">
      <c r="A1586" s="17" t="s">
        <v>4007</v>
      </c>
      <c r="B1586" s="17" t="s">
        <v>4008</v>
      </c>
      <c r="C1586" s="17" t="s">
        <v>271</v>
      </c>
      <c r="D1586" s="17" t="s">
        <v>269</v>
      </c>
      <c r="E1586" s="17">
        <v>5.2359699999999999E-4</v>
      </c>
      <c r="F1586" s="6" t="s">
        <v>233</v>
      </c>
      <c r="G1586" s="6" t="s">
        <v>234</v>
      </c>
      <c r="H1586" s="6">
        <v>3</v>
      </c>
    </row>
    <row r="1587" spans="1:8" ht="30" x14ac:dyDescent="0.25">
      <c r="A1587" s="17" t="s">
        <v>4009</v>
      </c>
      <c r="B1587" s="17" t="s">
        <v>4010</v>
      </c>
      <c r="C1587" s="17" t="s">
        <v>301</v>
      </c>
      <c r="D1587" s="17" t="s">
        <v>299</v>
      </c>
      <c r="E1587" s="17">
        <v>6.3590900000000004E-4</v>
      </c>
      <c r="F1587" s="6" t="s">
        <v>233</v>
      </c>
      <c r="G1587" s="6" t="s">
        <v>234</v>
      </c>
      <c r="H1587" s="6">
        <v>3</v>
      </c>
    </row>
    <row r="1588" spans="1:8" ht="30" x14ac:dyDescent="0.25">
      <c r="A1588" s="17" t="s">
        <v>4011</v>
      </c>
      <c r="B1588" s="17" t="s">
        <v>4012</v>
      </c>
      <c r="C1588" s="17" t="s">
        <v>271</v>
      </c>
      <c r="D1588" s="17" t="s">
        <v>269</v>
      </c>
      <c r="E1588" s="17">
        <v>5.2359699999999999E-4</v>
      </c>
      <c r="F1588" s="6" t="s">
        <v>233</v>
      </c>
      <c r="G1588" s="6" t="s">
        <v>234</v>
      </c>
      <c r="H1588" s="6">
        <v>3</v>
      </c>
    </row>
    <row r="1589" spans="1:8" ht="30" x14ac:dyDescent="0.25">
      <c r="A1589" s="17" t="s">
        <v>3852</v>
      </c>
      <c r="B1589" s="17" t="s">
        <v>4013</v>
      </c>
      <c r="C1589" s="17" t="s">
        <v>2885</v>
      </c>
      <c r="D1589" s="17" t="s">
        <v>2883</v>
      </c>
      <c r="E1589" s="17">
        <v>2.45865E-4</v>
      </c>
      <c r="F1589" s="6" t="s">
        <v>233</v>
      </c>
      <c r="G1589" s="6" t="s">
        <v>234</v>
      </c>
      <c r="H1589" s="6">
        <v>3</v>
      </c>
    </row>
    <row r="1590" spans="1:8" ht="30" x14ac:dyDescent="0.25">
      <c r="A1590" s="17" t="s">
        <v>4014</v>
      </c>
      <c r="B1590" s="17" t="s">
        <v>4015</v>
      </c>
      <c r="C1590" s="17" t="s">
        <v>271</v>
      </c>
      <c r="D1590" s="17" t="s">
        <v>269</v>
      </c>
      <c r="E1590" s="17">
        <v>5.2359699999999999E-4</v>
      </c>
      <c r="F1590" s="6" t="s">
        <v>233</v>
      </c>
      <c r="G1590" s="6" t="s">
        <v>234</v>
      </c>
      <c r="H1590" s="6">
        <v>3</v>
      </c>
    </row>
    <row r="1591" spans="1:8" ht="30" x14ac:dyDescent="0.25">
      <c r="A1591" s="17" t="s">
        <v>4016</v>
      </c>
      <c r="B1591" s="17" t="s">
        <v>3934</v>
      </c>
      <c r="C1591" s="17" t="s">
        <v>271</v>
      </c>
      <c r="D1591" s="17" t="s">
        <v>269</v>
      </c>
      <c r="E1591" s="17">
        <v>5.2359699999999999E-4</v>
      </c>
      <c r="F1591" s="6" t="s">
        <v>233</v>
      </c>
      <c r="G1591" s="6" t="s">
        <v>234</v>
      </c>
      <c r="H1591" s="6">
        <v>3</v>
      </c>
    </row>
    <row r="1592" spans="1:8" ht="30" x14ac:dyDescent="0.25">
      <c r="A1592" s="17" t="s">
        <v>4017</v>
      </c>
      <c r="B1592" s="17" t="s">
        <v>4018</v>
      </c>
      <c r="C1592" s="17" t="s">
        <v>271</v>
      </c>
      <c r="D1592" s="17" t="s">
        <v>269</v>
      </c>
      <c r="E1592" s="17">
        <v>5.2359699999999999E-4</v>
      </c>
      <c r="F1592" s="6" t="s">
        <v>233</v>
      </c>
      <c r="G1592" s="6" t="s">
        <v>234</v>
      </c>
      <c r="H1592" s="6">
        <v>3</v>
      </c>
    </row>
    <row r="1593" spans="1:8" ht="30" x14ac:dyDescent="0.25">
      <c r="A1593" s="17" t="s">
        <v>4019</v>
      </c>
      <c r="B1593" s="17" t="s">
        <v>4020</v>
      </c>
      <c r="C1593" s="17" t="s">
        <v>271</v>
      </c>
      <c r="D1593" s="17" t="s">
        <v>269</v>
      </c>
      <c r="E1593" s="17">
        <v>5.2359699999999999E-4</v>
      </c>
      <c r="F1593" s="6" t="s">
        <v>233</v>
      </c>
      <c r="G1593" s="6" t="s">
        <v>234</v>
      </c>
      <c r="H1593" s="6">
        <v>3</v>
      </c>
    </row>
    <row r="1594" spans="1:8" ht="30" x14ac:dyDescent="0.25">
      <c r="A1594" s="17" t="s">
        <v>4021</v>
      </c>
      <c r="B1594" s="17" t="s">
        <v>4018</v>
      </c>
      <c r="C1594" s="17" t="s">
        <v>271</v>
      </c>
      <c r="D1594" s="17" t="s">
        <v>269</v>
      </c>
      <c r="E1594" s="17">
        <v>5.2359699999999999E-4</v>
      </c>
      <c r="F1594" s="6" t="s">
        <v>233</v>
      </c>
      <c r="G1594" s="6" t="s">
        <v>234</v>
      </c>
      <c r="H1594" s="6">
        <v>3</v>
      </c>
    </row>
    <row r="1595" spans="1:8" ht="30" x14ac:dyDescent="0.25">
      <c r="A1595" s="17" t="s">
        <v>4022</v>
      </c>
      <c r="B1595" s="17" t="s">
        <v>3934</v>
      </c>
      <c r="C1595" s="17" t="s">
        <v>271</v>
      </c>
      <c r="D1595" s="17" t="s">
        <v>269</v>
      </c>
      <c r="E1595" s="17">
        <v>5.2359699999999999E-4</v>
      </c>
      <c r="F1595" s="6" t="s">
        <v>233</v>
      </c>
      <c r="G1595" s="6" t="s">
        <v>234</v>
      </c>
      <c r="H1595" s="6">
        <v>3</v>
      </c>
    </row>
    <row r="1596" spans="1:8" ht="30" x14ac:dyDescent="0.25">
      <c r="A1596" s="17" t="s">
        <v>4023</v>
      </c>
      <c r="B1596" s="17" t="s">
        <v>4024</v>
      </c>
      <c r="C1596" s="17" t="s">
        <v>407</v>
      </c>
      <c r="D1596" s="17" t="s">
        <v>408</v>
      </c>
      <c r="E1596" s="17">
        <v>1.6713599999999999E-4</v>
      </c>
      <c r="F1596" s="6" t="s">
        <v>233</v>
      </c>
      <c r="G1596" s="6" t="s">
        <v>234</v>
      </c>
      <c r="H1596" s="6">
        <v>3</v>
      </c>
    </row>
    <row r="1597" spans="1:8" ht="30" x14ac:dyDescent="0.25">
      <c r="A1597" s="17" t="s">
        <v>4025</v>
      </c>
      <c r="B1597" s="17" t="s">
        <v>4026</v>
      </c>
      <c r="C1597" s="17" t="s">
        <v>244</v>
      </c>
      <c r="D1597" s="17" t="s">
        <v>242</v>
      </c>
      <c r="E1597" s="17">
        <v>5.4284299999999999E-4</v>
      </c>
      <c r="F1597" s="6" t="s">
        <v>233</v>
      </c>
      <c r="G1597" s="6" t="s">
        <v>234</v>
      </c>
      <c r="H1597" s="6">
        <v>3</v>
      </c>
    </row>
    <row r="1598" spans="1:8" ht="30" x14ac:dyDescent="0.25">
      <c r="A1598" s="17" t="s">
        <v>4027</v>
      </c>
      <c r="B1598" s="17" t="s">
        <v>4020</v>
      </c>
      <c r="C1598" s="17" t="s">
        <v>271</v>
      </c>
      <c r="D1598" s="17" t="s">
        <v>269</v>
      </c>
      <c r="E1598" s="17">
        <v>5.2359699999999999E-4</v>
      </c>
      <c r="F1598" s="6" t="s">
        <v>233</v>
      </c>
      <c r="G1598" s="6" t="s">
        <v>234</v>
      </c>
      <c r="H1598" s="6">
        <v>3</v>
      </c>
    </row>
    <row r="1599" spans="1:8" ht="30" x14ac:dyDescent="0.25">
      <c r="A1599" s="17" t="s">
        <v>4028</v>
      </c>
      <c r="B1599" s="17" t="s">
        <v>4029</v>
      </c>
      <c r="C1599" s="17" t="s">
        <v>271</v>
      </c>
      <c r="D1599" s="17" t="s">
        <v>269</v>
      </c>
      <c r="E1599" s="17">
        <v>5.2359699999999999E-4</v>
      </c>
      <c r="F1599" s="6" t="s">
        <v>233</v>
      </c>
      <c r="G1599" s="6" t="s">
        <v>234</v>
      </c>
      <c r="H1599" s="6">
        <v>3</v>
      </c>
    </row>
    <row r="1600" spans="1:8" ht="30" x14ac:dyDescent="0.25">
      <c r="A1600" s="17" t="s">
        <v>4030</v>
      </c>
      <c r="B1600" s="17" t="s">
        <v>4031</v>
      </c>
      <c r="C1600" s="17" t="s">
        <v>301</v>
      </c>
      <c r="D1600" s="17" t="s">
        <v>299</v>
      </c>
      <c r="E1600" s="17">
        <v>6.3590900000000004E-4</v>
      </c>
      <c r="F1600" s="6" t="s">
        <v>233</v>
      </c>
      <c r="G1600" s="6" t="s">
        <v>234</v>
      </c>
      <c r="H1600" s="6">
        <v>3</v>
      </c>
    </row>
    <row r="1601" spans="1:8" ht="30" x14ac:dyDescent="0.25">
      <c r="A1601" s="17" t="s">
        <v>4032</v>
      </c>
      <c r="B1601" s="17" t="s">
        <v>4031</v>
      </c>
      <c r="C1601" s="17" t="s">
        <v>301</v>
      </c>
      <c r="D1601" s="17" t="s">
        <v>299</v>
      </c>
      <c r="E1601" s="17">
        <v>6.3590900000000004E-4</v>
      </c>
      <c r="F1601" s="6" t="s">
        <v>233</v>
      </c>
      <c r="G1601" s="6" t="s">
        <v>234</v>
      </c>
      <c r="H1601" s="6">
        <v>3</v>
      </c>
    </row>
    <row r="1602" spans="1:8" ht="30" x14ac:dyDescent="0.25">
      <c r="A1602" s="17" t="s">
        <v>3847</v>
      </c>
      <c r="B1602" s="17" t="s">
        <v>4033</v>
      </c>
      <c r="C1602" s="17" t="s">
        <v>256</v>
      </c>
      <c r="D1602" s="17" t="s">
        <v>254</v>
      </c>
      <c r="E1602" s="17">
        <v>8.1312799999999998E-4</v>
      </c>
      <c r="F1602" s="6" t="s">
        <v>233</v>
      </c>
      <c r="G1602" s="6" t="s">
        <v>234</v>
      </c>
      <c r="H1602" s="6">
        <v>3</v>
      </c>
    </row>
    <row r="1603" spans="1:8" ht="30" x14ac:dyDescent="0.25">
      <c r="A1603" s="17" t="s">
        <v>4034</v>
      </c>
      <c r="B1603" s="17" t="s">
        <v>4035</v>
      </c>
      <c r="C1603" s="17" t="s">
        <v>256</v>
      </c>
      <c r="D1603" s="17" t="s">
        <v>254</v>
      </c>
      <c r="E1603" s="17">
        <v>8.1312799999999998E-4</v>
      </c>
      <c r="F1603" s="6" t="s">
        <v>233</v>
      </c>
      <c r="G1603" s="6" t="s">
        <v>234</v>
      </c>
      <c r="H1603" s="6">
        <v>3</v>
      </c>
    </row>
    <row r="1604" spans="1:8" ht="30" x14ac:dyDescent="0.25">
      <c r="A1604" s="17" t="s">
        <v>4036</v>
      </c>
      <c r="B1604" s="17" t="s">
        <v>4037</v>
      </c>
      <c r="C1604" s="17" t="s">
        <v>265</v>
      </c>
      <c r="D1604" s="17" t="s">
        <v>263</v>
      </c>
      <c r="E1604" s="17">
        <v>3.0449399999999999E-4</v>
      </c>
      <c r="F1604" s="6" t="s">
        <v>233</v>
      </c>
      <c r="G1604" s="6" t="s">
        <v>234</v>
      </c>
      <c r="H1604" s="6">
        <v>3</v>
      </c>
    </row>
    <row r="1605" spans="1:8" ht="30" x14ac:dyDescent="0.25">
      <c r="A1605" s="17" t="s">
        <v>4038</v>
      </c>
      <c r="B1605" s="17" t="s">
        <v>4039</v>
      </c>
      <c r="C1605" s="17" t="s">
        <v>271</v>
      </c>
      <c r="D1605" s="17" t="s">
        <v>269</v>
      </c>
      <c r="E1605" s="17">
        <v>5.2359699999999999E-4</v>
      </c>
      <c r="F1605" s="6" t="s">
        <v>233</v>
      </c>
      <c r="G1605" s="6" t="s">
        <v>234</v>
      </c>
      <c r="H1605" s="6">
        <v>3</v>
      </c>
    </row>
    <row r="1606" spans="1:8" ht="30" x14ac:dyDescent="0.25">
      <c r="A1606" s="17" t="s">
        <v>3848</v>
      </c>
      <c r="B1606" s="17" t="s">
        <v>4040</v>
      </c>
      <c r="C1606" s="17" t="s">
        <v>280</v>
      </c>
      <c r="D1606" s="17" t="s">
        <v>278</v>
      </c>
      <c r="E1606" s="17">
        <v>6.2829699999999999E-4</v>
      </c>
      <c r="F1606" s="6" t="s">
        <v>233</v>
      </c>
      <c r="G1606" s="6" t="s">
        <v>234</v>
      </c>
      <c r="H1606" s="6">
        <v>3</v>
      </c>
    </row>
    <row r="1607" spans="1:8" ht="30" x14ac:dyDescent="0.25">
      <c r="A1607" s="17" t="s">
        <v>4041</v>
      </c>
      <c r="B1607" s="17" t="s">
        <v>4042</v>
      </c>
      <c r="C1607" s="17" t="s">
        <v>280</v>
      </c>
      <c r="D1607" s="17" t="s">
        <v>278</v>
      </c>
      <c r="E1607" s="17">
        <v>6.2829699999999999E-4</v>
      </c>
      <c r="F1607" s="6" t="s">
        <v>233</v>
      </c>
      <c r="G1607" s="6" t="s">
        <v>234</v>
      </c>
      <c r="H1607" s="6">
        <v>3</v>
      </c>
    </row>
    <row r="1608" spans="1:8" ht="30" x14ac:dyDescent="0.25">
      <c r="A1608" s="17" t="s">
        <v>4043</v>
      </c>
      <c r="B1608" s="17" t="s">
        <v>4044</v>
      </c>
      <c r="C1608" s="17" t="s">
        <v>301</v>
      </c>
      <c r="D1608" s="17" t="s">
        <v>299</v>
      </c>
      <c r="E1608" s="17">
        <v>6.3590900000000004E-4</v>
      </c>
      <c r="F1608" s="6" t="s">
        <v>233</v>
      </c>
      <c r="G1608" s="6" t="s">
        <v>234</v>
      </c>
      <c r="H1608" s="6">
        <v>3</v>
      </c>
    </row>
    <row r="1609" spans="1:8" ht="30" x14ac:dyDescent="0.25">
      <c r="A1609" s="17" t="s">
        <v>4045</v>
      </c>
      <c r="B1609" s="17" t="s">
        <v>4046</v>
      </c>
      <c r="C1609" s="17" t="s">
        <v>283</v>
      </c>
      <c r="D1609" s="17" t="s">
        <v>281</v>
      </c>
      <c r="E1609" s="17">
        <v>5.4019300000000001E-4</v>
      </c>
      <c r="F1609" s="6" t="s">
        <v>233</v>
      </c>
      <c r="G1609" s="6" t="s">
        <v>234</v>
      </c>
      <c r="H1609" s="6">
        <v>3</v>
      </c>
    </row>
    <row r="1610" spans="1:8" ht="30" x14ac:dyDescent="0.25">
      <c r="A1610" s="17" t="s">
        <v>4047</v>
      </c>
      <c r="B1610" s="17" t="s">
        <v>4048</v>
      </c>
      <c r="C1610" s="17" t="s">
        <v>301</v>
      </c>
      <c r="D1610" s="17" t="s">
        <v>299</v>
      </c>
      <c r="E1610" s="17">
        <v>6.3590900000000004E-4</v>
      </c>
      <c r="F1610" s="6" t="s">
        <v>233</v>
      </c>
      <c r="G1610" s="6" t="s">
        <v>234</v>
      </c>
      <c r="H1610" s="6">
        <v>3</v>
      </c>
    </row>
    <row r="1611" spans="1:8" ht="30" x14ac:dyDescent="0.25">
      <c r="A1611" s="17" t="s">
        <v>3849</v>
      </c>
      <c r="B1611" s="17" t="s">
        <v>4049</v>
      </c>
      <c r="C1611" s="17" t="s">
        <v>280</v>
      </c>
      <c r="D1611" s="17" t="s">
        <v>278</v>
      </c>
      <c r="E1611" s="17">
        <v>6.2829699999999999E-4</v>
      </c>
      <c r="F1611" s="6" t="s">
        <v>233</v>
      </c>
      <c r="G1611" s="6" t="s">
        <v>234</v>
      </c>
      <c r="H1611" s="6">
        <v>3</v>
      </c>
    </row>
    <row r="1612" spans="1:8" ht="30" x14ac:dyDescent="0.25">
      <c r="A1612" s="17" t="s">
        <v>4050</v>
      </c>
      <c r="B1612" s="17" t="s">
        <v>4051</v>
      </c>
      <c r="C1612" s="17" t="s">
        <v>256</v>
      </c>
      <c r="D1612" s="17" t="s">
        <v>254</v>
      </c>
      <c r="E1612" s="17">
        <v>8.1312799999999998E-4</v>
      </c>
      <c r="F1612" s="6" t="s">
        <v>233</v>
      </c>
      <c r="G1612" s="6" t="s">
        <v>234</v>
      </c>
      <c r="H1612" s="6">
        <v>3</v>
      </c>
    </row>
    <row r="1613" spans="1:8" ht="30" x14ac:dyDescent="0.25">
      <c r="A1613" s="17" t="s">
        <v>4052</v>
      </c>
      <c r="B1613" s="17" t="s">
        <v>4046</v>
      </c>
      <c r="C1613" s="17" t="s">
        <v>283</v>
      </c>
      <c r="D1613" s="17" t="s">
        <v>281</v>
      </c>
      <c r="E1613" s="17">
        <v>5.4019300000000001E-4</v>
      </c>
      <c r="F1613" s="6" t="s">
        <v>233</v>
      </c>
      <c r="G1613" s="6" t="s">
        <v>234</v>
      </c>
      <c r="H1613" s="6">
        <v>3</v>
      </c>
    </row>
    <row r="1614" spans="1:8" ht="30" x14ac:dyDescent="0.25">
      <c r="A1614" s="17" t="s">
        <v>3850</v>
      </c>
      <c r="B1614" s="17" t="s">
        <v>3850</v>
      </c>
      <c r="C1614" s="17" t="s">
        <v>283</v>
      </c>
      <c r="D1614" s="17" t="s">
        <v>281</v>
      </c>
      <c r="E1614" s="17">
        <v>5.4019300000000001E-4</v>
      </c>
      <c r="F1614" s="6" t="s">
        <v>233</v>
      </c>
      <c r="G1614" s="6" t="s">
        <v>234</v>
      </c>
      <c r="H1614" s="6">
        <v>3</v>
      </c>
    </row>
    <row r="1615" spans="1:8" ht="30" x14ac:dyDescent="0.25">
      <c r="A1615" s="17" t="s">
        <v>4053</v>
      </c>
      <c r="B1615" s="17" t="s">
        <v>4054</v>
      </c>
      <c r="C1615" s="17" t="s">
        <v>301</v>
      </c>
      <c r="D1615" s="17" t="s">
        <v>299</v>
      </c>
      <c r="E1615" s="17">
        <v>6.3590900000000004E-4</v>
      </c>
      <c r="F1615" s="6" t="s">
        <v>233</v>
      </c>
      <c r="G1615" s="6" t="s">
        <v>234</v>
      </c>
      <c r="H1615" s="6">
        <v>3</v>
      </c>
    </row>
    <row r="1616" spans="1:8" ht="30" x14ac:dyDescent="0.25">
      <c r="A1616" s="17" t="s">
        <v>4055</v>
      </c>
      <c r="B1616" s="17" t="s">
        <v>4056</v>
      </c>
      <c r="C1616" s="17" t="s">
        <v>244</v>
      </c>
      <c r="D1616" s="17" t="s">
        <v>242</v>
      </c>
      <c r="E1616" s="17">
        <v>5.4284299999999999E-4</v>
      </c>
      <c r="F1616" s="6" t="s">
        <v>233</v>
      </c>
      <c r="G1616" s="6" t="s">
        <v>234</v>
      </c>
      <c r="H1616" s="6">
        <v>3</v>
      </c>
    </row>
    <row r="1617" spans="1:8" ht="30" x14ac:dyDescent="0.25">
      <c r="A1617" s="17" t="s">
        <v>3851</v>
      </c>
      <c r="B1617" s="17" t="s">
        <v>4057</v>
      </c>
      <c r="C1617" s="17" t="s">
        <v>244</v>
      </c>
      <c r="D1617" s="17" t="s">
        <v>242</v>
      </c>
      <c r="E1617" s="17">
        <v>5.4284299999999999E-4</v>
      </c>
      <c r="F1617" s="6" t="s">
        <v>233</v>
      </c>
      <c r="G1617" s="6" t="s">
        <v>234</v>
      </c>
      <c r="H1617" s="6">
        <v>3</v>
      </c>
    </row>
    <row r="1618" spans="1:8" ht="30" x14ac:dyDescent="0.25">
      <c r="A1618" s="17" t="s">
        <v>4058</v>
      </c>
      <c r="B1618" s="17" t="s">
        <v>4039</v>
      </c>
      <c r="C1618" s="17" t="s">
        <v>271</v>
      </c>
      <c r="D1618" s="17" t="s">
        <v>269</v>
      </c>
      <c r="E1618" s="17">
        <v>5.2359699999999999E-4</v>
      </c>
      <c r="F1618" s="6" t="s">
        <v>233</v>
      </c>
      <c r="G1618" s="6" t="s">
        <v>234</v>
      </c>
      <c r="H1618" s="6">
        <v>3</v>
      </c>
    </row>
    <row r="1619" spans="1:8" ht="30" x14ac:dyDescent="0.25">
      <c r="A1619" s="17" t="s">
        <v>4059</v>
      </c>
      <c r="B1619" s="17" t="s">
        <v>4060</v>
      </c>
      <c r="C1619" s="17" t="s">
        <v>271</v>
      </c>
      <c r="D1619" s="17" t="s">
        <v>269</v>
      </c>
      <c r="E1619" s="17">
        <v>5.2359699999999999E-4</v>
      </c>
      <c r="F1619" s="6" t="s">
        <v>233</v>
      </c>
      <c r="G1619" s="6" t="s">
        <v>234</v>
      </c>
      <c r="H1619" s="6">
        <v>3</v>
      </c>
    </row>
    <row r="1620" spans="1:8" ht="30" x14ac:dyDescent="0.25">
      <c r="A1620" s="17" t="s">
        <v>4061</v>
      </c>
      <c r="B1620" s="17" t="s">
        <v>4062</v>
      </c>
      <c r="C1620" s="17" t="s">
        <v>271</v>
      </c>
      <c r="D1620" s="17" t="s">
        <v>269</v>
      </c>
      <c r="E1620" s="17">
        <v>5.2359699999999999E-4</v>
      </c>
      <c r="F1620" s="6" t="s">
        <v>233</v>
      </c>
      <c r="G1620" s="6" t="s">
        <v>234</v>
      </c>
      <c r="H1620" s="6">
        <v>3</v>
      </c>
    </row>
    <row r="1621" spans="1:8" ht="30" x14ac:dyDescent="0.25">
      <c r="A1621" s="17" t="s">
        <v>4063</v>
      </c>
      <c r="B1621" s="17" t="s">
        <v>4012</v>
      </c>
      <c r="C1621" s="17" t="s">
        <v>271</v>
      </c>
      <c r="D1621" s="17" t="s">
        <v>269</v>
      </c>
      <c r="E1621" s="17">
        <v>5.2359699999999999E-4</v>
      </c>
      <c r="F1621" s="6" t="s">
        <v>233</v>
      </c>
      <c r="G1621" s="6" t="s">
        <v>234</v>
      </c>
      <c r="H1621" s="6">
        <v>3</v>
      </c>
    </row>
    <row r="1622" spans="1:8" ht="30" x14ac:dyDescent="0.25">
      <c r="A1622" s="17" t="s">
        <v>4064</v>
      </c>
      <c r="B1622" s="17" t="s">
        <v>4012</v>
      </c>
      <c r="C1622" s="17" t="s">
        <v>271</v>
      </c>
      <c r="D1622" s="17" t="s">
        <v>269</v>
      </c>
      <c r="E1622" s="17">
        <v>5.2359699999999999E-4</v>
      </c>
      <c r="F1622" s="6" t="s">
        <v>233</v>
      </c>
      <c r="G1622" s="6" t="s">
        <v>234</v>
      </c>
      <c r="H1622" s="6">
        <v>3</v>
      </c>
    </row>
    <row r="1623" spans="1:8" ht="30" x14ac:dyDescent="0.25">
      <c r="A1623" s="17" t="s">
        <v>4065</v>
      </c>
      <c r="B1623" s="17" t="s">
        <v>4066</v>
      </c>
      <c r="C1623" s="17" t="s">
        <v>268</v>
      </c>
      <c r="D1623" s="17" t="s">
        <v>3974</v>
      </c>
      <c r="E1623" s="17">
        <v>5.4511299999999996E-4</v>
      </c>
      <c r="F1623" s="6" t="s">
        <v>233</v>
      </c>
      <c r="G1623" s="6" t="s">
        <v>234</v>
      </c>
      <c r="H1623" s="6">
        <v>3</v>
      </c>
    </row>
    <row r="1624" spans="1:8" ht="30" x14ac:dyDescent="0.25">
      <c r="A1624" s="17" t="s">
        <v>4067</v>
      </c>
      <c r="B1624" s="17" t="s">
        <v>4068</v>
      </c>
      <c r="C1624" s="17" t="s">
        <v>268</v>
      </c>
      <c r="D1624" s="17" t="s">
        <v>3974</v>
      </c>
      <c r="E1624" s="17">
        <v>5.4511299999999996E-4</v>
      </c>
      <c r="F1624" s="6" t="s">
        <v>233</v>
      </c>
      <c r="G1624" s="6" t="s">
        <v>234</v>
      </c>
      <c r="H1624" s="6">
        <v>3</v>
      </c>
    </row>
    <row r="1625" spans="1:8" ht="30" x14ac:dyDescent="0.25">
      <c r="A1625" s="17" t="s">
        <v>4069</v>
      </c>
      <c r="B1625" s="17" t="s">
        <v>4070</v>
      </c>
      <c r="C1625" s="17" t="s">
        <v>271</v>
      </c>
      <c r="D1625" s="17" t="s">
        <v>269</v>
      </c>
      <c r="E1625" s="17">
        <v>5.2359699999999999E-4</v>
      </c>
      <c r="F1625" s="6" t="s">
        <v>233</v>
      </c>
      <c r="G1625" s="6" t="s">
        <v>234</v>
      </c>
      <c r="H1625" s="6">
        <v>3</v>
      </c>
    </row>
    <row r="1626" spans="1:8" ht="30" x14ac:dyDescent="0.25">
      <c r="A1626" s="17" t="s">
        <v>4071</v>
      </c>
      <c r="B1626" s="17" t="s">
        <v>4072</v>
      </c>
      <c r="C1626" s="17" t="s">
        <v>301</v>
      </c>
      <c r="D1626" s="17" t="s">
        <v>299</v>
      </c>
      <c r="E1626" s="17">
        <v>6.3590900000000004E-4</v>
      </c>
      <c r="F1626" s="6" t="s">
        <v>233</v>
      </c>
      <c r="G1626" s="6" t="s">
        <v>234</v>
      </c>
      <c r="H1626" s="6">
        <v>3</v>
      </c>
    </row>
    <row r="1627" spans="1:8" ht="30" x14ac:dyDescent="0.25">
      <c r="A1627" s="17" t="s">
        <v>4073</v>
      </c>
      <c r="B1627" s="17" t="s">
        <v>4066</v>
      </c>
      <c r="C1627" s="17" t="s">
        <v>268</v>
      </c>
      <c r="D1627" s="17" t="s">
        <v>3974</v>
      </c>
      <c r="E1627" s="17">
        <v>5.4511299999999996E-4</v>
      </c>
      <c r="F1627" s="6" t="s">
        <v>233</v>
      </c>
      <c r="G1627" s="6" t="s">
        <v>234</v>
      </c>
      <c r="H1627" s="6">
        <v>3</v>
      </c>
    </row>
    <row r="1628" spans="1:8" ht="30" x14ac:dyDescent="0.25">
      <c r="A1628" s="17" t="s">
        <v>4074</v>
      </c>
      <c r="B1628" s="17" t="s">
        <v>4066</v>
      </c>
      <c r="C1628" s="17" t="s">
        <v>268</v>
      </c>
      <c r="D1628" s="17" t="s">
        <v>3974</v>
      </c>
      <c r="E1628" s="17">
        <v>5.4511299999999996E-4</v>
      </c>
      <c r="F1628" s="6" t="s">
        <v>233</v>
      </c>
      <c r="G1628" s="6" t="s">
        <v>234</v>
      </c>
      <c r="H1628" s="6">
        <v>3</v>
      </c>
    </row>
    <row r="1629" spans="1:8" ht="30" x14ac:dyDescent="0.25">
      <c r="A1629" s="17" t="s">
        <v>3853</v>
      </c>
      <c r="B1629" s="17" t="s">
        <v>4035</v>
      </c>
      <c r="C1629" s="17" t="s">
        <v>256</v>
      </c>
      <c r="D1629" s="17" t="s">
        <v>254</v>
      </c>
      <c r="E1629" s="17">
        <v>8.1312799999999998E-4</v>
      </c>
      <c r="F1629" s="6" t="s">
        <v>233</v>
      </c>
      <c r="G1629" s="6" t="s">
        <v>234</v>
      </c>
      <c r="H1629" s="6">
        <v>3</v>
      </c>
    </row>
    <row r="1630" spans="1:8" ht="30" x14ac:dyDescent="0.25">
      <c r="A1630" s="17" t="s">
        <v>4075</v>
      </c>
      <c r="B1630" s="17" t="s">
        <v>4076</v>
      </c>
      <c r="C1630" s="17" t="s">
        <v>301</v>
      </c>
      <c r="D1630" s="17" t="s">
        <v>299</v>
      </c>
      <c r="E1630" s="17">
        <v>6.3590900000000004E-4</v>
      </c>
      <c r="F1630" s="6" t="s">
        <v>233</v>
      </c>
      <c r="G1630" s="6" t="s">
        <v>234</v>
      </c>
      <c r="H1630" s="6">
        <v>3</v>
      </c>
    </row>
    <row r="1631" spans="1:8" ht="30" x14ac:dyDescent="0.25">
      <c r="A1631" s="17" t="s">
        <v>4077</v>
      </c>
      <c r="B1631" s="17" t="s">
        <v>4078</v>
      </c>
      <c r="C1631" s="17" t="s">
        <v>280</v>
      </c>
      <c r="D1631" s="17" t="s">
        <v>278</v>
      </c>
      <c r="E1631" s="17">
        <v>6.2829699999999999E-4</v>
      </c>
      <c r="F1631" s="6" t="s">
        <v>233</v>
      </c>
      <c r="G1631" s="6" t="s">
        <v>234</v>
      </c>
      <c r="H1631" s="6">
        <v>3</v>
      </c>
    </row>
    <row r="1632" spans="1:8" ht="30" x14ac:dyDescent="0.25">
      <c r="A1632" s="17" t="s">
        <v>4079</v>
      </c>
      <c r="B1632" s="17" t="s">
        <v>4078</v>
      </c>
      <c r="C1632" s="17" t="s">
        <v>280</v>
      </c>
      <c r="D1632" s="17" t="s">
        <v>278</v>
      </c>
      <c r="E1632" s="17">
        <v>6.2829699999999999E-4</v>
      </c>
      <c r="F1632" s="6" t="s">
        <v>233</v>
      </c>
      <c r="G1632" s="6" t="s">
        <v>234</v>
      </c>
      <c r="H1632" s="6">
        <v>3</v>
      </c>
    </row>
    <row r="1633" spans="1:8" ht="30" x14ac:dyDescent="0.25">
      <c r="A1633" s="17" t="s">
        <v>4080</v>
      </c>
      <c r="B1633" s="17" t="s">
        <v>4081</v>
      </c>
      <c r="C1633" s="17" t="s">
        <v>256</v>
      </c>
      <c r="D1633" s="17" t="s">
        <v>254</v>
      </c>
      <c r="E1633" s="17">
        <v>8.1312799999999998E-4</v>
      </c>
      <c r="F1633" s="6" t="s">
        <v>233</v>
      </c>
      <c r="G1633" s="6" t="s">
        <v>234</v>
      </c>
      <c r="H1633" s="6">
        <v>3</v>
      </c>
    </row>
    <row r="1634" spans="1:8" ht="30" x14ac:dyDescent="0.25">
      <c r="A1634" s="17" t="s">
        <v>4082</v>
      </c>
      <c r="B1634" s="17" t="s">
        <v>4083</v>
      </c>
      <c r="C1634" s="17" t="s">
        <v>301</v>
      </c>
      <c r="D1634" s="17" t="s">
        <v>299</v>
      </c>
      <c r="E1634" s="17">
        <v>6.3590900000000004E-4</v>
      </c>
      <c r="F1634" s="6" t="s">
        <v>233</v>
      </c>
      <c r="G1634" s="6" t="s">
        <v>234</v>
      </c>
      <c r="H1634" s="6">
        <v>3</v>
      </c>
    </row>
    <row r="1635" spans="1:8" ht="30" x14ac:dyDescent="0.25">
      <c r="A1635" s="17" t="s">
        <v>4084</v>
      </c>
      <c r="B1635" s="17" t="s">
        <v>3941</v>
      </c>
      <c r="C1635" s="17" t="s">
        <v>271</v>
      </c>
      <c r="D1635" s="17" t="s">
        <v>269</v>
      </c>
      <c r="E1635" s="17">
        <v>5.2359699999999999E-4</v>
      </c>
      <c r="F1635" s="6" t="s">
        <v>233</v>
      </c>
      <c r="G1635" s="6" t="s">
        <v>234</v>
      </c>
      <c r="H1635" s="6">
        <v>3</v>
      </c>
    </row>
    <row r="1636" spans="1:8" ht="30" x14ac:dyDescent="0.25">
      <c r="A1636" s="17" t="s">
        <v>4085</v>
      </c>
      <c r="B1636" s="17" t="s">
        <v>4086</v>
      </c>
      <c r="C1636" s="17" t="s">
        <v>271</v>
      </c>
      <c r="D1636" s="17" t="s">
        <v>269</v>
      </c>
      <c r="E1636" s="17">
        <v>5.2359699999999999E-4</v>
      </c>
      <c r="F1636" s="6" t="s">
        <v>233</v>
      </c>
      <c r="G1636" s="6" t="s">
        <v>234</v>
      </c>
      <c r="H1636" s="6">
        <v>3</v>
      </c>
    </row>
    <row r="1637" spans="1:8" ht="30" x14ac:dyDescent="0.25">
      <c r="A1637" s="17" t="s">
        <v>4087</v>
      </c>
      <c r="B1637" s="17" t="s">
        <v>4088</v>
      </c>
      <c r="C1637" s="17" t="s">
        <v>280</v>
      </c>
      <c r="D1637" s="17" t="s">
        <v>278</v>
      </c>
      <c r="E1637" s="17">
        <v>6.2829699999999999E-4</v>
      </c>
      <c r="F1637" s="6" t="s">
        <v>233</v>
      </c>
      <c r="G1637" s="6" t="s">
        <v>234</v>
      </c>
      <c r="H1637" s="6">
        <v>3</v>
      </c>
    </row>
    <row r="1638" spans="1:8" ht="30" x14ac:dyDescent="0.25">
      <c r="A1638" s="17" t="s">
        <v>3852</v>
      </c>
      <c r="B1638" s="17" t="s">
        <v>4089</v>
      </c>
      <c r="C1638" s="17" t="s">
        <v>2885</v>
      </c>
      <c r="D1638" s="17" t="s">
        <v>2883</v>
      </c>
      <c r="E1638" s="17">
        <v>2.45865E-4</v>
      </c>
      <c r="F1638" s="6" t="s">
        <v>233</v>
      </c>
      <c r="G1638" s="6" t="s">
        <v>234</v>
      </c>
      <c r="H1638" s="6">
        <v>3</v>
      </c>
    </row>
    <row r="1639" spans="1:8" ht="30" x14ac:dyDescent="0.25">
      <c r="A1639" s="17" t="s">
        <v>4090</v>
      </c>
      <c r="B1639" s="17" t="s">
        <v>4091</v>
      </c>
      <c r="C1639" s="17" t="s">
        <v>407</v>
      </c>
      <c r="D1639" s="17" t="s">
        <v>408</v>
      </c>
      <c r="E1639" s="17">
        <v>1.6713599999999999E-4</v>
      </c>
      <c r="F1639" s="6" t="s">
        <v>233</v>
      </c>
      <c r="G1639" s="6" t="s">
        <v>234</v>
      </c>
      <c r="H1639" s="6">
        <v>3</v>
      </c>
    </row>
    <row r="1640" spans="1:8" ht="30" x14ac:dyDescent="0.25">
      <c r="A1640" s="17" t="s">
        <v>4087</v>
      </c>
      <c r="B1640" s="17" t="s">
        <v>4088</v>
      </c>
      <c r="C1640" s="17" t="s">
        <v>280</v>
      </c>
      <c r="D1640" s="17" t="s">
        <v>278</v>
      </c>
      <c r="E1640" s="17">
        <v>6.2829699999999999E-4</v>
      </c>
      <c r="F1640" s="6" t="s">
        <v>233</v>
      </c>
      <c r="G1640" s="6" t="s">
        <v>234</v>
      </c>
      <c r="H1640" s="6">
        <v>3</v>
      </c>
    </row>
    <row r="1641" spans="1:8" ht="30" x14ac:dyDescent="0.25">
      <c r="A1641" s="17" t="s">
        <v>4092</v>
      </c>
      <c r="B1641" s="17" t="s">
        <v>3913</v>
      </c>
      <c r="C1641" s="17" t="s">
        <v>244</v>
      </c>
      <c r="D1641" s="17" t="s">
        <v>242</v>
      </c>
      <c r="E1641" s="17">
        <v>5.4284299999999999E-4</v>
      </c>
      <c r="F1641" s="6" t="s">
        <v>233</v>
      </c>
      <c r="G1641" s="6" t="s">
        <v>234</v>
      </c>
      <c r="H1641" s="6">
        <v>3</v>
      </c>
    </row>
    <row r="1642" spans="1:8" ht="30" x14ac:dyDescent="0.25">
      <c r="A1642" s="17" t="s">
        <v>4093</v>
      </c>
      <c r="B1642" s="17" t="s">
        <v>4094</v>
      </c>
      <c r="C1642" s="17" t="s">
        <v>280</v>
      </c>
      <c r="D1642" s="17" t="s">
        <v>278</v>
      </c>
      <c r="E1642" s="17">
        <v>6.2829699999999999E-4</v>
      </c>
      <c r="F1642" s="6" t="s">
        <v>233</v>
      </c>
      <c r="G1642" s="6" t="s">
        <v>234</v>
      </c>
      <c r="H1642" s="6">
        <v>3</v>
      </c>
    </row>
    <row r="1643" spans="1:8" ht="30" x14ac:dyDescent="0.25">
      <c r="A1643" s="17" t="s">
        <v>4095</v>
      </c>
      <c r="B1643" s="17" t="s">
        <v>4096</v>
      </c>
      <c r="C1643" s="17" t="s">
        <v>265</v>
      </c>
      <c r="D1643" s="17" t="s">
        <v>263</v>
      </c>
      <c r="E1643" s="17">
        <v>3.0449399999999999E-4</v>
      </c>
      <c r="F1643" s="6" t="s">
        <v>233</v>
      </c>
      <c r="G1643" s="6" t="s">
        <v>234</v>
      </c>
      <c r="H1643" s="6">
        <v>3</v>
      </c>
    </row>
    <row r="1644" spans="1:8" ht="30" x14ac:dyDescent="0.25">
      <c r="A1644" s="17" t="s">
        <v>4075</v>
      </c>
      <c r="B1644" s="17" t="s">
        <v>4076</v>
      </c>
      <c r="C1644" s="17" t="s">
        <v>301</v>
      </c>
      <c r="D1644" s="17" t="s">
        <v>299</v>
      </c>
      <c r="E1644" s="17">
        <v>6.3590900000000004E-4</v>
      </c>
      <c r="F1644" s="6" t="s">
        <v>233</v>
      </c>
      <c r="G1644" s="6" t="s">
        <v>234</v>
      </c>
      <c r="H1644" s="6">
        <v>3</v>
      </c>
    </row>
    <row r="1645" spans="1:8" ht="30" x14ac:dyDescent="0.25">
      <c r="A1645" s="17" t="s">
        <v>4097</v>
      </c>
      <c r="B1645" s="17" t="s">
        <v>4098</v>
      </c>
      <c r="C1645" s="17" t="s">
        <v>271</v>
      </c>
      <c r="D1645" s="17" t="s">
        <v>269</v>
      </c>
      <c r="E1645" s="17">
        <v>5.2359699999999999E-4</v>
      </c>
      <c r="F1645" s="6" t="s">
        <v>233</v>
      </c>
      <c r="G1645" s="6" t="s">
        <v>234</v>
      </c>
      <c r="H1645" s="6">
        <v>3</v>
      </c>
    </row>
    <row r="1646" spans="1:8" ht="30" x14ac:dyDescent="0.25">
      <c r="A1646" s="17" t="s">
        <v>4099</v>
      </c>
      <c r="B1646" s="17" t="s">
        <v>4100</v>
      </c>
      <c r="C1646" s="17" t="s">
        <v>271</v>
      </c>
      <c r="D1646" s="17" t="s">
        <v>269</v>
      </c>
      <c r="E1646" s="17">
        <v>5.2359699999999999E-4</v>
      </c>
      <c r="F1646" s="6" t="s">
        <v>233</v>
      </c>
      <c r="G1646" s="6" t="s">
        <v>234</v>
      </c>
      <c r="H1646" s="6">
        <v>3</v>
      </c>
    </row>
    <row r="1647" spans="1:8" ht="30" x14ac:dyDescent="0.25">
      <c r="A1647" s="17" t="s">
        <v>4101</v>
      </c>
      <c r="B1647" s="17" t="s">
        <v>4102</v>
      </c>
      <c r="C1647" s="17" t="s">
        <v>271</v>
      </c>
      <c r="D1647" s="17" t="s">
        <v>269</v>
      </c>
      <c r="E1647" s="17">
        <v>5.2359699999999999E-4</v>
      </c>
      <c r="F1647" s="6" t="s">
        <v>233</v>
      </c>
      <c r="G1647" s="6" t="s">
        <v>234</v>
      </c>
      <c r="H1647" s="6">
        <v>3</v>
      </c>
    </row>
    <row r="1648" spans="1:8" ht="30" x14ac:dyDescent="0.25">
      <c r="A1648" s="17" t="s">
        <v>579</v>
      </c>
      <c r="B1648" s="17" t="s">
        <v>4103</v>
      </c>
      <c r="C1648" s="17" t="s">
        <v>271</v>
      </c>
      <c r="D1648" s="17" t="s">
        <v>269</v>
      </c>
      <c r="E1648" s="17">
        <v>5.2359699999999999E-4</v>
      </c>
      <c r="F1648" s="6" t="s">
        <v>233</v>
      </c>
      <c r="G1648" s="6" t="s">
        <v>234</v>
      </c>
      <c r="H1648" s="6">
        <v>3</v>
      </c>
    </row>
    <row r="1649" spans="1:8" ht="30" x14ac:dyDescent="0.25">
      <c r="A1649" s="17" t="s">
        <v>4104</v>
      </c>
      <c r="B1649" s="17" t="s">
        <v>4105</v>
      </c>
      <c r="C1649" s="17" t="s">
        <v>271</v>
      </c>
      <c r="D1649" s="17" t="s">
        <v>269</v>
      </c>
      <c r="E1649" s="17">
        <v>5.2359699999999999E-4</v>
      </c>
      <c r="F1649" s="6" t="s">
        <v>233</v>
      </c>
      <c r="G1649" s="6" t="s">
        <v>234</v>
      </c>
      <c r="H1649" s="6">
        <v>3</v>
      </c>
    </row>
    <row r="1650" spans="1:8" ht="30" x14ac:dyDescent="0.25">
      <c r="A1650" s="17" t="s">
        <v>4106</v>
      </c>
      <c r="B1650" s="17" t="s">
        <v>4105</v>
      </c>
      <c r="C1650" s="17" t="s">
        <v>271</v>
      </c>
      <c r="D1650" s="17" t="s">
        <v>269</v>
      </c>
      <c r="E1650" s="17">
        <v>5.2359699999999999E-4</v>
      </c>
      <c r="F1650" s="6" t="s">
        <v>233</v>
      </c>
      <c r="G1650" s="6" t="s">
        <v>234</v>
      </c>
      <c r="H1650" s="6">
        <v>3</v>
      </c>
    </row>
    <row r="1651" spans="1:8" ht="30" x14ac:dyDescent="0.25">
      <c r="A1651" s="17" t="s">
        <v>4107</v>
      </c>
      <c r="B1651" s="17" t="s">
        <v>4105</v>
      </c>
      <c r="C1651" s="17" t="s">
        <v>271</v>
      </c>
      <c r="D1651" s="17" t="s">
        <v>269</v>
      </c>
      <c r="E1651" s="17">
        <v>5.2359699999999999E-4</v>
      </c>
      <c r="F1651" s="6" t="s">
        <v>233</v>
      </c>
      <c r="G1651" s="6" t="s">
        <v>234</v>
      </c>
      <c r="H1651" s="6">
        <v>3</v>
      </c>
    </row>
    <row r="1652" spans="1:8" ht="30" x14ac:dyDescent="0.25">
      <c r="A1652" s="17" t="s">
        <v>1152</v>
      </c>
      <c r="B1652" s="17" t="s">
        <v>4108</v>
      </c>
      <c r="C1652" s="17" t="s">
        <v>271</v>
      </c>
      <c r="D1652" s="17" t="s">
        <v>269</v>
      </c>
      <c r="E1652" s="17">
        <v>5.2359699999999999E-4</v>
      </c>
      <c r="F1652" s="6" t="s">
        <v>233</v>
      </c>
      <c r="G1652" s="6" t="s">
        <v>234</v>
      </c>
      <c r="H1652" s="6">
        <v>3</v>
      </c>
    </row>
    <row r="1653" spans="1:8" ht="30" x14ac:dyDescent="0.25">
      <c r="A1653" s="17" t="s">
        <v>1153</v>
      </c>
      <c r="B1653" s="17" t="s">
        <v>4109</v>
      </c>
      <c r="C1653" s="17" t="s">
        <v>301</v>
      </c>
      <c r="D1653" s="17" t="s">
        <v>299</v>
      </c>
      <c r="E1653" s="17">
        <v>6.3590900000000004E-4</v>
      </c>
      <c r="F1653" s="6" t="s">
        <v>233</v>
      </c>
      <c r="G1653" s="6" t="s">
        <v>234</v>
      </c>
      <c r="H1653" s="6">
        <v>3</v>
      </c>
    </row>
    <row r="1654" spans="1:8" ht="30" x14ac:dyDescent="0.25">
      <c r="A1654" s="17" t="s">
        <v>4110</v>
      </c>
      <c r="B1654" s="17" t="s">
        <v>4111</v>
      </c>
      <c r="C1654" s="17" t="s">
        <v>271</v>
      </c>
      <c r="D1654" s="17" t="s">
        <v>269</v>
      </c>
      <c r="E1654" s="17">
        <v>5.2359699999999999E-4</v>
      </c>
      <c r="F1654" s="6" t="s">
        <v>233</v>
      </c>
      <c r="G1654" s="6" t="s">
        <v>234</v>
      </c>
      <c r="H1654" s="6">
        <v>3</v>
      </c>
    </row>
    <row r="1655" spans="1:8" ht="30" x14ac:dyDescent="0.25">
      <c r="A1655" s="17" t="s">
        <v>4112</v>
      </c>
      <c r="B1655" s="17" t="s">
        <v>4113</v>
      </c>
      <c r="C1655" s="17" t="s">
        <v>301</v>
      </c>
      <c r="D1655" s="17" t="s">
        <v>299</v>
      </c>
      <c r="E1655" s="17">
        <v>6.3590900000000004E-4</v>
      </c>
      <c r="F1655" s="6" t="s">
        <v>233</v>
      </c>
      <c r="G1655" s="6" t="s">
        <v>234</v>
      </c>
      <c r="H1655" s="6">
        <v>3</v>
      </c>
    </row>
    <row r="1656" spans="1:8" ht="30" x14ac:dyDescent="0.25">
      <c r="A1656" s="17" t="s">
        <v>4114</v>
      </c>
      <c r="B1656" s="17" t="s">
        <v>4006</v>
      </c>
      <c r="C1656" s="17" t="s">
        <v>265</v>
      </c>
      <c r="D1656" s="17" t="s">
        <v>263</v>
      </c>
      <c r="E1656" s="17">
        <v>3.0449399999999999E-4</v>
      </c>
      <c r="F1656" s="6" t="s">
        <v>233</v>
      </c>
      <c r="G1656" s="6" t="s">
        <v>234</v>
      </c>
      <c r="H1656" s="6">
        <v>3</v>
      </c>
    </row>
    <row r="1657" spans="1:8" ht="30" x14ac:dyDescent="0.25">
      <c r="A1657" s="17" t="s">
        <v>4115</v>
      </c>
      <c r="B1657" s="17" t="s">
        <v>4116</v>
      </c>
      <c r="C1657" s="17" t="s">
        <v>283</v>
      </c>
      <c r="D1657" s="17" t="s">
        <v>281</v>
      </c>
      <c r="E1657" s="17">
        <v>5.4019300000000001E-4</v>
      </c>
      <c r="F1657" s="6" t="s">
        <v>233</v>
      </c>
      <c r="G1657" s="6" t="s">
        <v>234</v>
      </c>
      <c r="H1657" s="6">
        <v>3</v>
      </c>
    </row>
    <row r="1658" spans="1:8" ht="30" x14ac:dyDescent="0.25">
      <c r="A1658" s="17" t="s">
        <v>4117</v>
      </c>
      <c r="B1658" s="17" t="s">
        <v>4118</v>
      </c>
      <c r="C1658" s="17" t="s">
        <v>280</v>
      </c>
      <c r="D1658" s="17" t="s">
        <v>278</v>
      </c>
      <c r="E1658" s="17">
        <v>6.2829699999999999E-4</v>
      </c>
      <c r="F1658" s="6" t="s">
        <v>233</v>
      </c>
      <c r="G1658" s="6" t="s">
        <v>234</v>
      </c>
      <c r="H1658" s="6">
        <v>3</v>
      </c>
    </row>
    <row r="1659" spans="1:8" ht="30" x14ac:dyDescent="0.25">
      <c r="A1659" s="17" t="s">
        <v>4119</v>
      </c>
      <c r="B1659" s="17" t="s">
        <v>4118</v>
      </c>
      <c r="C1659" s="17" t="s">
        <v>280</v>
      </c>
      <c r="D1659" s="17" t="s">
        <v>278</v>
      </c>
      <c r="E1659" s="17">
        <v>6.2829699999999999E-4</v>
      </c>
      <c r="F1659" s="6" t="s">
        <v>233</v>
      </c>
      <c r="G1659" s="6" t="s">
        <v>234</v>
      </c>
      <c r="H1659" s="6">
        <v>3</v>
      </c>
    </row>
    <row r="1660" spans="1:8" ht="30" x14ac:dyDescent="0.25">
      <c r="A1660" s="17" t="s">
        <v>3854</v>
      </c>
      <c r="B1660" s="17" t="s">
        <v>4118</v>
      </c>
      <c r="C1660" s="17" t="s">
        <v>280</v>
      </c>
      <c r="D1660" s="17" t="s">
        <v>278</v>
      </c>
      <c r="E1660" s="17">
        <v>6.2829699999999999E-4</v>
      </c>
      <c r="F1660" s="6" t="s">
        <v>233</v>
      </c>
      <c r="G1660" s="6" t="s">
        <v>234</v>
      </c>
      <c r="H1660" s="6">
        <v>3</v>
      </c>
    </row>
    <row r="1661" spans="1:8" ht="30" x14ac:dyDescent="0.25">
      <c r="A1661" s="17" t="s">
        <v>3855</v>
      </c>
      <c r="B1661" s="17" t="s">
        <v>4118</v>
      </c>
      <c r="C1661" s="17" t="s">
        <v>280</v>
      </c>
      <c r="D1661" s="17" t="s">
        <v>278</v>
      </c>
      <c r="E1661" s="17">
        <v>6.2829699999999999E-4</v>
      </c>
      <c r="F1661" s="6" t="s">
        <v>233</v>
      </c>
      <c r="G1661" s="6" t="s">
        <v>234</v>
      </c>
      <c r="H1661" s="6">
        <v>3</v>
      </c>
    </row>
    <row r="1662" spans="1:8" ht="30" x14ac:dyDescent="0.25">
      <c r="A1662" s="17" t="s">
        <v>4120</v>
      </c>
      <c r="B1662" s="17" t="s">
        <v>4118</v>
      </c>
      <c r="C1662" s="17" t="s">
        <v>280</v>
      </c>
      <c r="D1662" s="17" t="s">
        <v>278</v>
      </c>
      <c r="E1662" s="17">
        <v>6.2829699999999999E-4</v>
      </c>
      <c r="F1662" s="6" t="s">
        <v>233</v>
      </c>
      <c r="G1662" s="6" t="s">
        <v>234</v>
      </c>
      <c r="H1662" s="6">
        <v>3</v>
      </c>
    </row>
    <row r="1663" spans="1:8" ht="30" x14ac:dyDescent="0.25">
      <c r="A1663" s="17" t="s">
        <v>4121</v>
      </c>
      <c r="B1663" s="17" t="s">
        <v>4118</v>
      </c>
      <c r="C1663" s="17" t="s">
        <v>280</v>
      </c>
      <c r="D1663" s="17" t="s">
        <v>278</v>
      </c>
      <c r="E1663" s="17">
        <v>6.2829699999999999E-4</v>
      </c>
      <c r="F1663" s="6" t="s">
        <v>233</v>
      </c>
      <c r="G1663" s="6" t="s">
        <v>234</v>
      </c>
      <c r="H1663" s="6">
        <v>3</v>
      </c>
    </row>
    <row r="1664" spans="1:8" ht="30" x14ac:dyDescent="0.25">
      <c r="A1664" s="17" t="s">
        <v>4122</v>
      </c>
      <c r="B1664" s="17" t="s">
        <v>4123</v>
      </c>
      <c r="C1664" s="17" t="s">
        <v>280</v>
      </c>
      <c r="D1664" s="17" t="s">
        <v>278</v>
      </c>
      <c r="E1664" s="17">
        <v>6.2829699999999999E-4</v>
      </c>
      <c r="F1664" s="6" t="s">
        <v>233</v>
      </c>
      <c r="G1664" s="6" t="s">
        <v>234</v>
      </c>
      <c r="H1664" s="6">
        <v>3</v>
      </c>
    </row>
    <row r="1665" spans="1:8" ht="30" x14ac:dyDescent="0.25">
      <c r="A1665" s="17" t="s">
        <v>4124</v>
      </c>
      <c r="B1665" s="17" t="s">
        <v>4125</v>
      </c>
      <c r="C1665" s="17" t="s">
        <v>244</v>
      </c>
      <c r="D1665" s="17" t="s">
        <v>242</v>
      </c>
      <c r="E1665" s="17">
        <v>5.4284299999999999E-4</v>
      </c>
      <c r="F1665" s="6" t="s">
        <v>233</v>
      </c>
      <c r="G1665" s="6" t="s">
        <v>234</v>
      </c>
      <c r="H1665" s="6">
        <v>3</v>
      </c>
    </row>
    <row r="1666" spans="1:8" ht="30" x14ac:dyDescent="0.25">
      <c r="A1666" s="17" t="s">
        <v>4126</v>
      </c>
      <c r="B1666" s="17" t="s">
        <v>4127</v>
      </c>
      <c r="C1666" s="17" t="s">
        <v>244</v>
      </c>
      <c r="D1666" s="17" t="s">
        <v>242</v>
      </c>
      <c r="E1666" s="17">
        <v>5.4284299999999999E-4</v>
      </c>
      <c r="F1666" s="6" t="s">
        <v>233</v>
      </c>
      <c r="G1666" s="6" t="s">
        <v>234</v>
      </c>
      <c r="H1666" s="6">
        <v>3</v>
      </c>
    </row>
    <row r="1667" spans="1:8" ht="30" x14ac:dyDescent="0.25">
      <c r="A1667" s="17" t="s">
        <v>4128</v>
      </c>
      <c r="B1667" s="17" t="s">
        <v>4118</v>
      </c>
      <c r="C1667" s="17" t="s">
        <v>280</v>
      </c>
      <c r="D1667" s="17" t="s">
        <v>278</v>
      </c>
      <c r="E1667" s="17">
        <v>6.2829699999999999E-4</v>
      </c>
      <c r="F1667" s="6" t="s">
        <v>233</v>
      </c>
      <c r="G1667" s="6" t="s">
        <v>234</v>
      </c>
      <c r="H1667" s="6">
        <v>3</v>
      </c>
    </row>
    <row r="1668" spans="1:8" ht="30" x14ac:dyDescent="0.25">
      <c r="A1668" s="17" t="s">
        <v>4129</v>
      </c>
      <c r="B1668" s="17" t="s">
        <v>4130</v>
      </c>
      <c r="C1668" s="17" t="s">
        <v>256</v>
      </c>
      <c r="D1668" s="17" t="s">
        <v>254</v>
      </c>
      <c r="E1668" s="17">
        <v>8.1312799999999998E-4</v>
      </c>
      <c r="F1668" s="6" t="s">
        <v>233</v>
      </c>
      <c r="G1668" s="6" t="s">
        <v>234</v>
      </c>
      <c r="H1668" s="6">
        <v>3</v>
      </c>
    </row>
    <row r="1669" spans="1:8" ht="30" x14ac:dyDescent="0.25">
      <c r="A1669" s="17" t="s">
        <v>4131</v>
      </c>
      <c r="B1669" s="17" t="s">
        <v>4132</v>
      </c>
      <c r="C1669" s="17" t="s">
        <v>265</v>
      </c>
      <c r="D1669" s="17" t="s">
        <v>263</v>
      </c>
      <c r="E1669" s="17">
        <v>3.0449399999999999E-4</v>
      </c>
      <c r="F1669" s="6" t="s">
        <v>233</v>
      </c>
      <c r="G1669" s="6" t="s">
        <v>234</v>
      </c>
      <c r="H1669" s="6">
        <v>3</v>
      </c>
    </row>
    <row r="1670" spans="1:8" ht="30" x14ac:dyDescent="0.25">
      <c r="A1670" s="17" t="s">
        <v>4133</v>
      </c>
      <c r="B1670" s="17" t="s">
        <v>4134</v>
      </c>
      <c r="C1670" s="17" t="s">
        <v>301</v>
      </c>
      <c r="D1670" s="17" t="s">
        <v>299</v>
      </c>
      <c r="E1670" s="17">
        <v>6.3590900000000004E-4</v>
      </c>
      <c r="F1670" s="6" t="s">
        <v>233</v>
      </c>
      <c r="G1670" s="6" t="s">
        <v>234</v>
      </c>
      <c r="H1670" s="6">
        <v>3</v>
      </c>
    </row>
    <row r="1671" spans="1:8" ht="30" x14ac:dyDescent="0.25">
      <c r="A1671" s="17" t="s">
        <v>4135</v>
      </c>
      <c r="B1671" s="17" t="s">
        <v>4136</v>
      </c>
      <c r="C1671" s="17" t="s">
        <v>301</v>
      </c>
      <c r="D1671" s="17" t="s">
        <v>299</v>
      </c>
      <c r="E1671" s="17">
        <v>6.3590900000000004E-4</v>
      </c>
      <c r="F1671" s="6" t="s">
        <v>233</v>
      </c>
      <c r="G1671" s="6" t="s">
        <v>234</v>
      </c>
      <c r="H1671" s="6">
        <v>3</v>
      </c>
    </row>
    <row r="1672" spans="1:8" ht="30" x14ac:dyDescent="0.25">
      <c r="A1672" s="17" t="s">
        <v>4137</v>
      </c>
      <c r="B1672" s="17" t="s">
        <v>4138</v>
      </c>
      <c r="C1672" s="17" t="s">
        <v>271</v>
      </c>
      <c r="D1672" s="17" t="s">
        <v>269</v>
      </c>
      <c r="E1672" s="17">
        <v>5.2359699999999999E-4</v>
      </c>
      <c r="F1672" s="6" t="s">
        <v>233</v>
      </c>
      <c r="G1672" s="6" t="s">
        <v>234</v>
      </c>
      <c r="H1672" s="6">
        <v>3</v>
      </c>
    </row>
    <row r="1673" spans="1:8" ht="30" x14ac:dyDescent="0.25">
      <c r="A1673" s="17" t="s">
        <v>4139</v>
      </c>
      <c r="B1673" s="17" t="s">
        <v>4118</v>
      </c>
      <c r="C1673" s="17" t="s">
        <v>280</v>
      </c>
      <c r="D1673" s="17" t="s">
        <v>278</v>
      </c>
      <c r="E1673" s="17">
        <v>6.2829699999999999E-4</v>
      </c>
      <c r="F1673" s="6" t="s">
        <v>233</v>
      </c>
      <c r="G1673" s="6" t="s">
        <v>234</v>
      </c>
      <c r="H1673" s="6">
        <v>3</v>
      </c>
    </row>
    <row r="1674" spans="1:8" ht="30" x14ac:dyDescent="0.25">
      <c r="A1674" s="17" t="s">
        <v>4140</v>
      </c>
      <c r="B1674" s="17" t="s">
        <v>4105</v>
      </c>
      <c r="C1674" s="17" t="s">
        <v>271</v>
      </c>
      <c r="D1674" s="17" t="s">
        <v>269</v>
      </c>
      <c r="E1674" s="17">
        <v>5.2359699999999999E-4</v>
      </c>
      <c r="F1674" s="6" t="s">
        <v>233</v>
      </c>
      <c r="G1674" s="6" t="s">
        <v>234</v>
      </c>
      <c r="H1674" s="6">
        <v>3</v>
      </c>
    </row>
    <row r="1675" spans="1:8" ht="30" x14ac:dyDescent="0.25">
      <c r="A1675" s="17" t="s">
        <v>4141</v>
      </c>
      <c r="B1675" s="17" t="s">
        <v>4142</v>
      </c>
      <c r="C1675" s="17" t="s">
        <v>271</v>
      </c>
      <c r="D1675" s="17" t="s">
        <v>269</v>
      </c>
      <c r="E1675" s="17">
        <v>5.2359699999999999E-4</v>
      </c>
      <c r="F1675" s="6" t="s">
        <v>233</v>
      </c>
      <c r="G1675" s="6" t="s">
        <v>234</v>
      </c>
      <c r="H1675" s="6">
        <v>3</v>
      </c>
    </row>
    <row r="1676" spans="1:8" ht="30" x14ac:dyDescent="0.25">
      <c r="A1676" s="17" t="s">
        <v>1158</v>
      </c>
      <c r="B1676" s="17" t="s">
        <v>4142</v>
      </c>
      <c r="C1676" s="17" t="s">
        <v>271</v>
      </c>
      <c r="D1676" s="17" t="s">
        <v>269</v>
      </c>
      <c r="E1676" s="17">
        <v>5.2359699999999999E-4</v>
      </c>
      <c r="F1676" s="6" t="s">
        <v>233</v>
      </c>
      <c r="G1676" s="6" t="s">
        <v>234</v>
      </c>
      <c r="H1676" s="6">
        <v>3</v>
      </c>
    </row>
    <row r="1677" spans="1:8" ht="30" x14ac:dyDescent="0.25">
      <c r="A1677" s="17" t="s">
        <v>4143</v>
      </c>
      <c r="B1677" s="17" t="s">
        <v>4144</v>
      </c>
      <c r="C1677" s="17" t="s">
        <v>271</v>
      </c>
      <c r="D1677" s="17" t="s">
        <v>269</v>
      </c>
      <c r="E1677" s="17">
        <v>5.2359699999999999E-4</v>
      </c>
      <c r="F1677" s="6" t="s">
        <v>233</v>
      </c>
      <c r="G1677" s="6" t="s">
        <v>234</v>
      </c>
      <c r="H1677" s="6">
        <v>3</v>
      </c>
    </row>
    <row r="1678" spans="1:8" ht="30" x14ac:dyDescent="0.25">
      <c r="A1678" s="17" t="s">
        <v>4145</v>
      </c>
      <c r="B1678" s="17" t="s">
        <v>4146</v>
      </c>
      <c r="C1678" s="17" t="s">
        <v>271</v>
      </c>
      <c r="D1678" s="17" t="s">
        <v>269</v>
      </c>
      <c r="E1678" s="17">
        <v>5.2359699999999999E-4</v>
      </c>
      <c r="F1678" s="6" t="s">
        <v>233</v>
      </c>
      <c r="G1678" s="6" t="s">
        <v>234</v>
      </c>
      <c r="H1678" s="6">
        <v>3</v>
      </c>
    </row>
    <row r="1679" spans="1:8" ht="30" x14ac:dyDescent="0.25">
      <c r="A1679" s="17" t="s">
        <v>4147</v>
      </c>
      <c r="B1679" s="17" t="s">
        <v>4148</v>
      </c>
      <c r="C1679" s="17" t="s">
        <v>271</v>
      </c>
      <c r="D1679" s="17" t="s">
        <v>269</v>
      </c>
      <c r="E1679" s="17">
        <v>5.2359699999999999E-4</v>
      </c>
      <c r="F1679" s="6" t="s">
        <v>233</v>
      </c>
      <c r="G1679" s="6" t="s">
        <v>234</v>
      </c>
      <c r="H1679" s="6">
        <v>3</v>
      </c>
    </row>
    <row r="1680" spans="1:8" ht="30" x14ac:dyDescent="0.25">
      <c r="A1680" s="17" t="s">
        <v>4149</v>
      </c>
      <c r="B1680" s="17" t="s">
        <v>4150</v>
      </c>
      <c r="C1680" s="17" t="s">
        <v>271</v>
      </c>
      <c r="D1680" s="17" t="s">
        <v>269</v>
      </c>
      <c r="E1680" s="17">
        <v>5.2359699999999999E-4</v>
      </c>
      <c r="F1680" s="6" t="s">
        <v>233</v>
      </c>
      <c r="G1680" s="6" t="s">
        <v>234</v>
      </c>
      <c r="H1680" s="6">
        <v>3</v>
      </c>
    </row>
    <row r="1681" spans="1:8" ht="30" x14ac:dyDescent="0.25">
      <c r="A1681" s="17" t="s">
        <v>4151</v>
      </c>
      <c r="B1681" s="17" t="s">
        <v>4148</v>
      </c>
      <c r="C1681" s="17" t="s">
        <v>271</v>
      </c>
      <c r="D1681" s="17" t="s">
        <v>269</v>
      </c>
      <c r="E1681" s="17">
        <v>5.2359699999999999E-4</v>
      </c>
      <c r="F1681" s="6" t="s">
        <v>233</v>
      </c>
      <c r="G1681" s="6" t="s">
        <v>234</v>
      </c>
      <c r="H1681" s="6">
        <v>3</v>
      </c>
    </row>
    <row r="1682" spans="1:8" ht="30" x14ac:dyDescent="0.25">
      <c r="A1682" s="17" t="s">
        <v>1126</v>
      </c>
      <c r="B1682" s="17" t="s">
        <v>4152</v>
      </c>
      <c r="C1682" s="17" t="s">
        <v>271</v>
      </c>
      <c r="D1682" s="17" t="s">
        <v>269</v>
      </c>
      <c r="E1682" s="17">
        <v>5.2359699999999999E-4</v>
      </c>
      <c r="F1682" s="6" t="s">
        <v>233</v>
      </c>
      <c r="G1682" s="6" t="s">
        <v>234</v>
      </c>
      <c r="H1682" s="6">
        <v>3</v>
      </c>
    </row>
    <row r="1683" spans="1:8" ht="30" x14ac:dyDescent="0.25">
      <c r="A1683" s="17" t="s">
        <v>534</v>
      </c>
      <c r="B1683" s="17" t="s">
        <v>4153</v>
      </c>
      <c r="C1683" s="17" t="s">
        <v>271</v>
      </c>
      <c r="D1683" s="17" t="s">
        <v>269</v>
      </c>
      <c r="E1683" s="17">
        <v>5.2359699999999999E-4</v>
      </c>
      <c r="F1683" s="6" t="s">
        <v>233</v>
      </c>
      <c r="G1683" s="6" t="s">
        <v>234</v>
      </c>
      <c r="H1683" s="6">
        <v>3</v>
      </c>
    </row>
    <row r="1684" spans="1:8" ht="30" x14ac:dyDescent="0.25">
      <c r="A1684" s="17" t="s">
        <v>4154</v>
      </c>
      <c r="B1684" s="17" t="s">
        <v>4155</v>
      </c>
      <c r="C1684" s="17" t="s">
        <v>271</v>
      </c>
      <c r="D1684" s="17" t="s">
        <v>269</v>
      </c>
      <c r="E1684" s="17">
        <v>5.2359699999999999E-4</v>
      </c>
      <c r="F1684" s="6" t="s">
        <v>233</v>
      </c>
      <c r="G1684" s="6" t="s">
        <v>234</v>
      </c>
      <c r="H1684" s="6">
        <v>3</v>
      </c>
    </row>
    <row r="1685" spans="1:8" ht="30" x14ac:dyDescent="0.25">
      <c r="A1685" s="17" t="s">
        <v>4156</v>
      </c>
      <c r="B1685" s="17" t="s">
        <v>4157</v>
      </c>
      <c r="C1685" s="17" t="s">
        <v>271</v>
      </c>
      <c r="D1685" s="17" t="s">
        <v>269</v>
      </c>
      <c r="E1685" s="17">
        <v>5.2359699999999999E-4</v>
      </c>
      <c r="F1685" s="6" t="s">
        <v>233</v>
      </c>
      <c r="G1685" s="6" t="s">
        <v>234</v>
      </c>
      <c r="H1685" s="6">
        <v>3</v>
      </c>
    </row>
    <row r="1686" spans="1:8" ht="30" x14ac:dyDescent="0.25">
      <c r="A1686" s="17" t="s">
        <v>3856</v>
      </c>
      <c r="B1686" s="17" t="s">
        <v>4158</v>
      </c>
      <c r="C1686" s="17" t="s">
        <v>271</v>
      </c>
      <c r="D1686" s="17" t="s">
        <v>269</v>
      </c>
      <c r="E1686" s="17">
        <v>5.2359699999999999E-4</v>
      </c>
      <c r="F1686" s="6" t="s">
        <v>233</v>
      </c>
      <c r="G1686" s="6" t="s">
        <v>234</v>
      </c>
      <c r="H1686" s="6">
        <v>3</v>
      </c>
    </row>
    <row r="1687" spans="1:8" ht="30" x14ac:dyDescent="0.25">
      <c r="A1687" s="17" t="s">
        <v>1172</v>
      </c>
      <c r="B1687" s="17" t="s">
        <v>4111</v>
      </c>
      <c r="C1687" s="17" t="s">
        <v>271</v>
      </c>
      <c r="D1687" s="17" t="s">
        <v>269</v>
      </c>
      <c r="E1687" s="17">
        <v>5.2359699999999999E-4</v>
      </c>
      <c r="F1687" s="6" t="s">
        <v>233</v>
      </c>
      <c r="G1687" s="6" t="s">
        <v>234</v>
      </c>
      <c r="H1687" s="6">
        <v>3</v>
      </c>
    </row>
    <row r="1688" spans="1:8" ht="30" x14ac:dyDescent="0.25">
      <c r="A1688" s="17" t="s">
        <v>3857</v>
      </c>
      <c r="B1688" s="17" t="s">
        <v>4031</v>
      </c>
      <c r="C1688" s="17" t="s">
        <v>301</v>
      </c>
      <c r="D1688" s="17" t="s">
        <v>299</v>
      </c>
      <c r="E1688" s="17">
        <v>6.3590900000000004E-4</v>
      </c>
      <c r="F1688" s="6" t="s">
        <v>233</v>
      </c>
      <c r="G1688" s="6" t="s">
        <v>234</v>
      </c>
      <c r="H1688" s="6">
        <v>3</v>
      </c>
    </row>
    <row r="1689" spans="1:8" ht="30" x14ac:dyDescent="0.25">
      <c r="A1689" s="17" t="s">
        <v>3858</v>
      </c>
      <c r="B1689" s="17" t="s">
        <v>4031</v>
      </c>
      <c r="C1689" s="17" t="s">
        <v>301</v>
      </c>
      <c r="D1689" s="17" t="s">
        <v>299</v>
      </c>
      <c r="E1689" s="17">
        <v>6.3590900000000004E-4</v>
      </c>
      <c r="F1689" s="6" t="s">
        <v>233</v>
      </c>
      <c r="G1689" s="6" t="s">
        <v>234</v>
      </c>
      <c r="H1689" s="6">
        <v>3</v>
      </c>
    </row>
    <row r="1690" spans="1:8" ht="30" x14ac:dyDescent="0.25">
      <c r="A1690" s="17" t="s">
        <v>3859</v>
      </c>
      <c r="B1690" s="17" t="s">
        <v>4031</v>
      </c>
      <c r="C1690" s="17" t="s">
        <v>301</v>
      </c>
      <c r="D1690" s="17" t="s">
        <v>299</v>
      </c>
      <c r="E1690" s="17">
        <v>6.3590900000000004E-4</v>
      </c>
      <c r="F1690" s="6" t="s">
        <v>233</v>
      </c>
      <c r="G1690" s="6" t="s">
        <v>234</v>
      </c>
      <c r="H1690" s="6">
        <v>3</v>
      </c>
    </row>
    <row r="1691" spans="1:8" ht="30" x14ac:dyDescent="0.25">
      <c r="A1691" s="17" t="s">
        <v>3860</v>
      </c>
      <c r="B1691" s="17" t="s">
        <v>4031</v>
      </c>
      <c r="C1691" s="17" t="s">
        <v>301</v>
      </c>
      <c r="D1691" s="17" t="s">
        <v>299</v>
      </c>
      <c r="E1691" s="17">
        <v>6.3590900000000004E-4</v>
      </c>
      <c r="F1691" s="6" t="s">
        <v>233</v>
      </c>
      <c r="G1691" s="6" t="s">
        <v>234</v>
      </c>
      <c r="H1691" s="6">
        <v>3</v>
      </c>
    </row>
    <row r="1692" spans="1:8" ht="30" x14ac:dyDescent="0.25">
      <c r="A1692" s="17" t="s">
        <v>3861</v>
      </c>
      <c r="B1692" s="17" t="s">
        <v>4031</v>
      </c>
      <c r="C1692" s="17" t="s">
        <v>301</v>
      </c>
      <c r="D1692" s="17" t="s">
        <v>299</v>
      </c>
      <c r="E1692" s="17">
        <v>6.3590900000000004E-4</v>
      </c>
      <c r="F1692" s="6" t="s">
        <v>233</v>
      </c>
      <c r="G1692" s="6" t="s">
        <v>234</v>
      </c>
      <c r="H1692" s="6">
        <v>3</v>
      </c>
    </row>
    <row r="1693" spans="1:8" ht="30" x14ac:dyDescent="0.25">
      <c r="A1693" s="17" t="s">
        <v>4159</v>
      </c>
      <c r="B1693" s="17" t="s">
        <v>4160</v>
      </c>
      <c r="C1693" s="17" t="s">
        <v>301</v>
      </c>
      <c r="D1693" s="17" t="s">
        <v>299</v>
      </c>
      <c r="E1693" s="17">
        <v>6.3590900000000004E-4</v>
      </c>
      <c r="F1693" s="6" t="s">
        <v>233</v>
      </c>
      <c r="G1693" s="6" t="s">
        <v>234</v>
      </c>
      <c r="H1693" s="6">
        <v>3</v>
      </c>
    </row>
    <row r="1694" spans="1:8" ht="30" x14ac:dyDescent="0.25">
      <c r="A1694" s="17" t="s">
        <v>4161</v>
      </c>
      <c r="B1694" s="17" t="s">
        <v>4160</v>
      </c>
      <c r="C1694" s="17" t="s">
        <v>301</v>
      </c>
      <c r="D1694" s="17" t="s">
        <v>299</v>
      </c>
      <c r="E1694" s="17">
        <v>6.3590900000000004E-4</v>
      </c>
      <c r="F1694" s="6" t="s">
        <v>233</v>
      </c>
      <c r="G1694" s="6" t="s">
        <v>234</v>
      </c>
      <c r="H1694" s="6">
        <v>3</v>
      </c>
    </row>
    <row r="1695" spans="1:8" ht="30" x14ac:dyDescent="0.25">
      <c r="A1695" s="17" t="s">
        <v>4162</v>
      </c>
      <c r="B1695" s="17" t="s">
        <v>4163</v>
      </c>
      <c r="C1695" s="17" t="s">
        <v>301</v>
      </c>
      <c r="D1695" s="17" t="s">
        <v>299</v>
      </c>
      <c r="E1695" s="17">
        <v>6.3590900000000004E-4</v>
      </c>
      <c r="F1695" s="6" t="s">
        <v>233</v>
      </c>
      <c r="G1695" s="6" t="s">
        <v>234</v>
      </c>
      <c r="H1695" s="6">
        <v>3</v>
      </c>
    </row>
    <row r="1696" spans="1:8" ht="30" x14ac:dyDescent="0.25">
      <c r="A1696" s="17" t="s">
        <v>4164</v>
      </c>
      <c r="B1696" s="17" t="s">
        <v>4165</v>
      </c>
      <c r="C1696" s="17" t="s">
        <v>265</v>
      </c>
      <c r="D1696" s="17" t="s">
        <v>263</v>
      </c>
      <c r="E1696" s="17">
        <v>3.0449399999999999E-4</v>
      </c>
      <c r="F1696" s="6" t="s">
        <v>233</v>
      </c>
      <c r="G1696" s="6" t="s">
        <v>234</v>
      </c>
      <c r="H1696" s="6">
        <v>3</v>
      </c>
    </row>
    <row r="1697" spans="1:8" ht="30" x14ac:dyDescent="0.25">
      <c r="A1697" s="17" t="s">
        <v>3862</v>
      </c>
      <c r="B1697" s="17" t="s">
        <v>4166</v>
      </c>
      <c r="C1697" s="17" t="s">
        <v>256</v>
      </c>
      <c r="D1697" s="17" t="s">
        <v>254</v>
      </c>
      <c r="E1697" s="17">
        <v>8.1312799999999998E-4</v>
      </c>
      <c r="F1697" s="6" t="s">
        <v>233</v>
      </c>
      <c r="G1697" s="6" t="s">
        <v>234</v>
      </c>
      <c r="H1697" s="6">
        <v>3</v>
      </c>
    </row>
    <row r="1698" spans="1:8" ht="30" x14ac:dyDescent="0.25">
      <c r="A1698" s="17" t="s">
        <v>4167</v>
      </c>
      <c r="B1698" s="17" t="s">
        <v>4168</v>
      </c>
      <c r="C1698" s="17" t="s">
        <v>256</v>
      </c>
      <c r="D1698" s="17" t="s">
        <v>254</v>
      </c>
      <c r="E1698" s="17">
        <v>8.1312799999999998E-4</v>
      </c>
      <c r="F1698" s="6" t="s">
        <v>233</v>
      </c>
      <c r="G1698" s="6" t="s">
        <v>234</v>
      </c>
      <c r="H1698" s="6">
        <v>3</v>
      </c>
    </row>
    <row r="1699" spans="1:8" ht="30" x14ac:dyDescent="0.25">
      <c r="A1699" s="17" t="s">
        <v>4169</v>
      </c>
      <c r="B1699" s="17" t="s">
        <v>4170</v>
      </c>
      <c r="C1699" s="17" t="s">
        <v>265</v>
      </c>
      <c r="D1699" s="17" t="s">
        <v>263</v>
      </c>
      <c r="E1699" s="17">
        <v>3.0449399999999999E-4</v>
      </c>
      <c r="F1699" s="6" t="s">
        <v>233</v>
      </c>
      <c r="G1699" s="6" t="s">
        <v>234</v>
      </c>
      <c r="H1699" s="6">
        <v>3</v>
      </c>
    </row>
    <row r="1700" spans="1:8" ht="30" x14ac:dyDescent="0.25">
      <c r="A1700" s="17" t="s">
        <v>4171</v>
      </c>
      <c r="B1700" s="17" t="s">
        <v>4172</v>
      </c>
      <c r="C1700" s="17" t="s">
        <v>265</v>
      </c>
      <c r="D1700" s="17" t="s">
        <v>263</v>
      </c>
      <c r="E1700" s="17">
        <v>3.0449399999999999E-4</v>
      </c>
      <c r="F1700" s="6" t="s">
        <v>233</v>
      </c>
      <c r="G1700" s="6" t="s">
        <v>234</v>
      </c>
      <c r="H1700" s="6">
        <v>3</v>
      </c>
    </row>
    <row r="1701" spans="1:8" ht="30" x14ac:dyDescent="0.25">
      <c r="A1701" s="17" t="s">
        <v>4173</v>
      </c>
      <c r="B1701" s="17" t="s">
        <v>4174</v>
      </c>
      <c r="C1701" s="17" t="s">
        <v>271</v>
      </c>
      <c r="D1701" s="17" t="s">
        <v>269</v>
      </c>
      <c r="E1701" s="17">
        <v>5.2359699999999999E-4</v>
      </c>
      <c r="F1701" s="6" t="s">
        <v>233</v>
      </c>
      <c r="G1701" s="6" t="s">
        <v>234</v>
      </c>
      <c r="H1701" s="6">
        <v>3</v>
      </c>
    </row>
    <row r="1702" spans="1:8" ht="30" x14ac:dyDescent="0.25">
      <c r="A1702" s="17" t="s">
        <v>4175</v>
      </c>
      <c r="B1702" s="17" t="s">
        <v>4176</v>
      </c>
      <c r="C1702" s="17" t="s">
        <v>301</v>
      </c>
      <c r="D1702" s="17" t="s">
        <v>299</v>
      </c>
      <c r="E1702" s="17">
        <v>6.3590900000000004E-4</v>
      </c>
      <c r="F1702" s="6" t="s">
        <v>233</v>
      </c>
      <c r="G1702" s="6" t="s">
        <v>234</v>
      </c>
      <c r="H1702" s="6">
        <v>3</v>
      </c>
    </row>
    <row r="1703" spans="1:8" ht="30" x14ac:dyDescent="0.25">
      <c r="A1703" s="17" t="s">
        <v>4177</v>
      </c>
      <c r="B1703" s="17" t="s">
        <v>4178</v>
      </c>
      <c r="C1703" s="17" t="s">
        <v>271</v>
      </c>
      <c r="D1703" s="17" t="s">
        <v>269</v>
      </c>
      <c r="E1703" s="17">
        <v>5.2359699999999999E-4</v>
      </c>
      <c r="F1703" s="6" t="s">
        <v>233</v>
      </c>
      <c r="G1703" s="6" t="s">
        <v>234</v>
      </c>
      <c r="H1703" s="6">
        <v>3</v>
      </c>
    </row>
    <row r="1704" spans="1:8" ht="30" x14ac:dyDescent="0.25">
      <c r="A1704" s="17" t="s">
        <v>547</v>
      </c>
      <c r="B1704" s="17" t="s">
        <v>4111</v>
      </c>
      <c r="C1704" s="17" t="s">
        <v>271</v>
      </c>
      <c r="D1704" s="17" t="s">
        <v>269</v>
      </c>
      <c r="E1704" s="17">
        <v>5.2359699999999999E-4</v>
      </c>
      <c r="F1704" s="6" t="s">
        <v>233</v>
      </c>
      <c r="G1704" s="6" t="s">
        <v>234</v>
      </c>
      <c r="H1704" s="6">
        <v>3</v>
      </c>
    </row>
    <row r="1705" spans="1:8" ht="30" x14ac:dyDescent="0.25">
      <c r="A1705" s="17" t="s">
        <v>1127</v>
      </c>
      <c r="B1705" s="17" t="s">
        <v>4111</v>
      </c>
      <c r="C1705" s="17" t="s">
        <v>271</v>
      </c>
      <c r="D1705" s="17" t="s">
        <v>269</v>
      </c>
      <c r="E1705" s="17">
        <v>5.2359699999999999E-4</v>
      </c>
      <c r="F1705" s="6" t="s">
        <v>233</v>
      </c>
      <c r="G1705" s="6" t="s">
        <v>234</v>
      </c>
      <c r="H1705" s="6">
        <v>3</v>
      </c>
    </row>
    <row r="1706" spans="1:8" ht="30" x14ac:dyDescent="0.25">
      <c r="A1706" s="17" t="s">
        <v>4179</v>
      </c>
      <c r="B1706" s="17" t="s">
        <v>4098</v>
      </c>
      <c r="C1706" s="17" t="s">
        <v>271</v>
      </c>
      <c r="D1706" s="17" t="s">
        <v>269</v>
      </c>
      <c r="E1706" s="17">
        <v>5.2359699999999999E-4</v>
      </c>
      <c r="F1706" s="6" t="s">
        <v>233</v>
      </c>
      <c r="G1706" s="6" t="s">
        <v>234</v>
      </c>
      <c r="H1706" s="6">
        <v>3</v>
      </c>
    </row>
    <row r="1707" spans="1:8" ht="30" x14ac:dyDescent="0.25">
      <c r="A1707" s="17" t="s">
        <v>4180</v>
      </c>
      <c r="B1707" s="17" t="s">
        <v>4181</v>
      </c>
      <c r="C1707" s="17" t="s">
        <v>271</v>
      </c>
      <c r="D1707" s="17" t="s">
        <v>269</v>
      </c>
      <c r="E1707" s="17">
        <v>5.2359699999999999E-4</v>
      </c>
      <c r="F1707" s="6" t="s">
        <v>233</v>
      </c>
      <c r="G1707" s="6" t="s">
        <v>234</v>
      </c>
      <c r="H1707" s="6">
        <v>3</v>
      </c>
    </row>
    <row r="1708" spans="1:8" ht="30" x14ac:dyDescent="0.25">
      <c r="A1708" s="17" t="s">
        <v>4182</v>
      </c>
      <c r="B1708" s="17" t="s">
        <v>4183</v>
      </c>
      <c r="C1708" s="17" t="s">
        <v>271</v>
      </c>
      <c r="D1708" s="17" t="s">
        <v>269</v>
      </c>
      <c r="E1708" s="17">
        <v>5.2359699999999999E-4</v>
      </c>
      <c r="F1708" s="6" t="s">
        <v>233</v>
      </c>
      <c r="G1708" s="6" t="s">
        <v>234</v>
      </c>
      <c r="H1708" s="6">
        <v>3</v>
      </c>
    </row>
    <row r="1709" spans="1:8" ht="30" x14ac:dyDescent="0.25">
      <c r="A1709" s="17" t="s">
        <v>4184</v>
      </c>
      <c r="B1709" s="17" t="s">
        <v>4185</v>
      </c>
      <c r="C1709" s="17" t="s">
        <v>271</v>
      </c>
      <c r="D1709" s="17" t="s">
        <v>269</v>
      </c>
      <c r="E1709" s="17">
        <v>5.2359699999999999E-4</v>
      </c>
      <c r="F1709" s="6" t="s">
        <v>233</v>
      </c>
      <c r="G1709" s="6" t="s">
        <v>234</v>
      </c>
      <c r="H1709" s="6">
        <v>3</v>
      </c>
    </row>
    <row r="1710" spans="1:8" ht="30" x14ac:dyDescent="0.25">
      <c r="A1710" s="17" t="s">
        <v>1183</v>
      </c>
      <c r="B1710" s="17" t="s">
        <v>4186</v>
      </c>
      <c r="C1710" s="17" t="s">
        <v>271</v>
      </c>
      <c r="D1710" s="17" t="s">
        <v>269</v>
      </c>
      <c r="E1710" s="17">
        <v>5.2359699999999999E-4</v>
      </c>
      <c r="F1710" s="6" t="s">
        <v>233</v>
      </c>
      <c r="G1710" s="6" t="s">
        <v>234</v>
      </c>
      <c r="H1710" s="6">
        <v>3</v>
      </c>
    </row>
    <row r="1711" spans="1:8" ht="30" x14ac:dyDescent="0.25">
      <c r="A1711" s="17" t="s">
        <v>4187</v>
      </c>
      <c r="B1711" s="17" t="s">
        <v>4188</v>
      </c>
      <c r="C1711" s="17" t="s">
        <v>271</v>
      </c>
      <c r="D1711" s="17" t="s">
        <v>269</v>
      </c>
      <c r="E1711" s="17">
        <v>5.2359699999999999E-4</v>
      </c>
      <c r="F1711" s="6" t="s">
        <v>233</v>
      </c>
      <c r="G1711" s="6" t="s">
        <v>234</v>
      </c>
      <c r="H1711" s="6">
        <v>3</v>
      </c>
    </row>
    <row r="1712" spans="1:8" ht="30" x14ac:dyDescent="0.25">
      <c r="A1712" s="17" t="s">
        <v>4189</v>
      </c>
      <c r="B1712" s="17" t="s">
        <v>4181</v>
      </c>
      <c r="C1712" s="17" t="s">
        <v>271</v>
      </c>
      <c r="D1712" s="17" t="s">
        <v>269</v>
      </c>
      <c r="E1712" s="17">
        <v>5.2359699999999999E-4</v>
      </c>
      <c r="F1712" s="6" t="s">
        <v>233</v>
      </c>
      <c r="G1712" s="6" t="s">
        <v>234</v>
      </c>
      <c r="H1712" s="6">
        <v>3</v>
      </c>
    </row>
    <row r="1713" spans="1:8" ht="30" x14ac:dyDescent="0.25">
      <c r="A1713" s="17" t="s">
        <v>4190</v>
      </c>
      <c r="B1713" s="17" t="s">
        <v>4191</v>
      </c>
      <c r="C1713" s="17" t="s">
        <v>271</v>
      </c>
      <c r="D1713" s="17" t="s">
        <v>269</v>
      </c>
      <c r="E1713" s="17">
        <v>5.2359699999999999E-4</v>
      </c>
      <c r="F1713" s="6" t="s">
        <v>233</v>
      </c>
      <c r="G1713" s="6" t="s">
        <v>234</v>
      </c>
      <c r="H1713" s="6">
        <v>3</v>
      </c>
    </row>
    <row r="1714" spans="1:8" ht="30" x14ac:dyDescent="0.25">
      <c r="A1714" s="17" t="s">
        <v>4192</v>
      </c>
      <c r="B1714" s="17" t="s">
        <v>4193</v>
      </c>
      <c r="C1714" s="17" t="s">
        <v>271</v>
      </c>
      <c r="D1714" s="17" t="s">
        <v>269</v>
      </c>
      <c r="E1714" s="17">
        <v>5.2359699999999999E-4</v>
      </c>
      <c r="F1714" s="6" t="s">
        <v>233</v>
      </c>
      <c r="G1714" s="6" t="s">
        <v>234</v>
      </c>
      <c r="H1714" s="6">
        <v>3</v>
      </c>
    </row>
    <row r="1715" spans="1:8" ht="30" x14ac:dyDescent="0.25">
      <c r="A1715" s="17" t="s">
        <v>4194</v>
      </c>
      <c r="B1715" s="17" t="s">
        <v>4195</v>
      </c>
      <c r="C1715" s="17" t="s">
        <v>271</v>
      </c>
      <c r="D1715" s="17" t="s">
        <v>269</v>
      </c>
      <c r="E1715" s="17">
        <v>5.2359699999999999E-4</v>
      </c>
      <c r="F1715" s="6" t="s">
        <v>233</v>
      </c>
      <c r="G1715" s="6" t="s">
        <v>234</v>
      </c>
      <c r="H1715" s="6">
        <v>3</v>
      </c>
    </row>
    <row r="1716" spans="1:8" ht="30" x14ac:dyDescent="0.25">
      <c r="A1716" s="17" t="s">
        <v>4196</v>
      </c>
      <c r="B1716" s="17" t="s">
        <v>4193</v>
      </c>
      <c r="C1716" s="17" t="s">
        <v>271</v>
      </c>
      <c r="D1716" s="17" t="s">
        <v>269</v>
      </c>
      <c r="E1716" s="17">
        <v>5.2359699999999999E-4</v>
      </c>
      <c r="F1716" s="6" t="s">
        <v>233</v>
      </c>
      <c r="G1716" s="6" t="s">
        <v>234</v>
      </c>
      <c r="H1716" s="6">
        <v>3</v>
      </c>
    </row>
    <row r="1717" spans="1:8" ht="30" x14ac:dyDescent="0.25">
      <c r="A1717" s="17" t="s">
        <v>4197</v>
      </c>
      <c r="B1717" s="17" t="s">
        <v>4198</v>
      </c>
      <c r="C1717" s="17" t="s">
        <v>271</v>
      </c>
      <c r="D1717" s="17" t="s">
        <v>269</v>
      </c>
      <c r="E1717" s="17">
        <v>5.2359699999999999E-4</v>
      </c>
      <c r="F1717" s="6" t="s">
        <v>233</v>
      </c>
      <c r="G1717" s="6" t="s">
        <v>234</v>
      </c>
      <c r="H1717" s="6">
        <v>3</v>
      </c>
    </row>
    <row r="1718" spans="1:8" ht="30" x14ac:dyDescent="0.25">
      <c r="A1718" s="17" t="s">
        <v>4199</v>
      </c>
      <c r="B1718" s="17" t="s">
        <v>4200</v>
      </c>
      <c r="C1718" s="17" t="s">
        <v>271</v>
      </c>
      <c r="D1718" s="17" t="s">
        <v>269</v>
      </c>
      <c r="E1718" s="17">
        <v>5.2359699999999999E-4</v>
      </c>
      <c r="F1718" s="6" t="s">
        <v>233</v>
      </c>
      <c r="G1718" s="6" t="s">
        <v>234</v>
      </c>
      <c r="H1718" s="6">
        <v>3</v>
      </c>
    </row>
    <row r="1719" spans="1:8" ht="30" x14ac:dyDescent="0.25">
      <c r="A1719" s="17" t="s">
        <v>4201</v>
      </c>
      <c r="B1719" s="17" t="s">
        <v>4150</v>
      </c>
      <c r="C1719" s="17" t="s">
        <v>271</v>
      </c>
      <c r="D1719" s="17" t="s">
        <v>269</v>
      </c>
      <c r="E1719" s="17">
        <v>5.2359699999999999E-4</v>
      </c>
      <c r="F1719" s="6" t="s">
        <v>233</v>
      </c>
      <c r="G1719" s="6" t="s">
        <v>234</v>
      </c>
      <c r="H1719" s="6">
        <v>3</v>
      </c>
    </row>
    <row r="1720" spans="1:8" ht="30" x14ac:dyDescent="0.25">
      <c r="A1720" s="17" t="s">
        <v>4202</v>
      </c>
      <c r="B1720" s="17" t="s">
        <v>4200</v>
      </c>
      <c r="C1720" s="17" t="s">
        <v>271</v>
      </c>
      <c r="D1720" s="17" t="s">
        <v>269</v>
      </c>
      <c r="E1720" s="17">
        <v>5.2359699999999999E-4</v>
      </c>
      <c r="F1720" s="6" t="s">
        <v>233</v>
      </c>
      <c r="G1720" s="6" t="s">
        <v>234</v>
      </c>
      <c r="H1720" s="6">
        <v>3</v>
      </c>
    </row>
    <row r="1721" spans="1:8" ht="30" x14ac:dyDescent="0.25">
      <c r="A1721" s="17" t="s">
        <v>4203</v>
      </c>
      <c r="B1721" s="17" t="s">
        <v>4200</v>
      </c>
      <c r="C1721" s="17" t="s">
        <v>271</v>
      </c>
      <c r="D1721" s="17" t="s">
        <v>269</v>
      </c>
      <c r="E1721" s="17">
        <v>5.2359699999999999E-4</v>
      </c>
      <c r="F1721" s="6" t="s">
        <v>233</v>
      </c>
      <c r="G1721" s="6" t="s">
        <v>234</v>
      </c>
      <c r="H1721" s="6">
        <v>3</v>
      </c>
    </row>
    <row r="1722" spans="1:8" ht="30" x14ac:dyDescent="0.25">
      <c r="A1722" s="17" t="s">
        <v>4204</v>
      </c>
      <c r="B1722" s="17" t="s">
        <v>4178</v>
      </c>
      <c r="C1722" s="17" t="s">
        <v>271</v>
      </c>
      <c r="D1722" s="17" t="s">
        <v>269</v>
      </c>
      <c r="E1722" s="17">
        <v>5.2359699999999999E-4</v>
      </c>
      <c r="F1722" s="6" t="s">
        <v>233</v>
      </c>
      <c r="G1722" s="6" t="s">
        <v>234</v>
      </c>
      <c r="H1722" s="6">
        <v>3</v>
      </c>
    </row>
    <row r="1723" spans="1:8" ht="30" x14ac:dyDescent="0.25">
      <c r="A1723" s="17" t="s">
        <v>4205</v>
      </c>
      <c r="B1723" s="17" t="s">
        <v>4206</v>
      </c>
      <c r="C1723" s="17" t="s">
        <v>271</v>
      </c>
      <c r="D1723" s="17" t="s">
        <v>269</v>
      </c>
      <c r="E1723" s="17">
        <v>5.2359699999999999E-4</v>
      </c>
      <c r="F1723" s="6" t="s">
        <v>233</v>
      </c>
      <c r="G1723" s="6" t="s">
        <v>234</v>
      </c>
      <c r="H1723" s="6">
        <v>3</v>
      </c>
    </row>
    <row r="1724" spans="1:8" ht="30" x14ac:dyDescent="0.25">
      <c r="A1724" s="17" t="s">
        <v>4207</v>
      </c>
      <c r="B1724" s="17" t="s">
        <v>4157</v>
      </c>
      <c r="C1724" s="17" t="s">
        <v>271</v>
      </c>
      <c r="D1724" s="17" t="s">
        <v>269</v>
      </c>
      <c r="E1724" s="17">
        <v>5.2359699999999999E-4</v>
      </c>
      <c r="F1724" s="6" t="s">
        <v>233</v>
      </c>
      <c r="G1724" s="6" t="s">
        <v>234</v>
      </c>
      <c r="H1724" s="6">
        <v>3</v>
      </c>
    </row>
    <row r="1725" spans="1:8" ht="30" x14ac:dyDescent="0.25">
      <c r="A1725" s="17" t="s">
        <v>4208</v>
      </c>
      <c r="B1725" s="17" t="s">
        <v>4209</v>
      </c>
      <c r="C1725" s="17" t="s">
        <v>271</v>
      </c>
      <c r="D1725" s="17" t="s">
        <v>269</v>
      </c>
      <c r="E1725" s="17">
        <v>5.2359699999999999E-4</v>
      </c>
      <c r="F1725" s="6" t="s">
        <v>233</v>
      </c>
      <c r="G1725" s="6" t="s">
        <v>234</v>
      </c>
      <c r="H1725" s="6">
        <v>3</v>
      </c>
    </row>
    <row r="1726" spans="1:8" ht="30" x14ac:dyDescent="0.25">
      <c r="A1726" s="17" t="s">
        <v>4210</v>
      </c>
      <c r="B1726" s="17" t="s">
        <v>4150</v>
      </c>
      <c r="C1726" s="17" t="s">
        <v>271</v>
      </c>
      <c r="D1726" s="17" t="s">
        <v>269</v>
      </c>
      <c r="E1726" s="17">
        <v>5.2359699999999999E-4</v>
      </c>
      <c r="F1726" s="6" t="s">
        <v>233</v>
      </c>
      <c r="G1726" s="6" t="s">
        <v>234</v>
      </c>
      <c r="H1726" s="6">
        <v>3</v>
      </c>
    </row>
    <row r="1727" spans="1:8" ht="30" x14ac:dyDescent="0.25">
      <c r="A1727" s="17" t="s">
        <v>4211</v>
      </c>
      <c r="B1727" s="17" t="s">
        <v>4181</v>
      </c>
      <c r="C1727" s="17" t="s">
        <v>271</v>
      </c>
      <c r="D1727" s="17" t="s">
        <v>269</v>
      </c>
      <c r="E1727" s="17">
        <v>5.2359699999999999E-4</v>
      </c>
      <c r="F1727" s="6" t="s">
        <v>233</v>
      </c>
      <c r="G1727" s="6" t="s">
        <v>234</v>
      </c>
      <c r="H1727" s="6">
        <v>3</v>
      </c>
    </row>
    <row r="1728" spans="1:8" ht="30" x14ac:dyDescent="0.25">
      <c r="A1728" s="17" t="s">
        <v>4212</v>
      </c>
      <c r="B1728" s="17" t="s">
        <v>4213</v>
      </c>
      <c r="C1728" s="17" t="s">
        <v>271</v>
      </c>
      <c r="D1728" s="17" t="s">
        <v>269</v>
      </c>
      <c r="E1728" s="17">
        <v>5.2359699999999999E-4</v>
      </c>
      <c r="F1728" s="6" t="s">
        <v>233</v>
      </c>
      <c r="G1728" s="6" t="s">
        <v>234</v>
      </c>
      <c r="H1728" s="6">
        <v>3</v>
      </c>
    </row>
    <row r="1729" spans="1:8" ht="30" x14ac:dyDescent="0.25">
      <c r="A1729" s="17" t="s">
        <v>1202</v>
      </c>
      <c r="B1729" s="17" t="s">
        <v>4183</v>
      </c>
      <c r="C1729" s="17" t="s">
        <v>271</v>
      </c>
      <c r="D1729" s="17" t="s">
        <v>269</v>
      </c>
      <c r="E1729" s="17">
        <v>5.2359699999999999E-4</v>
      </c>
      <c r="F1729" s="6" t="s">
        <v>233</v>
      </c>
      <c r="G1729" s="6" t="s">
        <v>234</v>
      </c>
      <c r="H1729" s="6">
        <v>3</v>
      </c>
    </row>
    <row r="1730" spans="1:8" ht="30" x14ac:dyDescent="0.25">
      <c r="A1730" s="17" t="s">
        <v>4214</v>
      </c>
      <c r="B1730" s="17" t="s">
        <v>4157</v>
      </c>
      <c r="C1730" s="17" t="s">
        <v>271</v>
      </c>
      <c r="D1730" s="17" t="s">
        <v>269</v>
      </c>
      <c r="E1730" s="17">
        <v>5.2359699999999999E-4</v>
      </c>
      <c r="F1730" s="6" t="s">
        <v>233</v>
      </c>
      <c r="G1730" s="6" t="s">
        <v>234</v>
      </c>
      <c r="H1730" s="6">
        <v>3</v>
      </c>
    </row>
    <row r="1731" spans="1:8" ht="30" x14ac:dyDescent="0.25">
      <c r="A1731" s="17" t="s">
        <v>4215</v>
      </c>
      <c r="B1731" s="17" t="s">
        <v>4209</v>
      </c>
      <c r="C1731" s="17" t="s">
        <v>271</v>
      </c>
      <c r="D1731" s="17" t="s">
        <v>269</v>
      </c>
      <c r="E1731" s="17">
        <v>5.2359699999999999E-4</v>
      </c>
      <c r="F1731" s="6" t="s">
        <v>233</v>
      </c>
      <c r="G1731" s="6" t="s">
        <v>234</v>
      </c>
      <c r="H1731" s="6">
        <v>3</v>
      </c>
    </row>
    <row r="1732" spans="1:8" ht="30" x14ac:dyDescent="0.25">
      <c r="A1732" s="17" t="s">
        <v>4216</v>
      </c>
      <c r="B1732" s="17" t="s">
        <v>4217</v>
      </c>
      <c r="C1732" s="17" t="s">
        <v>271</v>
      </c>
      <c r="D1732" s="17" t="s">
        <v>269</v>
      </c>
      <c r="E1732" s="17">
        <v>5.2359699999999999E-4</v>
      </c>
      <c r="F1732" s="6" t="s">
        <v>233</v>
      </c>
      <c r="G1732" s="6" t="s">
        <v>234</v>
      </c>
      <c r="H1732" s="6">
        <v>3</v>
      </c>
    </row>
    <row r="1733" spans="1:8" ht="30" x14ac:dyDescent="0.25">
      <c r="A1733" s="17" t="s">
        <v>4218</v>
      </c>
      <c r="B1733" s="17" t="s">
        <v>4219</v>
      </c>
      <c r="C1733" s="17" t="s">
        <v>271</v>
      </c>
      <c r="D1733" s="17" t="s">
        <v>269</v>
      </c>
      <c r="E1733" s="17">
        <v>5.2359699999999999E-4</v>
      </c>
      <c r="F1733" s="6" t="s">
        <v>233</v>
      </c>
      <c r="G1733" s="6" t="s">
        <v>234</v>
      </c>
      <c r="H1733" s="6">
        <v>3</v>
      </c>
    </row>
    <row r="1734" spans="1:8" ht="30" x14ac:dyDescent="0.25">
      <c r="A1734" s="17" t="s">
        <v>4220</v>
      </c>
      <c r="B1734" s="17" t="s">
        <v>4221</v>
      </c>
      <c r="C1734" s="17" t="s">
        <v>271</v>
      </c>
      <c r="D1734" s="17" t="s">
        <v>269</v>
      </c>
      <c r="E1734" s="17">
        <v>5.2359699999999999E-4</v>
      </c>
      <c r="F1734" s="6" t="s">
        <v>233</v>
      </c>
      <c r="G1734" s="6" t="s">
        <v>234</v>
      </c>
      <c r="H1734" s="6">
        <v>3</v>
      </c>
    </row>
    <row r="1735" spans="1:8" ht="30" x14ac:dyDescent="0.25">
      <c r="A1735" s="17" t="s">
        <v>4222</v>
      </c>
      <c r="B1735" s="17" t="s">
        <v>4223</v>
      </c>
      <c r="C1735" s="17" t="s">
        <v>271</v>
      </c>
      <c r="D1735" s="17" t="s">
        <v>269</v>
      </c>
      <c r="E1735" s="17">
        <v>5.2359699999999999E-4</v>
      </c>
      <c r="F1735" s="6" t="s">
        <v>233</v>
      </c>
      <c r="G1735" s="6" t="s">
        <v>234</v>
      </c>
      <c r="H1735" s="6">
        <v>3</v>
      </c>
    </row>
    <row r="1736" spans="1:8" ht="30" x14ac:dyDescent="0.25">
      <c r="A1736" s="17" t="s">
        <v>4224</v>
      </c>
      <c r="B1736" s="17" t="s">
        <v>4225</v>
      </c>
      <c r="C1736" s="17" t="s">
        <v>271</v>
      </c>
      <c r="D1736" s="17" t="s">
        <v>269</v>
      </c>
      <c r="E1736" s="17">
        <v>5.2359699999999999E-4</v>
      </c>
      <c r="F1736" s="6" t="s">
        <v>233</v>
      </c>
      <c r="G1736" s="6" t="s">
        <v>234</v>
      </c>
      <c r="H1736" s="6">
        <v>3</v>
      </c>
    </row>
    <row r="1737" spans="1:8" ht="30" x14ac:dyDescent="0.25">
      <c r="A1737" s="17" t="s">
        <v>4226</v>
      </c>
      <c r="B1737" s="17" t="s">
        <v>4227</v>
      </c>
      <c r="C1737" s="17" t="s">
        <v>301</v>
      </c>
      <c r="D1737" s="17" t="s">
        <v>299</v>
      </c>
      <c r="E1737" s="17">
        <v>6.3590900000000004E-4</v>
      </c>
      <c r="F1737" s="6" t="s">
        <v>233</v>
      </c>
      <c r="G1737" s="6" t="s">
        <v>234</v>
      </c>
      <c r="H1737" s="6">
        <v>3</v>
      </c>
    </row>
    <row r="1738" spans="1:8" ht="30" x14ac:dyDescent="0.25">
      <c r="A1738" s="17" t="s">
        <v>4228</v>
      </c>
      <c r="B1738" s="17" t="s">
        <v>4229</v>
      </c>
      <c r="C1738" s="17" t="s">
        <v>271</v>
      </c>
      <c r="D1738" s="17" t="s">
        <v>269</v>
      </c>
      <c r="E1738" s="17">
        <v>5.2359699999999999E-4</v>
      </c>
      <c r="F1738" s="6" t="s">
        <v>233</v>
      </c>
      <c r="G1738" s="6" t="s">
        <v>234</v>
      </c>
      <c r="H1738" s="6">
        <v>3</v>
      </c>
    </row>
    <row r="1739" spans="1:8" ht="30" x14ac:dyDescent="0.25">
      <c r="A1739" s="17" t="s">
        <v>4230</v>
      </c>
      <c r="B1739" s="17" t="s">
        <v>4148</v>
      </c>
      <c r="C1739" s="17" t="s">
        <v>271</v>
      </c>
      <c r="D1739" s="17" t="s">
        <v>269</v>
      </c>
      <c r="E1739" s="17">
        <v>5.2359699999999999E-4</v>
      </c>
      <c r="F1739" s="6" t="s">
        <v>233</v>
      </c>
      <c r="G1739" s="6" t="s">
        <v>234</v>
      </c>
      <c r="H1739" s="6">
        <v>3</v>
      </c>
    </row>
    <row r="1740" spans="1:8" ht="30" x14ac:dyDescent="0.25">
      <c r="A1740" s="17" t="s">
        <v>4231</v>
      </c>
      <c r="B1740" s="17" t="s">
        <v>4148</v>
      </c>
      <c r="C1740" s="17" t="s">
        <v>271</v>
      </c>
      <c r="D1740" s="17" t="s">
        <v>269</v>
      </c>
      <c r="E1740" s="17">
        <v>5.2359699999999999E-4</v>
      </c>
      <c r="F1740" s="6" t="s">
        <v>233</v>
      </c>
      <c r="G1740" s="6" t="s">
        <v>234</v>
      </c>
      <c r="H1740" s="6">
        <v>3</v>
      </c>
    </row>
    <row r="1741" spans="1:8" ht="30" x14ac:dyDescent="0.25">
      <c r="A1741" s="17" t="s">
        <v>1233</v>
      </c>
      <c r="B1741" s="17" t="s">
        <v>4232</v>
      </c>
      <c r="C1741" s="17" t="s">
        <v>271</v>
      </c>
      <c r="D1741" s="17" t="s">
        <v>269</v>
      </c>
      <c r="E1741" s="17">
        <v>5.2359699999999999E-4</v>
      </c>
      <c r="F1741" s="6" t="s">
        <v>233</v>
      </c>
      <c r="G1741" s="6" t="s">
        <v>234</v>
      </c>
      <c r="H1741" s="6">
        <v>3</v>
      </c>
    </row>
    <row r="1742" spans="1:8" ht="30" x14ac:dyDescent="0.25">
      <c r="A1742" s="17" t="s">
        <v>1145</v>
      </c>
      <c r="B1742" s="17" t="s">
        <v>4232</v>
      </c>
      <c r="C1742" s="17" t="s">
        <v>271</v>
      </c>
      <c r="D1742" s="17" t="s">
        <v>269</v>
      </c>
      <c r="E1742" s="17">
        <v>5.2359699999999999E-4</v>
      </c>
      <c r="F1742" s="6" t="s">
        <v>233</v>
      </c>
      <c r="G1742" s="6" t="s">
        <v>234</v>
      </c>
      <c r="H1742" s="6">
        <v>3</v>
      </c>
    </row>
    <row r="1743" spans="1:8" ht="30" x14ac:dyDescent="0.25">
      <c r="A1743" s="17" t="s">
        <v>4233</v>
      </c>
      <c r="B1743" s="17" t="s">
        <v>4178</v>
      </c>
      <c r="C1743" s="17" t="s">
        <v>271</v>
      </c>
      <c r="D1743" s="17" t="s">
        <v>269</v>
      </c>
      <c r="E1743" s="17">
        <v>5.2359699999999999E-4</v>
      </c>
      <c r="F1743" s="6" t="s">
        <v>233</v>
      </c>
      <c r="G1743" s="6" t="s">
        <v>234</v>
      </c>
      <c r="H1743" s="6">
        <v>3</v>
      </c>
    </row>
    <row r="1744" spans="1:8" ht="30" x14ac:dyDescent="0.25">
      <c r="A1744" s="17" t="s">
        <v>4234</v>
      </c>
      <c r="B1744" s="17" t="s">
        <v>4235</v>
      </c>
      <c r="C1744" s="17" t="s">
        <v>271</v>
      </c>
      <c r="D1744" s="17" t="s">
        <v>269</v>
      </c>
      <c r="E1744" s="17">
        <v>5.2359699999999999E-4</v>
      </c>
      <c r="F1744" s="6" t="s">
        <v>233</v>
      </c>
      <c r="G1744" s="6" t="s">
        <v>234</v>
      </c>
      <c r="H1744" s="6">
        <v>3</v>
      </c>
    </row>
    <row r="1745" spans="1:8" ht="30" x14ac:dyDescent="0.25">
      <c r="A1745" s="17" t="s">
        <v>1236</v>
      </c>
      <c r="B1745" s="17" t="s">
        <v>4236</v>
      </c>
      <c r="C1745" s="17" t="s">
        <v>271</v>
      </c>
      <c r="D1745" s="17" t="s">
        <v>269</v>
      </c>
      <c r="E1745" s="17">
        <v>5.2359699999999999E-4</v>
      </c>
      <c r="F1745" s="6" t="s">
        <v>233</v>
      </c>
      <c r="G1745" s="6" t="s">
        <v>234</v>
      </c>
      <c r="H1745" s="6">
        <v>3</v>
      </c>
    </row>
    <row r="1746" spans="1:8" ht="30" x14ac:dyDescent="0.25">
      <c r="A1746" s="17" t="s">
        <v>4237</v>
      </c>
      <c r="B1746" s="17" t="s">
        <v>4238</v>
      </c>
      <c r="C1746" s="17" t="s">
        <v>271</v>
      </c>
      <c r="D1746" s="17" t="s">
        <v>269</v>
      </c>
      <c r="E1746" s="17">
        <v>5.2359699999999999E-4</v>
      </c>
      <c r="F1746" s="6" t="s">
        <v>233</v>
      </c>
      <c r="G1746" s="6" t="s">
        <v>234</v>
      </c>
      <c r="H1746" s="6">
        <v>3</v>
      </c>
    </row>
    <row r="1747" spans="1:8" ht="30" x14ac:dyDescent="0.25">
      <c r="A1747" s="17" t="s">
        <v>4239</v>
      </c>
      <c r="B1747" s="17" t="s">
        <v>4240</v>
      </c>
      <c r="C1747" s="17" t="s">
        <v>301</v>
      </c>
      <c r="D1747" s="17" t="s">
        <v>299</v>
      </c>
      <c r="E1747" s="17">
        <v>6.3590900000000004E-4</v>
      </c>
      <c r="F1747" s="6" t="s">
        <v>233</v>
      </c>
      <c r="G1747" s="6" t="s">
        <v>234</v>
      </c>
      <c r="H1747" s="6">
        <v>3</v>
      </c>
    </row>
    <row r="1748" spans="1:8" ht="30" x14ac:dyDescent="0.25">
      <c r="A1748" s="17" t="s">
        <v>3863</v>
      </c>
      <c r="B1748" s="17" t="s">
        <v>4001</v>
      </c>
      <c r="C1748" s="17" t="s">
        <v>301</v>
      </c>
      <c r="D1748" s="17" t="s">
        <v>299</v>
      </c>
      <c r="E1748" s="17">
        <v>6.3590900000000004E-4</v>
      </c>
      <c r="F1748" s="6" t="s">
        <v>233</v>
      </c>
      <c r="G1748" s="6" t="s">
        <v>234</v>
      </c>
      <c r="H1748" s="6">
        <v>3</v>
      </c>
    </row>
    <row r="1749" spans="1:8" ht="30" x14ac:dyDescent="0.25">
      <c r="A1749" s="17" t="s">
        <v>4241</v>
      </c>
      <c r="B1749" s="17" t="s">
        <v>4076</v>
      </c>
      <c r="C1749" s="17" t="s">
        <v>301</v>
      </c>
      <c r="D1749" s="17" t="s">
        <v>299</v>
      </c>
      <c r="E1749" s="17">
        <v>6.3590900000000004E-4</v>
      </c>
      <c r="F1749" s="6" t="s">
        <v>233</v>
      </c>
      <c r="G1749" s="6" t="s">
        <v>234</v>
      </c>
      <c r="H1749" s="6">
        <v>3</v>
      </c>
    </row>
    <row r="1750" spans="1:8" ht="30" x14ac:dyDescent="0.25">
      <c r="A1750" s="17" t="s">
        <v>4242</v>
      </c>
      <c r="B1750" s="17" t="s">
        <v>4018</v>
      </c>
      <c r="C1750" s="17" t="s">
        <v>271</v>
      </c>
      <c r="D1750" s="17" t="s">
        <v>269</v>
      </c>
      <c r="E1750" s="17">
        <v>5.2359699999999999E-4</v>
      </c>
      <c r="F1750" s="6" t="s">
        <v>233</v>
      </c>
      <c r="G1750" s="6" t="s">
        <v>234</v>
      </c>
      <c r="H1750" s="6">
        <v>3</v>
      </c>
    </row>
    <row r="1751" spans="1:8" ht="30" x14ac:dyDescent="0.25">
      <c r="A1751" s="17" t="s">
        <v>4243</v>
      </c>
      <c r="B1751" s="17" t="s">
        <v>4076</v>
      </c>
      <c r="C1751" s="17" t="s">
        <v>301</v>
      </c>
      <c r="D1751" s="17" t="s">
        <v>299</v>
      </c>
      <c r="E1751" s="17">
        <v>6.3590900000000004E-4</v>
      </c>
      <c r="F1751" s="6" t="s">
        <v>233</v>
      </c>
      <c r="G1751" s="6" t="s">
        <v>234</v>
      </c>
      <c r="H1751" s="6">
        <v>3</v>
      </c>
    </row>
    <row r="1752" spans="1:8" ht="30" x14ac:dyDescent="0.25">
      <c r="A1752" s="17" t="s">
        <v>4244</v>
      </c>
      <c r="B1752" s="17" t="s">
        <v>4245</v>
      </c>
      <c r="C1752" s="17" t="s">
        <v>271</v>
      </c>
      <c r="D1752" s="17" t="s">
        <v>269</v>
      </c>
      <c r="E1752" s="17">
        <v>5.2359699999999999E-4</v>
      </c>
      <c r="F1752" s="6" t="s">
        <v>233</v>
      </c>
      <c r="G1752" s="6" t="s">
        <v>234</v>
      </c>
      <c r="H1752" s="6">
        <v>3</v>
      </c>
    </row>
    <row r="1753" spans="1:8" ht="30" x14ac:dyDescent="0.25">
      <c r="A1753" s="17" t="s">
        <v>4246</v>
      </c>
      <c r="B1753" s="17" t="s">
        <v>4247</v>
      </c>
      <c r="C1753" s="17" t="s">
        <v>346</v>
      </c>
      <c r="D1753" s="17" t="s">
        <v>1275</v>
      </c>
      <c r="E1753" s="17">
        <v>2.10657E-4</v>
      </c>
      <c r="F1753" s="6" t="s">
        <v>233</v>
      </c>
      <c r="G1753" s="6" t="s">
        <v>234</v>
      </c>
      <c r="H1753" s="6">
        <v>3</v>
      </c>
    </row>
    <row r="1754" spans="1:8" ht="30" x14ac:dyDescent="0.25">
      <c r="A1754" s="17" t="s">
        <v>4248</v>
      </c>
      <c r="B1754" s="17" t="s">
        <v>3887</v>
      </c>
      <c r="C1754" s="17" t="s">
        <v>271</v>
      </c>
      <c r="D1754" s="17" t="s">
        <v>269</v>
      </c>
      <c r="E1754" s="17">
        <v>5.2359699999999999E-4</v>
      </c>
      <c r="F1754" s="6" t="s">
        <v>233</v>
      </c>
      <c r="G1754" s="6" t="s">
        <v>234</v>
      </c>
      <c r="H1754" s="6">
        <v>3</v>
      </c>
    </row>
    <row r="1755" spans="1:8" ht="30" x14ac:dyDescent="0.25">
      <c r="A1755" s="17" t="s">
        <v>4249</v>
      </c>
      <c r="B1755" s="17" t="s">
        <v>4250</v>
      </c>
      <c r="C1755" s="17" t="s">
        <v>271</v>
      </c>
      <c r="D1755" s="17" t="s">
        <v>269</v>
      </c>
      <c r="E1755" s="17">
        <v>5.2359699999999999E-4</v>
      </c>
      <c r="F1755" s="6" t="s">
        <v>233</v>
      </c>
      <c r="G1755" s="6" t="s">
        <v>234</v>
      </c>
      <c r="H1755" s="6">
        <v>3</v>
      </c>
    </row>
    <row r="1756" spans="1:8" ht="30" x14ac:dyDescent="0.25">
      <c r="A1756" s="17" t="s">
        <v>4251</v>
      </c>
      <c r="B1756" s="17" t="s">
        <v>4252</v>
      </c>
      <c r="C1756" s="17" t="s">
        <v>271</v>
      </c>
      <c r="D1756" s="17" t="s">
        <v>269</v>
      </c>
      <c r="E1756" s="17">
        <v>5.2359699999999999E-4</v>
      </c>
      <c r="F1756" s="6" t="s">
        <v>233</v>
      </c>
      <c r="G1756" s="6" t="s">
        <v>234</v>
      </c>
      <c r="H1756" s="6">
        <v>3</v>
      </c>
    </row>
    <row r="1757" spans="1:8" ht="30" x14ac:dyDescent="0.25">
      <c r="A1757" s="17" t="s">
        <v>4253</v>
      </c>
      <c r="B1757" s="17" t="s">
        <v>4252</v>
      </c>
      <c r="C1757" s="17" t="s">
        <v>271</v>
      </c>
      <c r="D1757" s="17" t="s">
        <v>269</v>
      </c>
      <c r="E1757" s="17">
        <v>5.2359699999999999E-4</v>
      </c>
      <c r="F1757" s="6" t="s">
        <v>233</v>
      </c>
      <c r="G1757" s="6" t="s">
        <v>234</v>
      </c>
      <c r="H1757" s="6">
        <v>3</v>
      </c>
    </row>
    <row r="1758" spans="1:8" ht="30" x14ac:dyDescent="0.25">
      <c r="A1758" s="17" t="s">
        <v>4254</v>
      </c>
      <c r="B1758" s="17" t="s">
        <v>4255</v>
      </c>
      <c r="C1758" s="17" t="s">
        <v>271</v>
      </c>
      <c r="D1758" s="17" t="s">
        <v>269</v>
      </c>
      <c r="E1758" s="17">
        <v>5.2359699999999999E-4</v>
      </c>
      <c r="F1758" s="6" t="s">
        <v>233</v>
      </c>
      <c r="G1758" s="6" t="s">
        <v>234</v>
      </c>
      <c r="H1758" s="6">
        <v>3</v>
      </c>
    </row>
    <row r="1759" spans="1:8" ht="30" x14ac:dyDescent="0.25">
      <c r="A1759" s="17" t="s">
        <v>4256</v>
      </c>
      <c r="B1759" s="17" t="s">
        <v>4257</v>
      </c>
      <c r="C1759" s="17" t="s">
        <v>271</v>
      </c>
      <c r="D1759" s="17" t="s">
        <v>269</v>
      </c>
      <c r="E1759" s="17">
        <v>5.2359699999999999E-4</v>
      </c>
      <c r="F1759" s="6" t="s">
        <v>233</v>
      </c>
      <c r="G1759" s="6" t="s">
        <v>234</v>
      </c>
      <c r="H1759" s="6">
        <v>3</v>
      </c>
    </row>
    <row r="1760" spans="1:8" ht="30" x14ac:dyDescent="0.25">
      <c r="A1760" s="17" t="s">
        <v>4258</v>
      </c>
      <c r="B1760" s="17" t="s">
        <v>4257</v>
      </c>
      <c r="C1760" s="17" t="s">
        <v>271</v>
      </c>
      <c r="D1760" s="17" t="s">
        <v>269</v>
      </c>
      <c r="E1760" s="17">
        <v>5.2359699999999999E-4</v>
      </c>
      <c r="F1760" s="6" t="s">
        <v>233</v>
      </c>
      <c r="G1760" s="6" t="s">
        <v>234</v>
      </c>
      <c r="H1760" s="6">
        <v>3</v>
      </c>
    </row>
    <row r="1761" spans="1:8" ht="30" x14ac:dyDescent="0.25">
      <c r="A1761" s="17" t="s">
        <v>4259</v>
      </c>
      <c r="B1761" s="17" t="s">
        <v>4260</v>
      </c>
      <c r="C1761" s="17" t="s">
        <v>271</v>
      </c>
      <c r="D1761" s="17" t="s">
        <v>269</v>
      </c>
      <c r="E1761" s="17">
        <v>5.2359699999999999E-4</v>
      </c>
      <c r="F1761" s="6" t="s">
        <v>233</v>
      </c>
      <c r="G1761" s="6" t="s">
        <v>234</v>
      </c>
      <c r="H1761" s="6">
        <v>3</v>
      </c>
    </row>
    <row r="1762" spans="1:8" ht="30" x14ac:dyDescent="0.25">
      <c r="A1762" s="17" t="s">
        <v>4261</v>
      </c>
      <c r="B1762" s="17" t="s">
        <v>4260</v>
      </c>
      <c r="C1762" s="17" t="s">
        <v>271</v>
      </c>
      <c r="D1762" s="17" t="s">
        <v>269</v>
      </c>
      <c r="E1762" s="17">
        <v>5.2359699999999999E-4</v>
      </c>
      <c r="F1762" s="6" t="s">
        <v>233</v>
      </c>
      <c r="G1762" s="6" t="s">
        <v>234</v>
      </c>
      <c r="H1762" s="6">
        <v>3</v>
      </c>
    </row>
    <row r="1763" spans="1:8" ht="30" x14ac:dyDescent="0.25">
      <c r="A1763" s="17" t="s">
        <v>4262</v>
      </c>
      <c r="B1763" s="17" t="s">
        <v>4263</v>
      </c>
      <c r="C1763" s="17" t="s">
        <v>271</v>
      </c>
      <c r="D1763" s="17" t="s">
        <v>269</v>
      </c>
      <c r="E1763" s="17">
        <v>5.2359699999999999E-4</v>
      </c>
      <c r="F1763" s="6" t="s">
        <v>233</v>
      </c>
      <c r="G1763" s="6" t="s">
        <v>234</v>
      </c>
      <c r="H1763" s="6">
        <v>3</v>
      </c>
    </row>
    <row r="1764" spans="1:8" ht="30" x14ac:dyDescent="0.25">
      <c r="A1764" s="17" t="s">
        <v>4264</v>
      </c>
      <c r="B1764" s="17" t="s">
        <v>4265</v>
      </c>
      <c r="C1764" s="17" t="s">
        <v>271</v>
      </c>
      <c r="D1764" s="17" t="s">
        <v>269</v>
      </c>
      <c r="E1764" s="17">
        <v>5.2359699999999999E-4</v>
      </c>
      <c r="F1764" s="6" t="s">
        <v>233</v>
      </c>
      <c r="G1764" s="6" t="s">
        <v>234</v>
      </c>
      <c r="H1764" s="6">
        <v>3</v>
      </c>
    </row>
    <row r="1765" spans="1:8" ht="30" x14ac:dyDescent="0.25">
      <c r="A1765" s="17" t="s">
        <v>4266</v>
      </c>
      <c r="B1765" s="17" t="s">
        <v>4267</v>
      </c>
      <c r="C1765" s="17" t="s">
        <v>271</v>
      </c>
      <c r="D1765" s="17" t="s">
        <v>269</v>
      </c>
      <c r="E1765" s="17">
        <v>5.2359699999999999E-4</v>
      </c>
      <c r="F1765" s="6" t="s">
        <v>233</v>
      </c>
      <c r="G1765" s="6" t="s">
        <v>234</v>
      </c>
      <c r="H1765" s="6">
        <v>3</v>
      </c>
    </row>
    <row r="1766" spans="1:8" ht="30" x14ac:dyDescent="0.25">
      <c r="A1766" s="17" t="s">
        <v>4268</v>
      </c>
      <c r="B1766" s="17" t="s">
        <v>4269</v>
      </c>
      <c r="C1766" s="17" t="s">
        <v>271</v>
      </c>
      <c r="D1766" s="17" t="s">
        <v>269</v>
      </c>
      <c r="E1766" s="17">
        <v>5.2359699999999999E-4</v>
      </c>
      <c r="F1766" s="6" t="s">
        <v>233</v>
      </c>
      <c r="G1766" s="6" t="s">
        <v>234</v>
      </c>
      <c r="H1766" s="6">
        <v>3</v>
      </c>
    </row>
    <row r="1767" spans="1:8" ht="30" x14ac:dyDescent="0.25">
      <c r="A1767" s="17" t="s">
        <v>4270</v>
      </c>
      <c r="B1767" s="17" t="s">
        <v>4271</v>
      </c>
      <c r="C1767" s="17" t="s">
        <v>271</v>
      </c>
      <c r="D1767" s="17" t="s">
        <v>269</v>
      </c>
      <c r="E1767" s="17">
        <v>5.2359699999999999E-4</v>
      </c>
      <c r="F1767" s="6" t="s">
        <v>233</v>
      </c>
      <c r="G1767" s="6" t="s">
        <v>234</v>
      </c>
      <c r="H1767" s="6">
        <v>3</v>
      </c>
    </row>
    <row r="1768" spans="1:8" ht="30" x14ac:dyDescent="0.25">
      <c r="A1768" s="17" t="s">
        <v>4272</v>
      </c>
      <c r="B1768" s="17" t="s">
        <v>4273</v>
      </c>
      <c r="C1768" s="17" t="s">
        <v>271</v>
      </c>
      <c r="D1768" s="17" t="s">
        <v>269</v>
      </c>
      <c r="E1768" s="17">
        <v>5.2359699999999999E-4</v>
      </c>
      <c r="F1768" s="6" t="s">
        <v>233</v>
      </c>
      <c r="G1768" s="6" t="s">
        <v>234</v>
      </c>
      <c r="H1768" s="6">
        <v>3</v>
      </c>
    </row>
    <row r="1769" spans="1:8" ht="30" x14ac:dyDescent="0.25">
      <c r="A1769" s="17" t="s">
        <v>4274</v>
      </c>
      <c r="B1769" s="17" t="s">
        <v>4275</v>
      </c>
      <c r="C1769" s="17" t="s">
        <v>271</v>
      </c>
      <c r="D1769" s="17" t="s">
        <v>269</v>
      </c>
      <c r="E1769" s="17">
        <v>5.2359699999999999E-4</v>
      </c>
      <c r="F1769" s="6" t="s">
        <v>233</v>
      </c>
      <c r="G1769" s="6" t="s">
        <v>234</v>
      </c>
      <c r="H1769" s="6">
        <v>3</v>
      </c>
    </row>
    <row r="1770" spans="1:8" ht="30" x14ac:dyDescent="0.25">
      <c r="A1770" s="17" t="s">
        <v>4276</v>
      </c>
      <c r="B1770" s="17" t="s">
        <v>4277</v>
      </c>
      <c r="C1770" s="17" t="s">
        <v>271</v>
      </c>
      <c r="D1770" s="17" t="s">
        <v>269</v>
      </c>
      <c r="E1770" s="17">
        <v>5.2359699999999999E-4</v>
      </c>
      <c r="F1770" s="6" t="s">
        <v>233</v>
      </c>
      <c r="G1770" s="6" t="s">
        <v>234</v>
      </c>
      <c r="H1770" s="6">
        <v>3</v>
      </c>
    </row>
    <row r="1771" spans="1:8" ht="30" x14ac:dyDescent="0.25">
      <c r="A1771" s="17" t="s">
        <v>4278</v>
      </c>
      <c r="B1771" s="17" t="s">
        <v>4273</v>
      </c>
      <c r="C1771" s="17" t="s">
        <v>271</v>
      </c>
      <c r="D1771" s="17" t="s">
        <v>269</v>
      </c>
      <c r="E1771" s="17">
        <v>5.2359699999999999E-4</v>
      </c>
      <c r="F1771" s="6" t="s">
        <v>233</v>
      </c>
      <c r="G1771" s="6" t="s">
        <v>234</v>
      </c>
      <c r="H1771" s="6">
        <v>3</v>
      </c>
    </row>
    <row r="1772" spans="1:8" ht="30" x14ac:dyDescent="0.25">
      <c r="A1772" s="17" t="s">
        <v>4279</v>
      </c>
      <c r="B1772" s="17" t="s">
        <v>4280</v>
      </c>
      <c r="C1772" s="17" t="s">
        <v>244</v>
      </c>
      <c r="D1772" s="17" t="s">
        <v>242</v>
      </c>
      <c r="E1772" s="17">
        <v>5.4284299999999999E-4</v>
      </c>
      <c r="F1772" s="6" t="s">
        <v>233</v>
      </c>
      <c r="G1772" s="6" t="s">
        <v>234</v>
      </c>
      <c r="H1772" s="6">
        <v>3</v>
      </c>
    </row>
    <row r="1773" spans="1:8" ht="30" x14ac:dyDescent="0.25">
      <c r="A1773" s="17" t="s">
        <v>4281</v>
      </c>
      <c r="B1773" s="17" t="s">
        <v>3958</v>
      </c>
      <c r="C1773" s="17" t="s">
        <v>301</v>
      </c>
      <c r="D1773" s="17" t="s">
        <v>299</v>
      </c>
      <c r="E1773" s="17">
        <v>6.3590900000000004E-4</v>
      </c>
      <c r="F1773" s="6" t="s">
        <v>233</v>
      </c>
      <c r="G1773" s="6" t="s">
        <v>234</v>
      </c>
      <c r="H1773" s="6">
        <v>3</v>
      </c>
    </row>
    <row r="1774" spans="1:8" ht="30" x14ac:dyDescent="0.25">
      <c r="A1774" s="17" t="s">
        <v>4282</v>
      </c>
      <c r="B1774" s="17" t="s">
        <v>3958</v>
      </c>
      <c r="C1774" s="17" t="s">
        <v>301</v>
      </c>
      <c r="D1774" s="17" t="s">
        <v>299</v>
      </c>
      <c r="E1774" s="17">
        <v>6.3590900000000004E-4</v>
      </c>
      <c r="F1774" s="6" t="s">
        <v>233</v>
      </c>
      <c r="G1774" s="6" t="s">
        <v>234</v>
      </c>
      <c r="H1774" s="6">
        <v>3</v>
      </c>
    </row>
    <row r="1775" spans="1:8" ht="30" x14ac:dyDescent="0.25">
      <c r="A1775" s="17" t="s">
        <v>4283</v>
      </c>
      <c r="B1775" s="17" t="s">
        <v>3958</v>
      </c>
      <c r="C1775" s="17" t="s">
        <v>301</v>
      </c>
      <c r="D1775" s="17" t="s">
        <v>299</v>
      </c>
      <c r="E1775" s="17">
        <v>6.3590900000000004E-4</v>
      </c>
      <c r="F1775" s="6" t="s">
        <v>233</v>
      </c>
      <c r="G1775" s="6" t="s">
        <v>234</v>
      </c>
      <c r="H1775" s="6">
        <v>3</v>
      </c>
    </row>
    <row r="1776" spans="1:8" ht="30" x14ac:dyDescent="0.25">
      <c r="A1776" s="17" t="s">
        <v>4284</v>
      </c>
      <c r="B1776" s="17" t="s">
        <v>3958</v>
      </c>
      <c r="C1776" s="17" t="s">
        <v>301</v>
      </c>
      <c r="D1776" s="17" t="s">
        <v>299</v>
      </c>
      <c r="E1776" s="17">
        <v>6.3590900000000004E-4</v>
      </c>
      <c r="F1776" s="6" t="s">
        <v>233</v>
      </c>
      <c r="G1776" s="6" t="s">
        <v>234</v>
      </c>
      <c r="H1776" s="6">
        <v>3</v>
      </c>
    </row>
    <row r="1777" spans="1:8" ht="30" x14ac:dyDescent="0.25">
      <c r="A1777" s="17" t="s">
        <v>4285</v>
      </c>
      <c r="B1777" s="17" t="s">
        <v>4076</v>
      </c>
      <c r="C1777" s="17" t="s">
        <v>301</v>
      </c>
      <c r="D1777" s="17" t="s">
        <v>299</v>
      </c>
      <c r="E1777" s="17">
        <v>6.3590900000000004E-4</v>
      </c>
      <c r="F1777" s="6" t="s">
        <v>233</v>
      </c>
      <c r="G1777" s="6" t="s">
        <v>234</v>
      </c>
      <c r="H1777" s="6">
        <v>3</v>
      </c>
    </row>
    <row r="1778" spans="1:8" ht="30" x14ac:dyDescent="0.25">
      <c r="A1778" s="17" t="s">
        <v>4286</v>
      </c>
      <c r="B1778" s="17" t="s">
        <v>4076</v>
      </c>
      <c r="C1778" s="17" t="s">
        <v>301</v>
      </c>
      <c r="D1778" s="17" t="s">
        <v>299</v>
      </c>
      <c r="E1778" s="17">
        <v>6.3590900000000004E-4</v>
      </c>
      <c r="F1778" s="6" t="s">
        <v>233</v>
      </c>
      <c r="G1778" s="6" t="s">
        <v>234</v>
      </c>
      <c r="H1778" s="6">
        <v>3</v>
      </c>
    </row>
    <row r="1779" spans="1:8" ht="30" x14ac:dyDescent="0.25">
      <c r="A1779" s="17" t="s">
        <v>4287</v>
      </c>
      <c r="B1779" s="17" t="s">
        <v>4288</v>
      </c>
      <c r="C1779" s="17" t="s">
        <v>301</v>
      </c>
      <c r="D1779" s="17" t="s">
        <v>299</v>
      </c>
      <c r="E1779" s="17">
        <v>6.3590900000000004E-4</v>
      </c>
      <c r="F1779" s="6" t="s">
        <v>233</v>
      </c>
      <c r="G1779" s="6" t="s">
        <v>234</v>
      </c>
      <c r="H1779" s="6">
        <v>3</v>
      </c>
    </row>
    <row r="1780" spans="1:8" ht="30" x14ac:dyDescent="0.25">
      <c r="A1780" s="17" t="s">
        <v>4289</v>
      </c>
      <c r="B1780" s="17" t="s">
        <v>4288</v>
      </c>
      <c r="C1780" s="17" t="s">
        <v>301</v>
      </c>
      <c r="D1780" s="17" t="s">
        <v>299</v>
      </c>
      <c r="E1780" s="17">
        <v>6.3590900000000004E-4</v>
      </c>
      <c r="F1780" s="6" t="s">
        <v>233</v>
      </c>
      <c r="G1780" s="6" t="s">
        <v>234</v>
      </c>
      <c r="H1780" s="6">
        <v>3</v>
      </c>
    </row>
    <row r="1781" spans="1:8" ht="30" x14ac:dyDescent="0.25">
      <c r="A1781" s="17" t="s">
        <v>4290</v>
      </c>
      <c r="B1781" s="17" t="s">
        <v>4288</v>
      </c>
      <c r="C1781" s="17" t="s">
        <v>301</v>
      </c>
      <c r="D1781" s="17" t="s">
        <v>299</v>
      </c>
      <c r="E1781" s="17">
        <v>6.3590900000000004E-4</v>
      </c>
      <c r="F1781" s="6" t="s">
        <v>233</v>
      </c>
      <c r="G1781" s="6" t="s">
        <v>234</v>
      </c>
      <c r="H1781" s="6">
        <v>3</v>
      </c>
    </row>
    <row r="1782" spans="1:8" ht="30" x14ac:dyDescent="0.25">
      <c r="A1782" s="17" t="s">
        <v>4291</v>
      </c>
      <c r="B1782" s="17" t="s">
        <v>4288</v>
      </c>
      <c r="C1782" s="17" t="s">
        <v>301</v>
      </c>
      <c r="D1782" s="17" t="s">
        <v>299</v>
      </c>
      <c r="E1782" s="17">
        <v>6.3590900000000004E-4</v>
      </c>
      <c r="F1782" s="6" t="s">
        <v>233</v>
      </c>
      <c r="G1782" s="6" t="s">
        <v>234</v>
      </c>
      <c r="H1782" s="6">
        <v>3</v>
      </c>
    </row>
    <row r="1783" spans="1:8" ht="30" x14ac:dyDescent="0.25">
      <c r="A1783" s="17" t="s">
        <v>4292</v>
      </c>
      <c r="B1783" s="17" t="s">
        <v>4288</v>
      </c>
      <c r="C1783" s="17" t="s">
        <v>301</v>
      </c>
      <c r="D1783" s="17" t="s">
        <v>299</v>
      </c>
      <c r="E1783" s="17">
        <v>6.3590900000000004E-4</v>
      </c>
      <c r="F1783" s="6" t="s">
        <v>233</v>
      </c>
      <c r="G1783" s="6" t="s">
        <v>234</v>
      </c>
      <c r="H1783" s="6">
        <v>3</v>
      </c>
    </row>
    <row r="1784" spans="1:8" ht="30" x14ac:dyDescent="0.25">
      <c r="A1784" s="17" t="s">
        <v>4293</v>
      </c>
      <c r="B1784" s="17" t="s">
        <v>4288</v>
      </c>
      <c r="C1784" s="17" t="s">
        <v>301</v>
      </c>
      <c r="D1784" s="17" t="s">
        <v>299</v>
      </c>
      <c r="E1784" s="17">
        <v>6.3590900000000004E-4</v>
      </c>
      <c r="F1784" s="6" t="s">
        <v>233</v>
      </c>
      <c r="G1784" s="6" t="s">
        <v>234</v>
      </c>
      <c r="H1784" s="6">
        <v>3</v>
      </c>
    </row>
    <row r="1785" spans="1:8" ht="30" x14ac:dyDescent="0.25">
      <c r="A1785" s="17" t="s">
        <v>4294</v>
      </c>
      <c r="B1785" s="17" t="s">
        <v>4072</v>
      </c>
      <c r="C1785" s="17" t="s">
        <v>301</v>
      </c>
      <c r="D1785" s="17" t="s">
        <v>299</v>
      </c>
      <c r="E1785" s="17">
        <v>6.3590900000000004E-4</v>
      </c>
      <c r="F1785" s="6" t="s">
        <v>233</v>
      </c>
      <c r="G1785" s="6" t="s">
        <v>234</v>
      </c>
      <c r="H1785" s="6">
        <v>3</v>
      </c>
    </row>
    <row r="1786" spans="1:8" ht="30" x14ac:dyDescent="0.25">
      <c r="A1786" s="17" t="s">
        <v>4295</v>
      </c>
      <c r="B1786" s="17" t="s">
        <v>4072</v>
      </c>
      <c r="C1786" s="17" t="s">
        <v>301</v>
      </c>
      <c r="D1786" s="17" t="s">
        <v>299</v>
      </c>
      <c r="E1786" s="17">
        <v>6.3590900000000004E-4</v>
      </c>
      <c r="F1786" s="6" t="s">
        <v>233</v>
      </c>
      <c r="G1786" s="6" t="s">
        <v>234</v>
      </c>
      <c r="H1786" s="6">
        <v>3</v>
      </c>
    </row>
    <row r="1787" spans="1:8" ht="30" x14ac:dyDescent="0.25">
      <c r="A1787" s="17" t="s">
        <v>4296</v>
      </c>
      <c r="B1787" s="17" t="s">
        <v>4297</v>
      </c>
      <c r="C1787" s="17" t="s">
        <v>301</v>
      </c>
      <c r="D1787" s="17" t="s">
        <v>299</v>
      </c>
      <c r="E1787" s="17">
        <v>6.3590900000000004E-4</v>
      </c>
      <c r="F1787" s="6" t="s">
        <v>233</v>
      </c>
      <c r="G1787" s="6" t="s">
        <v>234</v>
      </c>
      <c r="H1787" s="6">
        <v>3</v>
      </c>
    </row>
    <row r="1788" spans="1:8" ht="30" x14ac:dyDescent="0.25">
      <c r="A1788" s="17" t="s">
        <v>4298</v>
      </c>
      <c r="B1788" s="17" t="s">
        <v>4297</v>
      </c>
      <c r="C1788" s="17" t="s">
        <v>301</v>
      </c>
      <c r="D1788" s="17" t="s">
        <v>299</v>
      </c>
      <c r="E1788" s="17">
        <v>6.3590900000000004E-4</v>
      </c>
      <c r="F1788" s="6" t="s">
        <v>233</v>
      </c>
      <c r="G1788" s="6" t="s">
        <v>234</v>
      </c>
      <c r="H1788" s="6">
        <v>3</v>
      </c>
    </row>
    <row r="1789" spans="1:8" ht="30" x14ac:dyDescent="0.25">
      <c r="A1789" s="17" t="s">
        <v>4299</v>
      </c>
      <c r="B1789" s="17" t="s">
        <v>4297</v>
      </c>
      <c r="C1789" s="17" t="s">
        <v>301</v>
      </c>
      <c r="D1789" s="17" t="s">
        <v>299</v>
      </c>
      <c r="E1789" s="17">
        <v>6.3590900000000004E-4</v>
      </c>
      <c r="F1789" s="6" t="s">
        <v>233</v>
      </c>
      <c r="G1789" s="6" t="s">
        <v>234</v>
      </c>
      <c r="H1789" s="6">
        <v>3</v>
      </c>
    </row>
    <row r="1790" spans="1:8" ht="30" x14ac:dyDescent="0.25">
      <c r="A1790" s="17" t="s">
        <v>4300</v>
      </c>
      <c r="B1790" s="17" t="s">
        <v>4301</v>
      </c>
      <c r="C1790" s="17" t="s">
        <v>301</v>
      </c>
      <c r="D1790" s="17" t="s">
        <v>299</v>
      </c>
      <c r="E1790" s="17">
        <v>6.3590900000000004E-4</v>
      </c>
      <c r="F1790" s="6" t="s">
        <v>233</v>
      </c>
      <c r="G1790" s="6" t="s">
        <v>234</v>
      </c>
      <c r="H1790" s="6">
        <v>3</v>
      </c>
    </row>
    <row r="1791" spans="1:8" ht="30" x14ac:dyDescent="0.25">
      <c r="A1791" s="17" t="s">
        <v>4302</v>
      </c>
      <c r="B1791" s="17" t="s">
        <v>4301</v>
      </c>
      <c r="C1791" s="17" t="s">
        <v>301</v>
      </c>
      <c r="D1791" s="17" t="s">
        <v>299</v>
      </c>
      <c r="E1791" s="17">
        <v>6.3590900000000004E-4</v>
      </c>
      <c r="F1791" s="6" t="s">
        <v>233</v>
      </c>
      <c r="G1791" s="6" t="s">
        <v>234</v>
      </c>
      <c r="H1791" s="6">
        <v>3</v>
      </c>
    </row>
    <row r="1792" spans="1:8" ht="30" x14ac:dyDescent="0.25">
      <c r="A1792" s="17" t="s">
        <v>4303</v>
      </c>
      <c r="B1792" s="17" t="s">
        <v>4304</v>
      </c>
      <c r="C1792" s="17" t="s">
        <v>301</v>
      </c>
      <c r="D1792" s="17" t="s">
        <v>299</v>
      </c>
      <c r="E1792" s="17">
        <v>6.3590900000000004E-4</v>
      </c>
      <c r="F1792" s="6" t="s">
        <v>233</v>
      </c>
      <c r="G1792" s="6" t="s">
        <v>234</v>
      </c>
      <c r="H1792" s="6">
        <v>3</v>
      </c>
    </row>
    <row r="1793" spans="1:8" ht="30" x14ac:dyDescent="0.25">
      <c r="A1793" s="17" t="s">
        <v>4305</v>
      </c>
      <c r="B1793" s="17" t="s">
        <v>4306</v>
      </c>
      <c r="C1793" s="17" t="s">
        <v>271</v>
      </c>
      <c r="D1793" s="17" t="s">
        <v>269</v>
      </c>
      <c r="E1793" s="17">
        <v>5.2359699999999999E-4</v>
      </c>
      <c r="F1793" s="6" t="s">
        <v>233</v>
      </c>
      <c r="G1793" s="6" t="s">
        <v>234</v>
      </c>
      <c r="H1793" s="6">
        <v>3</v>
      </c>
    </row>
    <row r="1794" spans="1:8" ht="30" x14ac:dyDescent="0.25">
      <c r="A1794" s="17" t="s">
        <v>4307</v>
      </c>
      <c r="B1794" s="17" t="s">
        <v>4076</v>
      </c>
      <c r="C1794" s="17" t="s">
        <v>301</v>
      </c>
      <c r="D1794" s="17" t="s">
        <v>299</v>
      </c>
      <c r="E1794" s="17">
        <v>6.3590900000000004E-4</v>
      </c>
      <c r="F1794" s="6" t="s">
        <v>233</v>
      </c>
      <c r="G1794" s="6" t="s">
        <v>234</v>
      </c>
      <c r="H1794" s="6">
        <v>3</v>
      </c>
    </row>
    <row r="1795" spans="1:8" ht="30" x14ac:dyDescent="0.25">
      <c r="A1795" s="17" t="s">
        <v>4308</v>
      </c>
      <c r="B1795" s="17" t="s">
        <v>4309</v>
      </c>
      <c r="C1795" s="17" t="s">
        <v>265</v>
      </c>
      <c r="D1795" s="17" t="s">
        <v>263</v>
      </c>
      <c r="E1795" s="17">
        <v>3.0449399999999999E-4</v>
      </c>
      <c r="F1795" s="6" t="s">
        <v>233</v>
      </c>
      <c r="G1795" s="6" t="s">
        <v>234</v>
      </c>
      <c r="H1795" s="6">
        <v>3</v>
      </c>
    </row>
    <row r="1796" spans="1:8" ht="30" x14ac:dyDescent="0.25">
      <c r="A1796" s="17" t="s">
        <v>4310</v>
      </c>
      <c r="B1796" s="17" t="s">
        <v>4311</v>
      </c>
      <c r="C1796" s="17" t="s">
        <v>256</v>
      </c>
      <c r="D1796" s="17" t="s">
        <v>254</v>
      </c>
      <c r="E1796" s="17">
        <v>8.1312799999999998E-4</v>
      </c>
      <c r="F1796" s="6" t="s">
        <v>233</v>
      </c>
      <c r="G1796" s="6" t="s">
        <v>234</v>
      </c>
      <c r="H1796" s="6">
        <v>3</v>
      </c>
    </row>
    <row r="1797" spans="1:8" ht="30" x14ac:dyDescent="0.25">
      <c r="A1797" s="17" t="s">
        <v>4312</v>
      </c>
      <c r="B1797" s="17" t="s">
        <v>4311</v>
      </c>
      <c r="C1797" s="17" t="s">
        <v>256</v>
      </c>
      <c r="D1797" s="17" t="s">
        <v>254</v>
      </c>
      <c r="E1797" s="17">
        <v>8.1312799999999998E-4</v>
      </c>
      <c r="F1797" s="6" t="s">
        <v>233</v>
      </c>
      <c r="G1797" s="6" t="s">
        <v>234</v>
      </c>
      <c r="H1797" s="6">
        <v>3</v>
      </c>
    </row>
    <row r="1798" spans="1:8" ht="30" x14ac:dyDescent="0.25">
      <c r="A1798" s="17" t="s">
        <v>4313</v>
      </c>
      <c r="B1798" s="17" t="s">
        <v>4314</v>
      </c>
      <c r="C1798" s="17" t="s">
        <v>271</v>
      </c>
      <c r="D1798" s="17" t="s">
        <v>269</v>
      </c>
      <c r="E1798" s="17">
        <v>5.2359699999999999E-4</v>
      </c>
      <c r="F1798" s="6" t="s">
        <v>233</v>
      </c>
      <c r="G1798" s="6" t="s">
        <v>234</v>
      </c>
      <c r="H1798" s="6">
        <v>3</v>
      </c>
    </row>
    <row r="1799" spans="1:8" ht="30" x14ac:dyDescent="0.25">
      <c r="A1799" s="17" t="s">
        <v>4315</v>
      </c>
      <c r="B1799" s="17" t="s">
        <v>4316</v>
      </c>
      <c r="C1799" s="17" t="s">
        <v>265</v>
      </c>
      <c r="D1799" s="17" t="s">
        <v>263</v>
      </c>
      <c r="E1799" s="17">
        <v>3.0449399999999999E-4</v>
      </c>
      <c r="F1799" s="6" t="s">
        <v>233</v>
      </c>
      <c r="G1799" s="6" t="s">
        <v>234</v>
      </c>
      <c r="H1799" s="6">
        <v>3</v>
      </c>
    </row>
    <row r="1800" spans="1:8" ht="30" x14ac:dyDescent="0.25">
      <c r="A1800" s="17" t="s">
        <v>4317</v>
      </c>
      <c r="B1800" s="17" t="s">
        <v>4318</v>
      </c>
      <c r="C1800" s="17" t="s">
        <v>256</v>
      </c>
      <c r="D1800" s="17" t="s">
        <v>254</v>
      </c>
      <c r="E1800" s="17">
        <v>8.1312799999999998E-4</v>
      </c>
      <c r="F1800" s="6" t="s">
        <v>233</v>
      </c>
      <c r="G1800" s="6" t="s">
        <v>234</v>
      </c>
      <c r="H1800" s="6">
        <v>3</v>
      </c>
    </row>
    <row r="1801" spans="1:8" ht="30" x14ac:dyDescent="0.25">
      <c r="A1801" s="17" t="s">
        <v>4319</v>
      </c>
      <c r="B1801" s="17" t="s">
        <v>4320</v>
      </c>
      <c r="C1801" s="17" t="s">
        <v>256</v>
      </c>
      <c r="D1801" s="17" t="s">
        <v>254</v>
      </c>
      <c r="E1801" s="17">
        <v>8.1312799999999998E-4</v>
      </c>
      <c r="F1801" s="6" t="s">
        <v>233</v>
      </c>
      <c r="G1801" s="6" t="s">
        <v>234</v>
      </c>
      <c r="H1801" s="6">
        <v>3</v>
      </c>
    </row>
    <row r="1802" spans="1:8" ht="30" x14ac:dyDescent="0.25">
      <c r="A1802" s="17" t="s">
        <v>4321</v>
      </c>
      <c r="B1802" s="17" t="s">
        <v>4322</v>
      </c>
      <c r="C1802" s="17" t="s">
        <v>301</v>
      </c>
      <c r="D1802" s="17" t="s">
        <v>299</v>
      </c>
      <c r="E1802" s="17">
        <v>6.3590900000000004E-4</v>
      </c>
      <c r="F1802" s="6" t="s">
        <v>233</v>
      </c>
      <c r="G1802" s="6" t="s">
        <v>234</v>
      </c>
      <c r="H1802" s="6">
        <v>3</v>
      </c>
    </row>
    <row r="1803" spans="1:8" ht="30" x14ac:dyDescent="0.25">
      <c r="A1803" s="17" t="s">
        <v>4323</v>
      </c>
      <c r="B1803" s="17" t="s">
        <v>4324</v>
      </c>
      <c r="C1803" s="17" t="s">
        <v>256</v>
      </c>
      <c r="D1803" s="17" t="s">
        <v>254</v>
      </c>
      <c r="E1803" s="17">
        <v>8.1312799999999998E-4</v>
      </c>
      <c r="F1803" s="6" t="s">
        <v>233</v>
      </c>
      <c r="G1803" s="6" t="s">
        <v>234</v>
      </c>
      <c r="H1803" s="6">
        <v>3</v>
      </c>
    </row>
    <row r="1804" spans="1:8" ht="30" x14ac:dyDescent="0.25">
      <c r="A1804" s="17" t="s">
        <v>4325</v>
      </c>
      <c r="B1804" s="17" t="s">
        <v>4326</v>
      </c>
      <c r="C1804" s="17" t="s">
        <v>256</v>
      </c>
      <c r="D1804" s="17" t="s">
        <v>254</v>
      </c>
      <c r="E1804" s="17">
        <v>8.1312799999999998E-4</v>
      </c>
      <c r="F1804" s="6" t="s">
        <v>233</v>
      </c>
      <c r="G1804" s="6" t="s">
        <v>234</v>
      </c>
      <c r="H1804" s="6">
        <v>3</v>
      </c>
    </row>
    <row r="1805" spans="1:8" ht="30" x14ac:dyDescent="0.25">
      <c r="A1805" s="17" t="s">
        <v>4327</v>
      </c>
      <c r="B1805" s="17" t="s">
        <v>4328</v>
      </c>
      <c r="C1805" s="17" t="s">
        <v>256</v>
      </c>
      <c r="D1805" s="17" t="s">
        <v>254</v>
      </c>
      <c r="E1805" s="17">
        <v>8.1312799999999998E-4</v>
      </c>
      <c r="F1805" s="6" t="s">
        <v>233</v>
      </c>
      <c r="G1805" s="6" t="s">
        <v>234</v>
      </c>
      <c r="H1805" s="6">
        <v>3</v>
      </c>
    </row>
    <row r="1806" spans="1:8" ht="30" x14ac:dyDescent="0.25">
      <c r="A1806" s="17" t="s">
        <v>4329</v>
      </c>
      <c r="B1806" s="17" t="s">
        <v>4330</v>
      </c>
      <c r="C1806" s="17" t="s">
        <v>256</v>
      </c>
      <c r="D1806" s="17" t="s">
        <v>254</v>
      </c>
      <c r="E1806" s="17">
        <v>8.1312799999999998E-4</v>
      </c>
      <c r="F1806" s="6" t="s">
        <v>233</v>
      </c>
      <c r="G1806" s="6" t="s">
        <v>234</v>
      </c>
      <c r="H1806" s="6">
        <v>3</v>
      </c>
    </row>
    <row r="1807" spans="1:8" ht="30" x14ac:dyDescent="0.25">
      <c r="A1807" s="17" t="s">
        <v>4331</v>
      </c>
      <c r="B1807" s="17" t="s">
        <v>4324</v>
      </c>
      <c r="C1807" s="17" t="s">
        <v>256</v>
      </c>
      <c r="D1807" s="17" t="s">
        <v>254</v>
      </c>
      <c r="E1807" s="17">
        <v>8.1312799999999998E-4</v>
      </c>
      <c r="F1807" s="6" t="s">
        <v>233</v>
      </c>
      <c r="G1807" s="6" t="s">
        <v>234</v>
      </c>
      <c r="H1807" s="6">
        <v>3</v>
      </c>
    </row>
    <row r="1808" spans="1:8" ht="30" x14ac:dyDescent="0.25">
      <c r="A1808" s="17" t="s">
        <v>3844</v>
      </c>
      <c r="B1808" s="17" t="s">
        <v>4332</v>
      </c>
      <c r="C1808" s="17" t="s">
        <v>244</v>
      </c>
      <c r="D1808" s="17" t="s">
        <v>242</v>
      </c>
      <c r="E1808" s="17">
        <v>5.4284299999999999E-4</v>
      </c>
      <c r="F1808" s="6" t="s">
        <v>233</v>
      </c>
      <c r="G1808" s="6" t="s">
        <v>234</v>
      </c>
      <c r="H1808" s="6">
        <v>3</v>
      </c>
    </row>
    <row r="1809" spans="1:8" ht="30" x14ac:dyDescent="0.25">
      <c r="A1809" s="17" t="s">
        <v>4333</v>
      </c>
      <c r="B1809" s="17" t="s">
        <v>4334</v>
      </c>
      <c r="C1809" s="17" t="s">
        <v>301</v>
      </c>
      <c r="D1809" s="17" t="s">
        <v>299</v>
      </c>
      <c r="E1809" s="17">
        <v>6.3590900000000004E-4</v>
      </c>
      <c r="F1809" s="6" t="s">
        <v>233</v>
      </c>
      <c r="G1809" s="6" t="s">
        <v>234</v>
      </c>
      <c r="H1809" s="6">
        <v>3</v>
      </c>
    </row>
    <row r="1810" spans="1:8" ht="30" x14ac:dyDescent="0.25">
      <c r="A1810" s="17" t="s">
        <v>4335</v>
      </c>
      <c r="B1810" s="17" t="s">
        <v>4334</v>
      </c>
      <c r="C1810" s="17" t="s">
        <v>301</v>
      </c>
      <c r="D1810" s="17" t="s">
        <v>299</v>
      </c>
      <c r="E1810" s="17">
        <v>6.3590900000000004E-4</v>
      </c>
      <c r="F1810" s="6" t="s">
        <v>233</v>
      </c>
      <c r="G1810" s="6" t="s">
        <v>234</v>
      </c>
      <c r="H1810" s="6">
        <v>3</v>
      </c>
    </row>
    <row r="1811" spans="1:8" ht="30" x14ac:dyDescent="0.25">
      <c r="A1811" s="17" t="s">
        <v>4336</v>
      </c>
      <c r="B1811" s="17" t="s">
        <v>4337</v>
      </c>
      <c r="C1811" s="17" t="s">
        <v>280</v>
      </c>
      <c r="D1811" s="17" t="s">
        <v>278</v>
      </c>
      <c r="E1811" s="17">
        <v>6.2829699999999999E-4</v>
      </c>
      <c r="F1811" s="6" t="s">
        <v>233</v>
      </c>
      <c r="G1811" s="6" t="s">
        <v>234</v>
      </c>
      <c r="H1811" s="6">
        <v>3</v>
      </c>
    </row>
    <row r="1812" spans="1:8" ht="30" x14ac:dyDescent="0.25">
      <c r="A1812" s="17" t="s">
        <v>4338</v>
      </c>
      <c r="B1812" s="17" t="s">
        <v>4339</v>
      </c>
      <c r="C1812" s="17" t="s">
        <v>271</v>
      </c>
      <c r="D1812" s="17" t="s">
        <v>269</v>
      </c>
      <c r="E1812" s="17">
        <v>5.2359699999999999E-4</v>
      </c>
      <c r="F1812" s="6" t="s">
        <v>233</v>
      </c>
      <c r="G1812" s="6" t="s">
        <v>234</v>
      </c>
      <c r="H1812" s="6">
        <v>3</v>
      </c>
    </row>
    <row r="1813" spans="1:8" ht="30" x14ac:dyDescent="0.25">
      <c r="A1813" s="17" t="s">
        <v>4340</v>
      </c>
      <c r="B1813" s="17" t="s">
        <v>4341</v>
      </c>
      <c r="C1813" s="17" t="s">
        <v>280</v>
      </c>
      <c r="D1813" s="17" t="s">
        <v>278</v>
      </c>
      <c r="E1813" s="17">
        <v>6.2829699999999999E-4</v>
      </c>
      <c r="F1813" s="6" t="s">
        <v>233</v>
      </c>
      <c r="G1813" s="6" t="s">
        <v>234</v>
      </c>
      <c r="H1813" s="6">
        <v>3</v>
      </c>
    </row>
    <row r="1814" spans="1:8" ht="30" x14ac:dyDescent="0.25">
      <c r="A1814" s="17" t="s">
        <v>1246</v>
      </c>
      <c r="B1814" s="17" t="s">
        <v>4342</v>
      </c>
      <c r="C1814" s="17" t="s">
        <v>244</v>
      </c>
      <c r="D1814" s="17" t="s">
        <v>242</v>
      </c>
      <c r="E1814" s="17">
        <v>5.4284299999999999E-4</v>
      </c>
      <c r="F1814" s="6" t="s">
        <v>233</v>
      </c>
      <c r="G1814" s="6" t="s">
        <v>234</v>
      </c>
      <c r="H1814" s="6">
        <v>3</v>
      </c>
    </row>
    <row r="1815" spans="1:8" ht="30" x14ac:dyDescent="0.25">
      <c r="A1815" s="17" t="s">
        <v>1247</v>
      </c>
      <c r="B1815" s="17" t="s">
        <v>4343</v>
      </c>
      <c r="C1815" s="17" t="s">
        <v>244</v>
      </c>
      <c r="D1815" s="17" t="s">
        <v>242</v>
      </c>
      <c r="E1815" s="17">
        <v>5.4284299999999999E-4</v>
      </c>
      <c r="F1815" s="6" t="s">
        <v>233</v>
      </c>
      <c r="G1815" s="6" t="s">
        <v>234</v>
      </c>
      <c r="H1815" s="6">
        <v>3</v>
      </c>
    </row>
    <row r="1816" spans="1:8" ht="30" x14ac:dyDescent="0.25">
      <c r="A1816" s="17" t="s">
        <v>4344</v>
      </c>
      <c r="B1816" s="17" t="s">
        <v>4345</v>
      </c>
      <c r="C1816" s="17" t="s">
        <v>301</v>
      </c>
      <c r="D1816" s="17" t="s">
        <v>299</v>
      </c>
      <c r="E1816" s="17">
        <v>6.3590900000000004E-4</v>
      </c>
      <c r="F1816" s="6" t="s">
        <v>233</v>
      </c>
      <c r="G1816" s="6" t="s">
        <v>234</v>
      </c>
      <c r="H1816" s="6">
        <v>3</v>
      </c>
    </row>
    <row r="1817" spans="1:8" ht="30" x14ac:dyDescent="0.25">
      <c r="A1817" s="17" t="s">
        <v>4346</v>
      </c>
      <c r="B1817" s="17" t="s">
        <v>4347</v>
      </c>
      <c r="C1817" s="17" t="s">
        <v>301</v>
      </c>
      <c r="D1817" s="17" t="s">
        <v>299</v>
      </c>
      <c r="E1817" s="17">
        <v>6.3590900000000004E-4</v>
      </c>
      <c r="F1817" s="6" t="s">
        <v>233</v>
      </c>
      <c r="G1817" s="6" t="s">
        <v>234</v>
      </c>
      <c r="H1817" s="6">
        <v>3</v>
      </c>
    </row>
    <row r="1818" spans="1:8" ht="30" x14ac:dyDescent="0.25">
      <c r="A1818" s="17" t="s">
        <v>4348</v>
      </c>
      <c r="B1818" s="17" t="s">
        <v>4334</v>
      </c>
      <c r="C1818" s="17" t="s">
        <v>301</v>
      </c>
      <c r="D1818" s="17" t="s">
        <v>299</v>
      </c>
      <c r="E1818" s="17">
        <v>6.3590900000000004E-4</v>
      </c>
      <c r="F1818" s="6" t="s">
        <v>233</v>
      </c>
      <c r="G1818" s="6" t="s">
        <v>234</v>
      </c>
      <c r="H1818" s="6">
        <v>3</v>
      </c>
    </row>
    <row r="1819" spans="1:8" ht="30" x14ac:dyDescent="0.25">
      <c r="A1819" s="17" t="s">
        <v>4349</v>
      </c>
      <c r="B1819" s="17" t="s">
        <v>4337</v>
      </c>
      <c r="C1819" s="17" t="s">
        <v>280</v>
      </c>
      <c r="D1819" s="17" t="s">
        <v>278</v>
      </c>
      <c r="E1819" s="17">
        <v>6.2829699999999999E-4</v>
      </c>
      <c r="F1819" s="6" t="s">
        <v>233</v>
      </c>
      <c r="G1819" s="6" t="s">
        <v>234</v>
      </c>
      <c r="H1819" s="6">
        <v>3</v>
      </c>
    </row>
    <row r="1820" spans="1:8" ht="30" x14ac:dyDescent="0.25">
      <c r="A1820" s="17" t="s">
        <v>4350</v>
      </c>
      <c r="B1820" s="17" t="s">
        <v>3973</v>
      </c>
      <c r="C1820" s="17" t="s">
        <v>265</v>
      </c>
      <c r="D1820" s="17" t="s">
        <v>263</v>
      </c>
      <c r="E1820" s="17">
        <v>3.0449399999999999E-4</v>
      </c>
      <c r="F1820" s="6" t="s">
        <v>233</v>
      </c>
      <c r="G1820" s="6" t="s">
        <v>234</v>
      </c>
      <c r="H1820" s="6">
        <v>3</v>
      </c>
    </row>
    <row r="1821" spans="1:8" ht="30" x14ac:dyDescent="0.25">
      <c r="A1821" s="17" t="s">
        <v>4351</v>
      </c>
      <c r="B1821" s="17" t="s">
        <v>4352</v>
      </c>
      <c r="C1821" s="17" t="s">
        <v>283</v>
      </c>
      <c r="D1821" s="17" t="s">
        <v>281</v>
      </c>
      <c r="E1821" s="17">
        <v>5.4019300000000001E-4</v>
      </c>
      <c r="F1821" s="6" t="s">
        <v>233</v>
      </c>
      <c r="G1821" s="6" t="s">
        <v>234</v>
      </c>
      <c r="H1821" s="6">
        <v>3</v>
      </c>
    </row>
    <row r="1822" spans="1:8" ht="30" x14ac:dyDescent="0.25">
      <c r="A1822" s="17" t="s">
        <v>4353</v>
      </c>
      <c r="B1822" s="17" t="s">
        <v>4269</v>
      </c>
      <c r="C1822" s="17" t="s">
        <v>271</v>
      </c>
      <c r="D1822" s="17" t="s">
        <v>269</v>
      </c>
      <c r="E1822" s="17">
        <v>5.2359699999999999E-4</v>
      </c>
      <c r="F1822" s="6" t="s">
        <v>233</v>
      </c>
      <c r="G1822" s="6" t="s">
        <v>234</v>
      </c>
      <c r="H1822" s="6">
        <v>3</v>
      </c>
    </row>
    <row r="1823" spans="1:8" ht="30" x14ac:dyDescent="0.25">
      <c r="A1823" s="17" t="s">
        <v>4354</v>
      </c>
      <c r="B1823" s="17" t="s">
        <v>4355</v>
      </c>
      <c r="C1823" s="17" t="s">
        <v>271</v>
      </c>
      <c r="D1823" s="17" t="s">
        <v>269</v>
      </c>
      <c r="E1823" s="17">
        <v>5.2359699999999999E-4</v>
      </c>
      <c r="F1823" s="6" t="s">
        <v>233</v>
      </c>
      <c r="G1823" s="6" t="s">
        <v>234</v>
      </c>
      <c r="H1823" s="6">
        <v>3</v>
      </c>
    </row>
    <row r="1824" spans="1:8" ht="30" x14ac:dyDescent="0.25">
      <c r="A1824" s="17" t="s">
        <v>4356</v>
      </c>
      <c r="B1824" s="17" t="s">
        <v>4357</v>
      </c>
      <c r="C1824" s="17" t="s">
        <v>301</v>
      </c>
      <c r="D1824" s="17" t="s">
        <v>299</v>
      </c>
      <c r="E1824" s="17">
        <v>6.3590900000000004E-4</v>
      </c>
      <c r="F1824" s="6" t="s">
        <v>233</v>
      </c>
      <c r="G1824" s="6" t="s">
        <v>234</v>
      </c>
      <c r="H1824" s="6">
        <v>3</v>
      </c>
    </row>
    <row r="1825" spans="1:8" ht="30" x14ac:dyDescent="0.25">
      <c r="A1825" s="17" t="s">
        <v>4358</v>
      </c>
      <c r="B1825" s="17" t="s">
        <v>4357</v>
      </c>
      <c r="C1825" s="17" t="s">
        <v>301</v>
      </c>
      <c r="D1825" s="17" t="s">
        <v>299</v>
      </c>
      <c r="E1825" s="17">
        <v>6.3590900000000004E-4</v>
      </c>
      <c r="F1825" s="6" t="s">
        <v>233</v>
      </c>
      <c r="G1825" s="6" t="s">
        <v>234</v>
      </c>
      <c r="H1825" s="6">
        <v>3</v>
      </c>
    </row>
    <row r="1826" spans="1:8" ht="30" x14ac:dyDescent="0.25">
      <c r="A1826" s="17" t="s">
        <v>4359</v>
      </c>
      <c r="B1826" s="17" t="s">
        <v>4360</v>
      </c>
      <c r="C1826" s="17" t="s">
        <v>265</v>
      </c>
      <c r="D1826" s="17" t="s">
        <v>263</v>
      </c>
      <c r="E1826" s="17">
        <v>3.0449399999999999E-4</v>
      </c>
      <c r="F1826" s="6" t="s">
        <v>233</v>
      </c>
      <c r="G1826" s="6" t="s">
        <v>234</v>
      </c>
      <c r="H1826" s="6">
        <v>3</v>
      </c>
    </row>
    <row r="1827" spans="1:8" ht="30" x14ac:dyDescent="0.25">
      <c r="A1827" s="17" t="s">
        <v>4361</v>
      </c>
      <c r="B1827" s="17" t="s">
        <v>4362</v>
      </c>
      <c r="C1827" s="17" t="s">
        <v>271</v>
      </c>
      <c r="D1827" s="17" t="s">
        <v>269</v>
      </c>
      <c r="E1827" s="17">
        <v>5.2359699999999999E-4</v>
      </c>
      <c r="F1827" s="6" t="s">
        <v>233</v>
      </c>
      <c r="G1827" s="6" t="s">
        <v>234</v>
      </c>
      <c r="H1827" s="6">
        <v>3</v>
      </c>
    </row>
    <row r="1828" spans="1:8" ht="30" x14ac:dyDescent="0.25">
      <c r="A1828" s="17" t="s">
        <v>4363</v>
      </c>
      <c r="B1828" s="17" t="s">
        <v>4341</v>
      </c>
      <c r="C1828" s="17" t="s">
        <v>280</v>
      </c>
      <c r="D1828" s="17" t="s">
        <v>278</v>
      </c>
      <c r="E1828" s="17">
        <v>6.2829699999999999E-4</v>
      </c>
      <c r="F1828" s="6" t="s">
        <v>233</v>
      </c>
      <c r="G1828" s="6" t="s">
        <v>234</v>
      </c>
      <c r="H1828" s="6">
        <v>3</v>
      </c>
    </row>
    <row r="1829" spans="1:8" ht="30" x14ac:dyDescent="0.25">
      <c r="A1829" s="17" t="s">
        <v>4364</v>
      </c>
      <c r="B1829" s="17" t="s">
        <v>4365</v>
      </c>
      <c r="C1829" s="17" t="s">
        <v>301</v>
      </c>
      <c r="D1829" s="17" t="s">
        <v>299</v>
      </c>
      <c r="E1829" s="17">
        <v>6.3590900000000004E-4</v>
      </c>
      <c r="F1829" s="6" t="s">
        <v>233</v>
      </c>
      <c r="G1829" s="6" t="s">
        <v>234</v>
      </c>
      <c r="H1829" s="6">
        <v>3</v>
      </c>
    </row>
    <row r="1830" spans="1:8" ht="30" x14ac:dyDescent="0.25">
      <c r="A1830" s="17" t="s">
        <v>4366</v>
      </c>
      <c r="B1830" s="17" t="s">
        <v>4367</v>
      </c>
      <c r="C1830" s="17" t="s">
        <v>271</v>
      </c>
      <c r="D1830" s="17" t="s">
        <v>269</v>
      </c>
      <c r="E1830" s="17">
        <v>5.2359699999999999E-4</v>
      </c>
      <c r="F1830" s="6" t="s">
        <v>233</v>
      </c>
      <c r="G1830" s="6" t="s">
        <v>234</v>
      </c>
      <c r="H1830" s="6">
        <v>3</v>
      </c>
    </row>
    <row r="1831" spans="1:8" ht="30" x14ac:dyDescent="0.25">
      <c r="A1831" s="17" t="s">
        <v>1243</v>
      </c>
      <c r="B1831" s="17" t="s">
        <v>4368</v>
      </c>
      <c r="C1831" s="17" t="s">
        <v>271</v>
      </c>
      <c r="D1831" s="17" t="s">
        <v>269</v>
      </c>
      <c r="E1831" s="17">
        <v>5.2359699999999999E-4</v>
      </c>
      <c r="F1831" s="6" t="s">
        <v>233</v>
      </c>
      <c r="G1831" s="6" t="s">
        <v>234</v>
      </c>
      <c r="H1831" s="6">
        <v>3</v>
      </c>
    </row>
    <row r="1832" spans="1:8" ht="30" x14ac:dyDescent="0.25">
      <c r="A1832" s="17" t="s">
        <v>1244</v>
      </c>
      <c r="B1832" s="17" t="s">
        <v>4369</v>
      </c>
      <c r="C1832" s="17" t="s">
        <v>271</v>
      </c>
      <c r="D1832" s="17" t="s">
        <v>269</v>
      </c>
      <c r="E1832" s="17">
        <v>5.2359699999999999E-4</v>
      </c>
      <c r="F1832" s="6" t="s">
        <v>233</v>
      </c>
      <c r="G1832" s="6" t="s">
        <v>234</v>
      </c>
      <c r="H1832" s="6">
        <v>3</v>
      </c>
    </row>
    <row r="1833" spans="1:8" ht="30" x14ac:dyDescent="0.25">
      <c r="A1833" s="17" t="s">
        <v>4370</v>
      </c>
      <c r="B1833" s="17" t="s">
        <v>4076</v>
      </c>
      <c r="C1833" s="17" t="s">
        <v>301</v>
      </c>
      <c r="D1833" s="17" t="s">
        <v>299</v>
      </c>
      <c r="E1833" s="17">
        <v>6.3590900000000004E-4</v>
      </c>
      <c r="F1833" s="6" t="s">
        <v>233</v>
      </c>
      <c r="G1833" s="6" t="s">
        <v>234</v>
      </c>
      <c r="H1833" s="6">
        <v>3</v>
      </c>
    </row>
    <row r="1834" spans="1:8" ht="30" x14ac:dyDescent="0.25">
      <c r="A1834" s="17" t="s">
        <v>3864</v>
      </c>
      <c r="B1834" s="17" t="s">
        <v>4371</v>
      </c>
      <c r="C1834" s="17" t="s">
        <v>310</v>
      </c>
      <c r="D1834" s="17" t="s">
        <v>308</v>
      </c>
      <c r="E1834" s="17">
        <v>5.3341800000000002E-4</v>
      </c>
      <c r="F1834" s="6" t="s">
        <v>233</v>
      </c>
      <c r="G1834" s="6" t="s">
        <v>234</v>
      </c>
      <c r="H1834" s="6">
        <v>3</v>
      </c>
    </row>
    <row r="1835" spans="1:8" ht="30" x14ac:dyDescent="0.25">
      <c r="A1835" s="17" t="s">
        <v>4372</v>
      </c>
      <c r="B1835" s="17" t="s">
        <v>4373</v>
      </c>
      <c r="C1835" s="17" t="s">
        <v>271</v>
      </c>
      <c r="D1835" s="17" t="s">
        <v>269</v>
      </c>
      <c r="E1835" s="17">
        <v>5.2359699999999999E-4</v>
      </c>
      <c r="F1835" s="6" t="s">
        <v>233</v>
      </c>
      <c r="G1835" s="6" t="s">
        <v>234</v>
      </c>
      <c r="H1835" s="6">
        <v>3</v>
      </c>
    </row>
    <row r="1836" spans="1:8" ht="30" x14ac:dyDescent="0.25">
      <c r="A1836" s="17" t="s">
        <v>4374</v>
      </c>
      <c r="B1836" s="17" t="s">
        <v>4269</v>
      </c>
      <c r="C1836" s="17" t="s">
        <v>271</v>
      </c>
      <c r="D1836" s="17" t="s">
        <v>269</v>
      </c>
      <c r="E1836" s="17">
        <v>5.2359699999999999E-4</v>
      </c>
      <c r="F1836" s="6" t="s">
        <v>233</v>
      </c>
      <c r="G1836" s="6" t="s">
        <v>234</v>
      </c>
      <c r="H1836" s="6">
        <v>3</v>
      </c>
    </row>
    <row r="1837" spans="1:8" ht="30" x14ac:dyDescent="0.25">
      <c r="A1837" s="17" t="s">
        <v>4375</v>
      </c>
      <c r="B1837" s="17" t="s">
        <v>4376</v>
      </c>
      <c r="C1837" s="17" t="s">
        <v>271</v>
      </c>
      <c r="D1837" s="17" t="s">
        <v>269</v>
      </c>
      <c r="E1837" s="17">
        <v>5.2359699999999999E-4</v>
      </c>
      <c r="F1837" s="6" t="s">
        <v>233</v>
      </c>
      <c r="G1837" s="6" t="s">
        <v>234</v>
      </c>
      <c r="H1837" s="6">
        <v>3</v>
      </c>
    </row>
    <row r="1838" spans="1:8" ht="30" x14ac:dyDescent="0.25">
      <c r="A1838" s="17" t="s">
        <v>4377</v>
      </c>
      <c r="B1838" s="17" t="s">
        <v>4378</v>
      </c>
      <c r="C1838" s="17" t="s">
        <v>310</v>
      </c>
      <c r="D1838" s="17" t="s">
        <v>308</v>
      </c>
      <c r="E1838" s="17">
        <v>5.3341800000000002E-4</v>
      </c>
      <c r="F1838" s="6" t="s">
        <v>233</v>
      </c>
      <c r="G1838" s="6" t="s">
        <v>234</v>
      </c>
      <c r="H1838" s="6">
        <v>3</v>
      </c>
    </row>
    <row r="1839" spans="1:8" ht="30" x14ac:dyDescent="0.25">
      <c r="A1839" s="17" t="s">
        <v>4379</v>
      </c>
      <c r="B1839" s="17" t="s">
        <v>4380</v>
      </c>
      <c r="C1839" s="17" t="s">
        <v>301</v>
      </c>
      <c r="D1839" s="17" t="s">
        <v>299</v>
      </c>
      <c r="E1839" s="17">
        <v>6.3590900000000004E-4</v>
      </c>
      <c r="F1839" s="6" t="s">
        <v>233</v>
      </c>
      <c r="G1839" s="6" t="s">
        <v>234</v>
      </c>
      <c r="H1839" s="6">
        <v>3</v>
      </c>
    </row>
    <row r="1840" spans="1:8" ht="30" x14ac:dyDescent="0.25">
      <c r="A1840" s="17" t="s">
        <v>4381</v>
      </c>
      <c r="B1840" s="17" t="s">
        <v>4380</v>
      </c>
      <c r="C1840" s="17" t="s">
        <v>301</v>
      </c>
      <c r="D1840" s="17" t="s">
        <v>299</v>
      </c>
      <c r="E1840" s="17">
        <v>6.3590900000000004E-4</v>
      </c>
      <c r="F1840" s="6" t="s">
        <v>233</v>
      </c>
      <c r="G1840" s="6" t="s">
        <v>234</v>
      </c>
      <c r="H1840" s="6">
        <v>3</v>
      </c>
    </row>
    <row r="1841" spans="1:8" ht="30" x14ac:dyDescent="0.25">
      <c r="A1841" s="17" t="s">
        <v>4382</v>
      </c>
      <c r="B1841" s="17" t="s">
        <v>4383</v>
      </c>
      <c r="C1841" s="17" t="s">
        <v>310</v>
      </c>
      <c r="D1841" s="17" t="s">
        <v>308</v>
      </c>
      <c r="E1841" s="17">
        <v>5.3341800000000002E-4</v>
      </c>
      <c r="F1841" s="6" t="s">
        <v>233</v>
      </c>
      <c r="G1841" s="6" t="s">
        <v>234</v>
      </c>
      <c r="H1841" s="6">
        <v>3</v>
      </c>
    </row>
    <row r="1842" spans="1:8" ht="30" x14ac:dyDescent="0.25">
      <c r="A1842" s="17" t="s">
        <v>4384</v>
      </c>
      <c r="B1842" s="17" t="s">
        <v>4385</v>
      </c>
      <c r="C1842" s="17" t="s">
        <v>271</v>
      </c>
      <c r="D1842" s="17" t="s">
        <v>269</v>
      </c>
      <c r="E1842" s="17">
        <v>5.2359699999999999E-4</v>
      </c>
      <c r="F1842" s="6" t="s">
        <v>233</v>
      </c>
      <c r="G1842" s="6" t="s">
        <v>234</v>
      </c>
      <c r="H1842" s="6">
        <v>3</v>
      </c>
    </row>
    <row r="1843" spans="1:8" ht="30" x14ac:dyDescent="0.25">
      <c r="A1843" s="17" t="s">
        <v>4386</v>
      </c>
      <c r="B1843" s="17" t="s">
        <v>4355</v>
      </c>
      <c r="C1843" s="17" t="s">
        <v>271</v>
      </c>
      <c r="D1843" s="17" t="s">
        <v>269</v>
      </c>
      <c r="E1843" s="17">
        <v>5.2359699999999999E-4</v>
      </c>
      <c r="F1843" s="6" t="s">
        <v>233</v>
      </c>
      <c r="G1843" s="6" t="s">
        <v>234</v>
      </c>
      <c r="H1843" s="6">
        <v>3</v>
      </c>
    </row>
    <row r="1844" spans="1:8" ht="30" x14ac:dyDescent="0.25">
      <c r="A1844" s="17" t="s">
        <v>4387</v>
      </c>
      <c r="B1844" s="17" t="s">
        <v>4388</v>
      </c>
      <c r="C1844" s="17" t="s">
        <v>271</v>
      </c>
      <c r="D1844" s="17" t="s">
        <v>269</v>
      </c>
      <c r="E1844" s="17">
        <v>5.2359699999999999E-4</v>
      </c>
      <c r="F1844" s="6" t="s">
        <v>233</v>
      </c>
      <c r="G1844" s="6" t="s">
        <v>234</v>
      </c>
      <c r="H1844" s="6">
        <v>3</v>
      </c>
    </row>
    <row r="1845" spans="1:8" ht="30" x14ac:dyDescent="0.25">
      <c r="A1845" s="17" t="s">
        <v>4389</v>
      </c>
      <c r="B1845" s="17" t="s">
        <v>4388</v>
      </c>
      <c r="C1845" s="17" t="s">
        <v>271</v>
      </c>
      <c r="D1845" s="17" t="s">
        <v>269</v>
      </c>
      <c r="E1845" s="17">
        <v>5.2359699999999999E-4</v>
      </c>
      <c r="F1845" s="6" t="s">
        <v>233</v>
      </c>
      <c r="G1845" s="6" t="s">
        <v>234</v>
      </c>
      <c r="H1845" s="6">
        <v>3</v>
      </c>
    </row>
    <row r="1846" spans="1:8" ht="30" x14ac:dyDescent="0.25">
      <c r="A1846" s="17" t="s">
        <v>4390</v>
      </c>
      <c r="B1846" s="17" t="s">
        <v>4391</v>
      </c>
      <c r="C1846" s="17" t="s">
        <v>271</v>
      </c>
      <c r="D1846" s="17" t="s">
        <v>269</v>
      </c>
      <c r="E1846" s="17">
        <v>5.2359699999999999E-4</v>
      </c>
      <c r="F1846" s="6" t="s">
        <v>233</v>
      </c>
      <c r="G1846" s="6" t="s">
        <v>234</v>
      </c>
      <c r="H1846" s="6">
        <v>3</v>
      </c>
    </row>
    <row r="1847" spans="1:8" ht="30" x14ac:dyDescent="0.25">
      <c r="A1847" s="17" t="s">
        <v>4392</v>
      </c>
      <c r="B1847" s="17" t="s">
        <v>4391</v>
      </c>
      <c r="C1847" s="17" t="s">
        <v>271</v>
      </c>
      <c r="D1847" s="17" t="s">
        <v>269</v>
      </c>
      <c r="E1847" s="17">
        <v>5.2359699999999999E-4</v>
      </c>
      <c r="F1847" s="6" t="s">
        <v>233</v>
      </c>
      <c r="G1847" s="6" t="s">
        <v>234</v>
      </c>
      <c r="H1847" s="6">
        <v>3</v>
      </c>
    </row>
    <row r="1848" spans="1:8" ht="30" x14ac:dyDescent="0.25">
      <c r="A1848" s="17" t="s">
        <v>4393</v>
      </c>
      <c r="B1848" s="17" t="s">
        <v>3963</v>
      </c>
      <c r="C1848" s="17" t="s">
        <v>271</v>
      </c>
      <c r="D1848" s="17" t="s">
        <v>269</v>
      </c>
      <c r="E1848" s="17">
        <v>5.2359699999999999E-4</v>
      </c>
      <c r="F1848" s="6" t="s">
        <v>233</v>
      </c>
      <c r="G1848" s="6" t="s">
        <v>234</v>
      </c>
      <c r="H1848" s="6">
        <v>3</v>
      </c>
    </row>
    <row r="1849" spans="1:8" ht="30" x14ac:dyDescent="0.25">
      <c r="A1849" s="17" t="s">
        <v>4394</v>
      </c>
      <c r="B1849" s="17" t="s">
        <v>4362</v>
      </c>
      <c r="C1849" s="17" t="s">
        <v>271</v>
      </c>
      <c r="D1849" s="17" t="s">
        <v>269</v>
      </c>
      <c r="E1849" s="17">
        <v>5.2359699999999999E-4</v>
      </c>
      <c r="F1849" s="6" t="s">
        <v>233</v>
      </c>
      <c r="G1849" s="6" t="s">
        <v>234</v>
      </c>
      <c r="H1849" s="6">
        <v>3</v>
      </c>
    </row>
    <row r="1850" spans="1:8" ht="30" x14ac:dyDescent="0.25">
      <c r="A1850" s="17" t="s">
        <v>4395</v>
      </c>
      <c r="B1850" s="17" t="s">
        <v>4245</v>
      </c>
      <c r="C1850" s="17" t="s">
        <v>271</v>
      </c>
      <c r="D1850" s="17" t="s">
        <v>269</v>
      </c>
      <c r="E1850" s="17">
        <v>5.2359699999999999E-4</v>
      </c>
      <c r="F1850" s="6" t="s">
        <v>233</v>
      </c>
      <c r="G1850" s="6" t="s">
        <v>234</v>
      </c>
      <c r="H1850" s="6">
        <v>3</v>
      </c>
    </row>
    <row r="1851" spans="1:8" ht="30" x14ac:dyDescent="0.25">
      <c r="A1851" s="17" t="s">
        <v>4396</v>
      </c>
      <c r="B1851" s="17" t="s">
        <v>3973</v>
      </c>
      <c r="C1851" s="17" t="s">
        <v>265</v>
      </c>
      <c r="D1851" s="17" t="s">
        <v>263</v>
      </c>
      <c r="E1851" s="17">
        <v>3.0449399999999999E-4</v>
      </c>
      <c r="F1851" s="6" t="s">
        <v>233</v>
      </c>
      <c r="G1851" s="6" t="s">
        <v>234</v>
      </c>
      <c r="H1851" s="6">
        <v>3</v>
      </c>
    </row>
    <row r="1852" spans="1:8" ht="30" x14ac:dyDescent="0.25">
      <c r="A1852" s="17" t="s">
        <v>4397</v>
      </c>
      <c r="B1852" s="17" t="s">
        <v>3973</v>
      </c>
      <c r="C1852" s="17" t="s">
        <v>265</v>
      </c>
      <c r="D1852" s="17" t="s">
        <v>263</v>
      </c>
      <c r="E1852" s="17">
        <v>3.0449399999999999E-4</v>
      </c>
      <c r="F1852" s="6" t="s">
        <v>233</v>
      </c>
      <c r="G1852" s="6" t="s">
        <v>234</v>
      </c>
      <c r="H1852" s="6">
        <v>3</v>
      </c>
    </row>
    <row r="1853" spans="1:8" ht="30" x14ac:dyDescent="0.25">
      <c r="A1853" s="17" t="s">
        <v>4398</v>
      </c>
      <c r="B1853" s="17" t="s">
        <v>4399</v>
      </c>
      <c r="C1853" s="17" t="s">
        <v>271</v>
      </c>
      <c r="D1853" s="17" t="s">
        <v>269</v>
      </c>
      <c r="E1853" s="17">
        <v>5.2359699999999999E-4</v>
      </c>
      <c r="F1853" s="6" t="s">
        <v>233</v>
      </c>
      <c r="G1853" s="6" t="s">
        <v>234</v>
      </c>
      <c r="H1853" s="6">
        <v>3</v>
      </c>
    </row>
    <row r="1854" spans="1:8" ht="30" x14ac:dyDescent="0.25">
      <c r="A1854" s="17" t="s">
        <v>4400</v>
      </c>
      <c r="B1854" s="17" t="s">
        <v>4401</v>
      </c>
      <c r="C1854" s="17" t="s">
        <v>271</v>
      </c>
      <c r="D1854" s="17" t="s">
        <v>269</v>
      </c>
      <c r="E1854" s="17">
        <v>5.2359699999999999E-4</v>
      </c>
      <c r="F1854" s="6" t="s">
        <v>233</v>
      </c>
      <c r="G1854" s="6" t="s">
        <v>234</v>
      </c>
      <c r="H1854" s="6">
        <v>3</v>
      </c>
    </row>
    <row r="1855" spans="1:8" ht="30" x14ac:dyDescent="0.25">
      <c r="A1855" s="17" t="s">
        <v>4402</v>
      </c>
      <c r="B1855" s="17" t="s">
        <v>4401</v>
      </c>
      <c r="C1855" s="17" t="s">
        <v>271</v>
      </c>
      <c r="D1855" s="17" t="s">
        <v>269</v>
      </c>
      <c r="E1855" s="17">
        <v>5.2359699999999999E-4</v>
      </c>
      <c r="F1855" s="6" t="s">
        <v>233</v>
      </c>
      <c r="G1855" s="6" t="s">
        <v>234</v>
      </c>
      <c r="H1855" s="6">
        <v>3</v>
      </c>
    </row>
    <row r="1856" spans="1:8" ht="30" x14ac:dyDescent="0.25">
      <c r="A1856" s="17" t="s">
        <v>4403</v>
      </c>
      <c r="B1856" s="17" t="s">
        <v>4404</v>
      </c>
      <c r="C1856" s="17" t="s">
        <v>301</v>
      </c>
      <c r="D1856" s="17" t="s">
        <v>299</v>
      </c>
      <c r="E1856" s="17">
        <v>6.3590900000000004E-4</v>
      </c>
      <c r="F1856" s="6" t="s">
        <v>233</v>
      </c>
      <c r="G1856" s="6" t="s">
        <v>234</v>
      </c>
      <c r="H1856" s="6">
        <v>3</v>
      </c>
    </row>
    <row r="1857" spans="1:8" ht="30" x14ac:dyDescent="0.25">
      <c r="A1857" s="17" t="s">
        <v>4405</v>
      </c>
      <c r="B1857" s="17" t="s">
        <v>4406</v>
      </c>
      <c r="C1857" s="17" t="s">
        <v>271</v>
      </c>
      <c r="D1857" s="17" t="s">
        <v>269</v>
      </c>
      <c r="E1857" s="17">
        <v>5.2359699999999999E-4</v>
      </c>
      <c r="F1857" s="6" t="s">
        <v>233</v>
      </c>
      <c r="G1857" s="6" t="s">
        <v>234</v>
      </c>
      <c r="H1857" s="6">
        <v>3</v>
      </c>
    </row>
    <row r="1858" spans="1:8" ht="30" x14ac:dyDescent="0.25">
      <c r="A1858" s="17" t="s">
        <v>4407</v>
      </c>
      <c r="B1858" s="17" t="s">
        <v>4408</v>
      </c>
      <c r="C1858" s="17" t="s">
        <v>271</v>
      </c>
      <c r="D1858" s="17" t="s">
        <v>269</v>
      </c>
      <c r="E1858" s="17">
        <v>5.2359699999999999E-4</v>
      </c>
      <c r="F1858" s="6" t="s">
        <v>233</v>
      </c>
      <c r="G1858" s="6" t="s">
        <v>234</v>
      </c>
      <c r="H1858" s="6">
        <v>3</v>
      </c>
    </row>
    <row r="1859" spans="1:8" ht="30" x14ac:dyDescent="0.25">
      <c r="A1859" s="17" t="s">
        <v>4409</v>
      </c>
      <c r="B1859" s="17" t="s">
        <v>4410</v>
      </c>
      <c r="C1859" s="17" t="s">
        <v>271</v>
      </c>
      <c r="D1859" s="17" t="s">
        <v>269</v>
      </c>
      <c r="E1859" s="17">
        <v>5.2359699999999999E-4</v>
      </c>
      <c r="F1859" s="6" t="s">
        <v>233</v>
      </c>
      <c r="G1859" s="6" t="s">
        <v>234</v>
      </c>
      <c r="H1859" s="6">
        <v>3</v>
      </c>
    </row>
    <row r="1860" spans="1:8" ht="30" x14ac:dyDescent="0.25">
      <c r="A1860" s="17" t="s">
        <v>4411</v>
      </c>
      <c r="B1860" s="17" t="s">
        <v>4100</v>
      </c>
      <c r="C1860" s="17" t="s">
        <v>271</v>
      </c>
      <c r="D1860" s="17" t="s">
        <v>269</v>
      </c>
      <c r="E1860" s="17">
        <v>5.2359699999999999E-4</v>
      </c>
      <c r="F1860" s="6" t="s">
        <v>233</v>
      </c>
      <c r="G1860" s="6" t="s">
        <v>234</v>
      </c>
      <c r="H1860" s="6">
        <v>3</v>
      </c>
    </row>
    <row r="1861" spans="1:8" ht="30" x14ac:dyDescent="0.25">
      <c r="A1861" s="17" t="s">
        <v>4412</v>
      </c>
      <c r="B1861" s="17" t="s">
        <v>4086</v>
      </c>
      <c r="C1861" s="17" t="s">
        <v>271</v>
      </c>
      <c r="D1861" s="17" t="s">
        <v>269</v>
      </c>
      <c r="E1861" s="17">
        <v>5.2359699999999999E-4</v>
      </c>
      <c r="F1861" s="6" t="s">
        <v>233</v>
      </c>
      <c r="G1861" s="6" t="s">
        <v>234</v>
      </c>
      <c r="H1861" s="6">
        <v>3</v>
      </c>
    </row>
    <row r="1862" spans="1:8" ht="30" x14ac:dyDescent="0.25">
      <c r="A1862" s="17" t="s">
        <v>4413</v>
      </c>
      <c r="B1862" s="17" t="s">
        <v>4200</v>
      </c>
      <c r="C1862" s="17" t="s">
        <v>271</v>
      </c>
      <c r="D1862" s="17" t="s">
        <v>269</v>
      </c>
      <c r="E1862" s="17">
        <v>5.2359699999999999E-4</v>
      </c>
      <c r="F1862" s="6" t="s">
        <v>233</v>
      </c>
      <c r="G1862" s="6" t="s">
        <v>234</v>
      </c>
      <c r="H1862" s="6">
        <v>3</v>
      </c>
    </row>
    <row r="1863" spans="1:8" ht="30" x14ac:dyDescent="0.25">
      <c r="A1863" s="17" t="s">
        <v>4414</v>
      </c>
      <c r="B1863" s="17" t="s">
        <v>4415</v>
      </c>
      <c r="C1863" s="17" t="s">
        <v>271</v>
      </c>
      <c r="D1863" s="17" t="s">
        <v>269</v>
      </c>
      <c r="E1863" s="17">
        <v>5.2359699999999999E-4</v>
      </c>
      <c r="F1863" s="6" t="s">
        <v>233</v>
      </c>
      <c r="G1863" s="6" t="s">
        <v>234</v>
      </c>
      <c r="H1863" s="6">
        <v>3</v>
      </c>
    </row>
    <row r="1864" spans="1:8" ht="30" x14ac:dyDescent="0.25">
      <c r="A1864" s="17" t="s">
        <v>4416</v>
      </c>
      <c r="B1864" s="17" t="s">
        <v>4417</v>
      </c>
      <c r="C1864" s="17" t="s">
        <v>280</v>
      </c>
      <c r="D1864" s="17" t="s">
        <v>278</v>
      </c>
      <c r="E1864" s="17">
        <v>6.2829699999999999E-4</v>
      </c>
      <c r="F1864" s="6" t="s">
        <v>233</v>
      </c>
      <c r="G1864" s="6" t="s">
        <v>234</v>
      </c>
      <c r="H1864" s="6">
        <v>3</v>
      </c>
    </row>
    <row r="1865" spans="1:8" ht="30" x14ac:dyDescent="0.25">
      <c r="A1865" s="17" t="s">
        <v>4418</v>
      </c>
      <c r="B1865" s="17" t="s">
        <v>4419</v>
      </c>
      <c r="C1865" s="17" t="s">
        <v>280</v>
      </c>
      <c r="D1865" s="17" t="s">
        <v>278</v>
      </c>
      <c r="E1865" s="17">
        <v>6.2829699999999999E-4</v>
      </c>
      <c r="F1865" s="6" t="s">
        <v>233</v>
      </c>
      <c r="G1865" s="6" t="s">
        <v>234</v>
      </c>
      <c r="H1865" s="6">
        <v>3</v>
      </c>
    </row>
    <row r="1866" spans="1:8" ht="30" x14ac:dyDescent="0.25">
      <c r="A1866" s="17" t="s">
        <v>4420</v>
      </c>
      <c r="B1866" s="17" t="s">
        <v>4421</v>
      </c>
      <c r="C1866" s="17" t="s">
        <v>271</v>
      </c>
      <c r="D1866" s="17" t="s">
        <v>269</v>
      </c>
      <c r="E1866" s="17">
        <v>5.2359699999999999E-4</v>
      </c>
      <c r="F1866" s="6" t="s">
        <v>233</v>
      </c>
      <c r="G1866" s="6" t="s">
        <v>234</v>
      </c>
      <c r="H1866" s="6">
        <v>3</v>
      </c>
    </row>
    <row r="1867" spans="1:8" ht="30" x14ac:dyDescent="0.25">
      <c r="A1867" s="17" t="s">
        <v>4422</v>
      </c>
      <c r="B1867" s="17" t="s">
        <v>3963</v>
      </c>
      <c r="C1867" s="17" t="s">
        <v>271</v>
      </c>
      <c r="D1867" s="17" t="s">
        <v>269</v>
      </c>
      <c r="E1867" s="17">
        <v>5.2359699999999999E-4</v>
      </c>
      <c r="F1867" s="6" t="s">
        <v>233</v>
      </c>
      <c r="G1867" s="6" t="s">
        <v>234</v>
      </c>
      <c r="H1867" s="6">
        <v>3</v>
      </c>
    </row>
    <row r="1868" spans="1:8" ht="30" x14ac:dyDescent="0.25">
      <c r="A1868" s="17" t="s">
        <v>4423</v>
      </c>
      <c r="B1868" s="17" t="s">
        <v>4424</v>
      </c>
      <c r="C1868" s="17" t="s">
        <v>280</v>
      </c>
      <c r="D1868" s="17" t="s">
        <v>278</v>
      </c>
      <c r="E1868" s="17">
        <v>6.2829699999999999E-4</v>
      </c>
      <c r="F1868" s="6" t="s">
        <v>233</v>
      </c>
      <c r="G1868" s="6" t="s">
        <v>234</v>
      </c>
      <c r="H1868" s="6">
        <v>3</v>
      </c>
    </row>
    <row r="1869" spans="1:8" ht="30" x14ac:dyDescent="0.25">
      <c r="A1869" s="17" t="s">
        <v>4425</v>
      </c>
      <c r="B1869" s="17" t="s">
        <v>4426</v>
      </c>
      <c r="C1869" s="17" t="s">
        <v>271</v>
      </c>
      <c r="D1869" s="17" t="s">
        <v>269</v>
      </c>
      <c r="E1869" s="17">
        <v>5.2359699999999999E-4</v>
      </c>
      <c r="F1869" s="6" t="s">
        <v>233</v>
      </c>
      <c r="G1869" s="6" t="s">
        <v>234</v>
      </c>
      <c r="H1869" s="6">
        <v>3</v>
      </c>
    </row>
    <row r="1870" spans="1:8" ht="30" x14ac:dyDescent="0.25">
      <c r="A1870" s="17" t="s">
        <v>4427</v>
      </c>
      <c r="B1870" s="17" t="s">
        <v>4150</v>
      </c>
      <c r="C1870" s="17" t="s">
        <v>271</v>
      </c>
      <c r="D1870" s="17" t="s">
        <v>269</v>
      </c>
      <c r="E1870" s="17">
        <v>5.2359699999999999E-4</v>
      </c>
      <c r="F1870" s="6" t="s">
        <v>233</v>
      </c>
      <c r="G1870" s="6" t="s">
        <v>234</v>
      </c>
      <c r="H1870" s="6">
        <v>3</v>
      </c>
    </row>
    <row r="1871" spans="1:8" ht="30" x14ac:dyDescent="0.25">
      <c r="A1871" s="17" t="s">
        <v>4428</v>
      </c>
      <c r="B1871" s="17" t="s">
        <v>4150</v>
      </c>
      <c r="C1871" s="17" t="s">
        <v>271</v>
      </c>
      <c r="D1871" s="17" t="s">
        <v>269</v>
      </c>
      <c r="E1871" s="17">
        <v>5.2359699999999999E-4</v>
      </c>
      <c r="F1871" s="6" t="s">
        <v>233</v>
      </c>
      <c r="G1871" s="6" t="s">
        <v>234</v>
      </c>
      <c r="H1871" s="6">
        <v>3</v>
      </c>
    </row>
    <row r="1872" spans="1:8" ht="30" x14ac:dyDescent="0.25">
      <c r="A1872" s="17" t="s">
        <v>4429</v>
      </c>
      <c r="B1872" s="17" t="s">
        <v>4150</v>
      </c>
      <c r="C1872" s="17" t="s">
        <v>271</v>
      </c>
      <c r="D1872" s="17" t="s">
        <v>269</v>
      </c>
      <c r="E1872" s="17">
        <v>5.2359699999999999E-4</v>
      </c>
      <c r="F1872" s="6" t="s">
        <v>233</v>
      </c>
      <c r="G1872" s="6" t="s">
        <v>234</v>
      </c>
      <c r="H1872" s="6">
        <v>3</v>
      </c>
    </row>
    <row r="1873" spans="1:8" ht="30" x14ac:dyDescent="0.25">
      <c r="A1873" s="17" t="s">
        <v>4430</v>
      </c>
      <c r="B1873" s="17" t="s">
        <v>4150</v>
      </c>
      <c r="C1873" s="17" t="s">
        <v>271</v>
      </c>
      <c r="D1873" s="17" t="s">
        <v>269</v>
      </c>
      <c r="E1873" s="17">
        <v>5.2359699999999999E-4</v>
      </c>
      <c r="F1873" s="6" t="s">
        <v>233</v>
      </c>
      <c r="G1873" s="6" t="s">
        <v>234</v>
      </c>
      <c r="H1873" s="6">
        <v>3</v>
      </c>
    </row>
    <row r="1874" spans="1:8" ht="30" x14ac:dyDescent="0.25">
      <c r="A1874" s="17" t="s">
        <v>4431</v>
      </c>
      <c r="B1874" s="17" t="s">
        <v>4432</v>
      </c>
      <c r="C1874" s="17" t="s">
        <v>271</v>
      </c>
      <c r="D1874" s="17" t="s">
        <v>269</v>
      </c>
      <c r="E1874" s="17">
        <v>5.2359699999999999E-4</v>
      </c>
      <c r="F1874" s="6" t="s">
        <v>233</v>
      </c>
      <c r="G1874" s="6" t="s">
        <v>234</v>
      </c>
      <c r="H1874" s="6">
        <v>3</v>
      </c>
    </row>
    <row r="1875" spans="1:8" ht="30" x14ac:dyDescent="0.25">
      <c r="A1875" s="17" t="s">
        <v>4433</v>
      </c>
      <c r="B1875" s="17" t="s">
        <v>4434</v>
      </c>
      <c r="C1875" s="17" t="s">
        <v>271</v>
      </c>
      <c r="D1875" s="17" t="s">
        <v>269</v>
      </c>
      <c r="E1875" s="17">
        <v>5.2359699999999999E-4</v>
      </c>
      <c r="F1875" s="6" t="s">
        <v>233</v>
      </c>
      <c r="G1875" s="6" t="s">
        <v>234</v>
      </c>
      <c r="H1875" s="6">
        <v>3</v>
      </c>
    </row>
    <row r="1876" spans="1:8" ht="30" x14ac:dyDescent="0.25">
      <c r="A1876" s="17" t="s">
        <v>4435</v>
      </c>
      <c r="B1876" s="17" t="s">
        <v>4436</v>
      </c>
      <c r="C1876" s="17" t="s">
        <v>271</v>
      </c>
      <c r="D1876" s="17" t="s">
        <v>269</v>
      </c>
      <c r="E1876" s="17">
        <v>5.2359699999999999E-4</v>
      </c>
      <c r="F1876" s="6" t="s">
        <v>233</v>
      </c>
      <c r="G1876" s="6" t="s">
        <v>234</v>
      </c>
      <c r="H1876" s="6">
        <v>3</v>
      </c>
    </row>
    <row r="1877" spans="1:8" ht="30" x14ac:dyDescent="0.25">
      <c r="A1877" s="17" t="s">
        <v>4437</v>
      </c>
      <c r="B1877" s="17" t="s">
        <v>4438</v>
      </c>
      <c r="C1877" s="17" t="s">
        <v>280</v>
      </c>
      <c r="D1877" s="17" t="s">
        <v>278</v>
      </c>
      <c r="E1877" s="17">
        <v>6.2829699999999999E-4</v>
      </c>
      <c r="F1877" s="6" t="s">
        <v>233</v>
      </c>
      <c r="G1877" s="6" t="s">
        <v>234</v>
      </c>
      <c r="H1877" s="6">
        <v>3</v>
      </c>
    </row>
    <row r="1878" spans="1:8" ht="30" x14ac:dyDescent="0.25">
      <c r="A1878" s="17" t="s">
        <v>4439</v>
      </c>
      <c r="B1878" s="17" t="s">
        <v>4440</v>
      </c>
      <c r="C1878" s="17" t="s">
        <v>280</v>
      </c>
      <c r="D1878" s="17" t="s">
        <v>278</v>
      </c>
      <c r="E1878" s="17">
        <v>6.2829699999999999E-4</v>
      </c>
      <c r="F1878" s="6" t="s">
        <v>233</v>
      </c>
      <c r="G1878" s="6" t="s">
        <v>234</v>
      </c>
      <c r="H1878" s="6">
        <v>3</v>
      </c>
    </row>
    <row r="1879" spans="1:8" ht="30" x14ac:dyDescent="0.25">
      <c r="A1879" s="17" t="s">
        <v>4441</v>
      </c>
      <c r="B1879" s="17" t="s">
        <v>4442</v>
      </c>
      <c r="C1879" s="17" t="s">
        <v>280</v>
      </c>
      <c r="D1879" s="17" t="s">
        <v>278</v>
      </c>
      <c r="E1879" s="17">
        <v>6.2829699999999999E-4</v>
      </c>
      <c r="F1879" s="6" t="s">
        <v>233</v>
      </c>
      <c r="G1879" s="6" t="s">
        <v>234</v>
      </c>
      <c r="H1879" s="6">
        <v>3</v>
      </c>
    </row>
    <row r="1880" spans="1:8" ht="30" x14ac:dyDescent="0.25">
      <c r="A1880" s="17" t="s">
        <v>4443</v>
      </c>
      <c r="B1880" s="17" t="s">
        <v>4444</v>
      </c>
      <c r="C1880" s="17" t="s">
        <v>280</v>
      </c>
      <c r="D1880" s="17" t="s">
        <v>278</v>
      </c>
      <c r="E1880" s="17">
        <v>6.2829699999999999E-4</v>
      </c>
      <c r="F1880" s="6" t="s">
        <v>233</v>
      </c>
      <c r="G1880" s="6" t="s">
        <v>234</v>
      </c>
      <c r="H1880" s="6">
        <v>3</v>
      </c>
    </row>
    <row r="1881" spans="1:8" ht="30" x14ac:dyDescent="0.25">
      <c r="A1881" s="17" t="s">
        <v>4445</v>
      </c>
      <c r="B1881" s="17" t="s">
        <v>4446</v>
      </c>
      <c r="C1881" s="17" t="s">
        <v>280</v>
      </c>
      <c r="D1881" s="17" t="s">
        <v>278</v>
      </c>
      <c r="E1881" s="17">
        <v>6.2829699999999999E-4</v>
      </c>
      <c r="F1881" s="6" t="s">
        <v>233</v>
      </c>
      <c r="G1881" s="6" t="s">
        <v>234</v>
      </c>
      <c r="H1881" s="6">
        <v>3</v>
      </c>
    </row>
    <row r="1882" spans="1:8" ht="30" x14ac:dyDescent="0.25">
      <c r="A1882" s="17" t="s">
        <v>4447</v>
      </c>
      <c r="B1882" s="17" t="s">
        <v>4448</v>
      </c>
      <c r="C1882" s="17" t="s">
        <v>301</v>
      </c>
      <c r="D1882" s="17" t="s">
        <v>299</v>
      </c>
      <c r="E1882" s="17">
        <v>6.3590900000000004E-4</v>
      </c>
      <c r="F1882" s="6" t="s">
        <v>233</v>
      </c>
      <c r="G1882" s="6" t="s">
        <v>234</v>
      </c>
      <c r="H1882" s="6">
        <v>3</v>
      </c>
    </row>
    <row r="1883" spans="1:8" ht="30" x14ac:dyDescent="0.25">
      <c r="A1883" s="17" t="s">
        <v>4449</v>
      </c>
      <c r="B1883" s="17" t="s">
        <v>4450</v>
      </c>
      <c r="C1883" s="17" t="s">
        <v>301</v>
      </c>
      <c r="D1883" s="17" t="s">
        <v>299</v>
      </c>
      <c r="E1883" s="17">
        <v>6.3590900000000004E-4</v>
      </c>
      <c r="F1883" s="6" t="s">
        <v>233</v>
      </c>
      <c r="G1883" s="6" t="s">
        <v>234</v>
      </c>
      <c r="H1883" s="6">
        <v>3</v>
      </c>
    </row>
    <row r="1884" spans="1:8" ht="30" x14ac:dyDescent="0.25">
      <c r="A1884" s="17" t="s">
        <v>4451</v>
      </c>
      <c r="B1884" s="17" t="s">
        <v>4452</v>
      </c>
      <c r="C1884" s="17" t="s">
        <v>271</v>
      </c>
      <c r="D1884" s="17" t="s">
        <v>269</v>
      </c>
      <c r="E1884" s="17">
        <v>5.2359699999999999E-4</v>
      </c>
      <c r="F1884" s="6" t="s">
        <v>233</v>
      </c>
      <c r="G1884" s="6" t="s">
        <v>234</v>
      </c>
      <c r="H1884" s="6">
        <v>3</v>
      </c>
    </row>
    <row r="1885" spans="1:8" ht="30" x14ac:dyDescent="0.25">
      <c r="A1885" s="17" t="s">
        <v>4453</v>
      </c>
      <c r="B1885" s="17" t="s">
        <v>4269</v>
      </c>
      <c r="C1885" s="17" t="s">
        <v>271</v>
      </c>
      <c r="D1885" s="17" t="s">
        <v>269</v>
      </c>
      <c r="E1885" s="17">
        <v>5.2359699999999999E-4</v>
      </c>
      <c r="F1885" s="6" t="s">
        <v>233</v>
      </c>
      <c r="G1885" s="6" t="s">
        <v>234</v>
      </c>
      <c r="H1885" s="6">
        <v>3</v>
      </c>
    </row>
    <row r="1886" spans="1:8" ht="30" x14ac:dyDescent="0.25">
      <c r="A1886" s="17" t="s">
        <v>4454</v>
      </c>
      <c r="B1886" s="17" t="s">
        <v>4455</v>
      </c>
      <c r="C1886" s="17" t="s">
        <v>280</v>
      </c>
      <c r="D1886" s="17" t="s">
        <v>278</v>
      </c>
      <c r="E1886" s="17">
        <v>6.2829699999999999E-4</v>
      </c>
      <c r="F1886" s="6" t="s">
        <v>233</v>
      </c>
      <c r="G1886" s="6" t="s">
        <v>234</v>
      </c>
      <c r="H1886" s="6">
        <v>3</v>
      </c>
    </row>
    <row r="1887" spans="1:8" ht="30" x14ac:dyDescent="0.25">
      <c r="A1887" s="17" t="s">
        <v>4456</v>
      </c>
      <c r="B1887" s="17" t="s">
        <v>1444</v>
      </c>
      <c r="C1887" s="17" t="s">
        <v>280</v>
      </c>
      <c r="D1887" s="17" t="s">
        <v>278</v>
      </c>
      <c r="E1887" s="17">
        <v>6.2829699999999999E-4</v>
      </c>
      <c r="F1887" s="6" t="s">
        <v>233</v>
      </c>
      <c r="G1887" s="6" t="s">
        <v>234</v>
      </c>
      <c r="H1887" s="6">
        <v>3</v>
      </c>
    </row>
    <row r="1888" spans="1:8" ht="30" x14ac:dyDescent="0.25">
      <c r="A1888" s="17" t="s">
        <v>4457</v>
      </c>
      <c r="B1888" s="17" t="s">
        <v>4458</v>
      </c>
      <c r="C1888" s="17" t="s">
        <v>280</v>
      </c>
      <c r="D1888" s="17" t="s">
        <v>278</v>
      </c>
      <c r="E1888" s="17">
        <v>6.2829699999999999E-4</v>
      </c>
      <c r="F1888" s="6" t="s">
        <v>233</v>
      </c>
      <c r="G1888" s="6" t="s">
        <v>234</v>
      </c>
      <c r="H1888" s="6">
        <v>3</v>
      </c>
    </row>
    <row r="1889" spans="1:8" ht="30" x14ac:dyDescent="0.25">
      <c r="A1889" s="17" t="s">
        <v>4459</v>
      </c>
      <c r="B1889" s="17" t="s">
        <v>4460</v>
      </c>
      <c r="C1889" s="17" t="s">
        <v>256</v>
      </c>
      <c r="D1889" s="17" t="s">
        <v>254</v>
      </c>
      <c r="E1889" s="17">
        <v>8.1312799999999998E-4</v>
      </c>
      <c r="F1889" s="6" t="s">
        <v>233</v>
      </c>
      <c r="G1889" s="6" t="s">
        <v>234</v>
      </c>
      <c r="H1889" s="6">
        <v>3</v>
      </c>
    </row>
    <row r="1890" spans="1:8" ht="30" x14ac:dyDescent="0.25">
      <c r="A1890" s="17" t="s">
        <v>4461</v>
      </c>
      <c r="B1890" s="17" t="s">
        <v>4462</v>
      </c>
      <c r="C1890" s="17" t="s">
        <v>280</v>
      </c>
      <c r="D1890" s="17" t="s">
        <v>278</v>
      </c>
      <c r="E1890" s="17">
        <v>6.2829699999999999E-4</v>
      </c>
      <c r="F1890" s="6" t="s">
        <v>233</v>
      </c>
      <c r="G1890" s="6" t="s">
        <v>234</v>
      </c>
      <c r="H1890" s="6">
        <v>3</v>
      </c>
    </row>
    <row r="1891" spans="1:8" ht="30" x14ac:dyDescent="0.25">
      <c r="A1891" s="17" t="s">
        <v>4463</v>
      </c>
      <c r="B1891" s="17" t="s">
        <v>4464</v>
      </c>
      <c r="C1891" s="17" t="s">
        <v>256</v>
      </c>
      <c r="D1891" s="17" t="s">
        <v>254</v>
      </c>
      <c r="E1891" s="17">
        <v>8.1312799999999998E-4</v>
      </c>
      <c r="F1891" s="6" t="s">
        <v>233</v>
      </c>
      <c r="G1891" s="6" t="s">
        <v>234</v>
      </c>
      <c r="H1891" s="6">
        <v>3</v>
      </c>
    </row>
    <row r="1892" spans="1:8" ht="30" x14ac:dyDescent="0.25">
      <c r="A1892" s="17" t="s">
        <v>4465</v>
      </c>
      <c r="B1892" s="17" t="s">
        <v>4466</v>
      </c>
      <c r="C1892" s="17" t="s">
        <v>271</v>
      </c>
      <c r="D1892" s="17" t="s">
        <v>269</v>
      </c>
      <c r="E1892" s="17">
        <v>5.2359699999999999E-4</v>
      </c>
      <c r="F1892" s="6" t="s">
        <v>233</v>
      </c>
      <c r="G1892" s="6" t="s">
        <v>234</v>
      </c>
      <c r="H1892" s="6">
        <v>3</v>
      </c>
    </row>
    <row r="1893" spans="1:8" ht="30" x14ac:dyDescent="0.25">
      <c r="A1893" s="17" t="s">
        <v>4467</v>
      </c>
      <c r="B1893" s="17" t="s">
        <v>4468</v>
      </c>
      <c r="C1893" s="17" t="s">
        <v>301</v>
      </c>
      <c r="D1893" s="17" t="s">
        <v>299</v>
      </c>
      <c r="E1893" s="17">
        <v>6.3590900000000004E-4</v>
      </c>
      <c r="F1893" s="6" t="s">
        <v>233</v>
      </c>
      <c r="G1893" s="6" t="s">
        <v>234</v>
      </c>
      <c r="H1893" s="6">
        <v>3</v>
      </c>
    </row>
    <row r="1894" spans="1:8" ht="30" x14ac:dyDescent="0.25">
      <c r="A1894" s="17" t="s">
        <v>4469</v>
      </c>
      <c r="B1894" s="17" t="s">
        <v>4470</v>
      </c>
      <c r="C1894" s="17" t="s">
        <v>280</v>
      </c>
      <c r="D1894" s="17" t="s">
        <v>278</v>
      </c>
      <c r="E1894" s="17">
        <v>6.2829699999999999E-4</v>
      </c>
      <c r="F1894" s="6" t="s">
        <v>233</v>
      </c>
      <c r="G1894" s="6" t="s">
        <v>234</v>
      </c>
      <c r="H1894" s="6">
        <v>3</v>
      </c>
    </row>
    <row r="1895" spans="1:8" ht="30" x14ac:dyDescent="0.25">
      <c r="A1895" s="17" t="s">
        <v>4471</v>
      </c>
      <c r="B1895" s="17" t="s">
        <v>4472</v>
      </c>
      <c r="C1895" s="17" t="s">
        <v>244</v>
      </c>
      <c r="D1895" s="17" t="s">
        <v>242</v>
      </c>
      <c r="E1895" s="17">
        <v>5.4284299999999999E-4</v>
      </c>
      <c r="F1895" s="6" t="s">
        <v>233</v>
      </c>
      <c r="G1895" s="6" t="s">
        <v>234</v>
      </c>
      <c r="H1895" s="6">
        <v>3</v>
      </c>
    </row>
    <row r="1896" spans="1:8" ht="30" x14ac:dyDescent="0.25">
      <c r="A1896" s="17" t="s">
        <v>1426</v>
      </c>
      <c r="B1896" s="17" t="s">
        <v>4473</v>
      </c>
      <c r="C1896" s="17" t="s">
        <v>271</v>
      </c>
      <c r="D1896" s="17" t="s">
        <v>269</v>
      </c>
      <c r="E1896" s="17">
        <v>5.2359699999999999E-4</v>
      </c>
      <c r="F1896" s="6" t="s">
        <v>233</v>
      </c>
      <c r="G1896" s="6" t="s">
        <v>234</v>
      </c>
      <c r="H1896" s="6">
        <v>3</v>
      </c>
    </row>
    <row r="1897" spans="1:8" ht="30" x14ac:dyDescent="0.25">
      <c r="A1897" s="17" t="s">
        <v>4474</v>
      </c>
      <c r="B1897" s="17" t="s">
        <v>4475</v>
      </c>
      <c r="C1897" s="17" t="s">
        <v>346</v>
      </c>
      <c r="D1897" s="17" t="s">
        <v>1275</v>
      </c>
      <c r="E1897" s="17">
        <v>2.10657E-4</v>
      </c>
      <c r="F1897" s="6" t="s">
        <v>233</v>
      </c>
      <c r="G1897" s="6" t="s">
        <v>234</v>
      </c>
      <c r="H1897" s="6">
        <v>3</v>
      </c>
    </row>
    <row r="1898" spans="1:8" ht="30" x14ac:dyDescent="0.25">
      <c r="A1898" s="17" t="s">
        <v>4476</v>
      </c>
      <c r="B1898" s="17" t="s">
        <v>4477</v>
      </c>
      <c r="C1898" s="17" t="s">
        <v>256</v>
      </c>
      <c r="D1898" s="17" t="s">
        <v>254</v>
      </c>
      <c r="E1898" s="17">
        <v>8.1312799999999998E-4</v>
      </c>
      <c r="F1898" s="6" t="s">
        <v>233</v>
      </c>
      <c r="G1898" s="6" t="s">
        <v>234</v>
      </c>
      <c r="H1898" s="6">
        <v>3</v>
      </c>
    </row>
    <row r="1899" spans="1:8" ht="30" x14ac:dyDescent="0.25">
      <c r="A1899" s="17" t="s">
        <v>1434</v>
      </c>
      <c r="B1899" s="17" t="s">
        <v>4478</v>
      </c>
      <c r="C1899" s="17" t="s">
        <v>256</v>
      </c>
      <c r="D1899" s="17" t="s">
        <v>254</v>
      </c>
      <c r="E1899" s="17">
        <v>8.1312799999999998E-4</v>
      </c>
      <c r="F1899" s="6" t="s">
        <v>233</v>
      </c>
      <c r="G1899" s="6" t="s">
        <v>234</v>
      </c>
      <c r="H1899" s="6">
        <v>3</v>
      </c>
    </row>
    <row r="1900" spans="1:8" ht="30" x14ac:dyDescent="0.25">
      <c r="A1900" s="17" t="s">
        <v>4479</v>
      </c>
      <c r="B1900" s="17" t="s">
        <v>4480</v>
      </c>
      <c r="C1900" s="17" t="s">
        <v>265</v>
      </c>
      <c r="D1900" s="17" t="s">
        <v>263</v>
      </c>
      <c r="E1900" s="17">
        <v>3.0449399999999999E-4</v>
      </c>
      <c r="F1900" s="6" t="s">
        <v>233</v>
      </c>
      <c r="G1900" s="6" t="s">
        <v>234</v>
      </c>
      <c r="H1900" s="6">
        <v>3</v>
      </c>
    </row>
    <row r="1901" spans="1:8" ht="30" x14ac:dyDescent="0.25">
      <c r="A1901" s="17" t="s">
        <v>4481</v>
      </c>
      <c r="B1901" s="17" t="s">
        <v>4482</v>
      </c>
      <c r="C1901" s="17" t="s">
        <v>271</v>
      </c>
      <c r="D1901" s="17" t="s">
        <v>269</v>
      </c>
      <c r="E1901" s="17">
        <v>5.2359699999999999E-4</v>
      </c>
      <c r="F1901" s="6" t="s">
        <v>233</v>
      </c>
      <c r="G1901" s="6" t="s">
        <v>234</v>
      </c>
      <c r="H1901" s="6">
        <v>3</v>
      </c>
    </row>
    <row r="1902" spans="1:8" ht="30" x14ac:dyDescent="0.25">
      <c r="A1902" s="17" t="s">
        <v>4483</v>
      </c>
      <c r="B1902" s="17" t="s">
        <v>4482</v>
      </c>
      <c r="C1902" s="17" t="s">
        <v>271</v>
      </c>
      <c r="D1902" s="17" t="s">
        <v>269</v>
      </c>
      <c r="E1902" s="17">
        <v>5.2359699999999999E-4</v>
      </c>
      <c r="F1902" s="6" t="s">
        <v>233</v>
      </c>
      <c r="G1902" s="6" t="s">
        <v>234</v>
      </c>
      <c r="H1902" s="6">
        <v>3</v>
      </c>
    </row>
    <row r="1903" spans="1:8" ht="30" x14ac:dyDescent="0.25">
      <c r="A1903" s="17" t="s">
        <v>4484</v>
      </c>
      <c r="B1903" s="17" t="s">
        <v>4485</v>
      </c>
      <c r="C1903" s="17" t="s">
        <v>265</v>
      </c>
      <c r="D1903" s="17" t="s">
        <v>263</v>
      </c>
      <c r="E1903" s="17">
        <v>3.0449399999999999E-4</v>
      </c>
      <c r="F1903" s="6" t="s">
        <v>233</v>
      </c>
      <c r="G1903" s="6" t="s">
        <v>234</v>
      </c>
      <c r="H1903" s="6">
        <v>3</v>
      </c>
    </row>
    <row r="1904" spans="1:8" ht="30" x14ac:dyDescent="0.25">
      <c r="A1904" s="17" t="s">
        <v>4486</v>
      </c>
      <c r="B1904" s="17" t="s">
        <v>4487</v>
      </c>
      <c r="C1904" s="17" t="s">
        <v>280</v>
      </c>
      <c r="D1904" s="17" t="s">
        <v>278</v>
      </c>
      <c r="E1904" s="17">
        <v>6.2829699999999999E-4</v>
      </c>
      <c r="F1904" s="6" t="s">
        <v>233</v>
      </c>
      <c r="G1904" s="6" t="s">
        <v>234</v>
      </c>
      <c r="H1904" s="6">
        <v>3</v>
      </c>
    </row>
    <row r="1905" spans="1:8" ht="30" x14ac:dyDescent="0.25">
      <c r="A1905" s="17" t="s">
        <v>4488</v>
      </c>
      <c r="B1905" s="17" t="s">
        <v>4489</v>
      </c>
      <c r="C1905" s="17" t="s">
        <v>271</v>
      </c>
      <c r="D1905" s="17" t="s">
        <v>269</v>
      </c>
      <c r="E1905" s="17">
        <v>5.2359699999999999E-4</v>
      </c>
      <c r="F1905" s="6" t="s">
        <v>233</v>
      </c>
      <c r="G1905" s="6" t="s">
        <v>234</v>
      </c>
      <c r="H1905" s="6">
        <v>3</v>
      </c>
    </row>
    <row r="1906" spans="1:8" ht="30" x14ac:dyDescent="0.25">
      <c r="A1906" s="17" t="s">
        <v>4490</v>
      </c>
      <c r="B1906" s="17" t="s">
        <v>4086</v>
      </c>
      <c r="C1906" s="17" t="s">
        <v>271</v>
      </c>
      <c r="D1906" s="17" t="s">
        <v>269</v>
      </c>
      <c r="E1906" s="17">
        <v>5.2359699999999999E-4</v>
      </c>
      <c r="F1906" s="6" t="s">
        <v>233</v>
      </c>
      <c r="G1906" s="6" t="s">
        <v>234</v>
      </c>
      <c r="H1906" s="6">
        <v>3</v>
      </c>
    </row>
    <row r="1907" spans="1:8" ht="30" x14ac:dyDescent="0.25">
      <c r="A1907" s="17" t="s">
        <v>4491</v>
      </c>
      <c r="B1907" s="17" t="s">
        <v>4269</v>
      </c>
      <c r="C1907" s="17" t="s">
        <v>271</v>
      </c>
      <c r="D1907" s="17" t="s">
        <v>269</v>
      </c>
      <c r="E1907" s="17">
        <v>5.2359699999999999E-4</v>
      </c>
      <c r="F1907" s="6" t="s">
        <v>233</v>
      </c>
      <c r="G1907" s="6" t="s">
        <v>234</v>
      </c>
      <c r="H1907" s="6">
        <v>3</v>
      </c>
    </row>
    <row r="1908" spans="1:8" ht="30" x14ac:dyDescent="0.25">
      <c r="A1908" s="17" t="s">
        <v>4492</v>
      </c>
      <c r="B1908" s="17" t="s">
        <v>4269</v>
      </c>
      <c r="C1908" s="17" t="s">
        <v>271</v>
      </c>
      <c r="D1908" s="17" t="s">
        <v>269</v>
      </c>
      <c r="E1908" s="17">
        <v>5.2359699999999999E-4</v>
      </c>
      <c r="F1908" s="6" t="s">
        <v>233</v>
      </c>
      <c r="G1908" s="6" t="s">
        <v>234</v>
      </c>
      <c r="H1908" s="6">
        <v>3</v>
      </c>
    </row>
    <row r="1909" spans="1:8" ht="30" x14ac:dyDescent="0.25">
      <c r="A1909" s="17" t="s">
        <v>4493</v>
      </c>
      <c r="B1909" s="17" t="s">
        <v>4271</v>
      </c>
      <c r="C1909" s="17" t="s">
        <v>271</v>
      </c>
      <c r="D1909" s="17" t="s">
        <v>269</v>
      </c>
      <c r="E1909" s="17">
        <v>5.2359699999999999E-4</v>
      </c>
      <c r="F1909" s="6" t="s">
        <v>233</v>
      </c>
      <c r="G1909" s="6" t="s">
        <v>234</v>
      </c>
      <c r="H1909" s="6">
        <v>3</v>
      </c>
    </row>
    <row r="1910" spans="1:8" ht="30" x14ac:dyDescent="0.25">
      <c r="A1910" s="17" t="s">
        <v>4494</v>
      </c>
      <c r="B1910" s="17" t="s">
        <v>3963</v>
      </c>
      <c r="C1910" s="17" t="s">
        <v>271</v>
      </c>
      <c r="D1910" s="17" t="s">
        <v>269</v>
      </c>
      <c r="E1910" s="17">
        <v>5.2359699999999999E-4</v>
      </c>
      <c r="F1910" s="6" t="s">
        <v>233</v>
      </c>
      <c r="G1910" s="6" t="s">
        <v>234</v>
      </c>
      <c r="H1910" s="6">
        <v>3</v>
      </c>
    </row>
    <row r="1911" spans="1:8" ht="30" x14ac:dyDescent="0.25">
      <c r="A1911" s="17" t="s">
        <v>4495</v>
      </c>
      <c r="B1911" s="17" t="s">
        <v>4455</v>
      </c>
      <c r="C1911" s="17" t="s">
        <v>280</v>
      </c>
      <c r="D1911" s="17" t="s">
        <v>278</v>
      </c>
      <c r="E1911" s="17">
        <v>6.2829699999999999E-4</v>
      </c>
      <c r="F1911" s="6" t="s">
        <v>233</v>
      </c>
      <c r="G1911" s="6" t="s">
        <v>234</v>
      </c>
      <c r="H1911" s="6">
        <v>3</v>
      </c>
    </row>
    <row r="1912" spans="1:8" ht="30" x14ac:dyDescent="0.25">
      <c r="A1912" s="17" t="s">
        <v>4496</v>
      </c>
      <c r="B1912" s="17" t="s">
        <v>4455</v>
      </c>
      <c r="C1912" s="17" t="s">
        <v>280</v>
      </c>
      <c r="D1912" s="17" t="s">
        <v>278</v>
      </c>
      <c r="E1912" s="17">
        <v>6.2829699999999999E-4</v>
      </c>
      <c r="F1912" s="6" t="s">
        <v>233</v>
      </c>
      <c r="G1912" s="6" t="s">
        <v>234</v>
      </c>
      <c r="H1912" s="6">
        <v>3</v>
      </c>
    </row>
    <row r="1913" spans="1:8" ht="30" x14ac:dyDescent="0.25">
      <c r="A1913" s="17" t="s">
        <v>4007</v>
      </c>
      <c r="B1913" s="17" t="s">
        <v>4497</v>
      </c>
      <c r="C1913" s="17" t="s">
        <v>301</v>
      </c>
      <c r="D1913" s="17" t="s">
        <v>299</v>
      </c>
      <c r="E1913" s="17">
        <v>6.3590900000000004E-4</v>
      </c>
      <c r="F1913" s="6" t="s">
        <v>233</v>
      </c>
      <c r="G1913" s="6" t="s">
        <v>234</v>
      </c>
      <c r="H1913" s="6">
        <v>3</v>
      </c>
    </row>
    <row r="1914" spans="1:8" ht="30" x14ac:dyDescent="0.25">
      <c r="A1914" s="17" t="s">
        <v>4498</v>
      </c>
      <c r="B1914" s="17" t="s">
        <v>4499</v>
      </c>
      <c r="C1914" s="17" t="s">
        <v>301</v>
      </c>
      <c r="D1914" s="17" t="s">
        <v>299</v>
      </c>
      <c r="E1914" s="17">
        <v>6.3590900000000004E-4</v>
      </c>
      <c r="F1914" s="6" t="s">
        <v>233</v>
      </c>
      <c r="G1914" s="6" t="s">
        <v>234</v>
      </c>
      <c r="H1914" s="6">
        <v>3</v>
      </c>
    </row>
    <row r="1915" spans="1:8" ht="30" x14ac:dyDescent="0.25">
      <c r="A1915" s="17" t="s">
        <v>4500</v>
      </c>
      <c r="B1915" s="17" t="s">
        <v>4501</v>
      </c>
      <c r="C1915" s="17" t="s">
        <v>271</v>
      </c>
      <c r="D1915" s="17" t="s">
        <v>269</v>
      </c>
      <c r="E1915" s="17">
        <v>5.2359699999999999E-4</v>
      </c>
      <c r="F1915" s="6" t="s">
        <v>233</v>
      </c>
      <c r="G1915" s="6" t="s">
        <v>234</v>
      </c>
      <c r="H1915" s="6">
        <v>3</v>
      </c>
    </row>
    <row r="1916" spans="1:8" ht="30" x14ac:dyDescent="0.25">
      <c r="A1916" s="17" t="s">
        <v>4502</v>
      </c>
      <c r="B1916" s="17" t="s">
        <v>4501</v>
      </c>
      <c r="C1916" s="17" t="s">
        <v>271</v>
      </c>
      <c r="D1916" s="17" t="s">
        <v>269</v>
      </c>
      <c r="E1916" s="17">
        <v>5.2359699999999999E-4</v>
      </c>
      <c r="F1916" s="6" t="s">
        <v>233</v>
      </c>
      <c r="G1916" s="6" t="s">
        <v>234</v>
      </c>
      <c r="H1916" s="6">
        <v>3</v>
      </c>
    </row>
    <row r="1917" spans="1:8" ht="30" x14ac:dyDescent="0.25">
      <c r="A1917" s="17" t="s">
        <v>4503</v>
      </c>
      <c r="B1917" s="17" t="s">
        <v>4504</v>
      </c>
      <c r="C1917" s="17" t="s">
        <v>301</v>
      </c>
      <c r="D1917" s="17" t="s">
        <v>299</v>
      </c>
      <c r="E1917" s="17">
        <v>6.3590900000000004E-4</v>
      </c>
      <c r="F1917" s="6" t="s">
        <v>233</v>
      </c>
      <c r="G1917" s="6" t="s">
        <v>234</v>
      </c>
      <c r="H1917" s="6">
        <v>3</v>
      </c>
    </row>
    <row r="1918" spans="1:8" ht="30" x14ac:dyDescent="0.25">
      <c r="A1918" s="17" t="s">
        <v>4505</v>
      </c>
      <c r="B1918" s="17" t="s">
        <v>4506</v>
      </c>
      <c r="C1918" s="17" t="s">
        <v>301</v>
      </c>
      <c r="D1918" s="17" t="s">
        <v>299</v>
      </c>
      <c r="E1918" s="17">
        <v>6.3590900000000004E-4</v>
      </c>
      <c r="F1918" s="6" t="s">
        <v>233</v>
      </c>
      <c r="G1918" s="6" t="s">
        <v>234</v>
      </c>
      <c r="H1918" s="6">
        <v>3</v>
      </c>
    </row>
    <row r="1919" spans="1:8" ht="30" x14ac:dyDescent="0.25">
      <c r="A1919" s="17" t="s">
        <v>4507</v>
      </c>
      <c r="B1919" s="17" t="s">
        <v>4508</v>
      </c>
      <c r="C1919" s="17" t="s">
        <v>244</v>
      </c>
      <c r="D1919" s="17" t="s">
        <v>242</v>
      </c>
      <c r="E1919" s="17">
        <v>5.4284299999999999E-4</v>
      </c>
      <c r="F1919" s="6" t="s">
        <v>233</v>
      </c>
      <c r="G1919" s="6" t="s">
        <v>234</v>
      </c>
      <c r="H1919" s="6">
        <v>3</v>
      </c>
    </row>
    <row r="1920" spans="1:8" ht="30" x14ac:dyDescent="0.25">
      <c r="A1920" s="17" t="s">
        <v>4509</v>
      </c>
      <c r="B1920" s="17" t="s">
        <v>4510</v>
      </c>
      <c r="C1920" s="17" t="s">
        <v>280</v>
      </c>
      <c r="D1920" s="17" t="s">
        <v>278</v>
      </c>
      <c r="E1920" s="17">
        <v>6.2829699999999999E-4</v>
      </c>
      <c r="F1920" s="6" t="s">
        <v>233</v>
      </c>
      <c r="G1920" s="6" t="s">
        <v>234</v>
      </c>
      <c r="H1920" s="6">
        <v>3</v>
      </c>
    </row>
    <row r="1921" spans="1:8" ht="30" x14ac:dyDescent="0.25">
      <c r="A1921" s="17" t="s">
        <v>4511</v>
      </c>
      <c r="B1921" s="17" t="s">
        <v>4510</v>
      </c>
      <c r="C1921" s="17" t="s">
        <v>280</v>
      </c>
      <c r="D1921" s="17" t="s">
        <v>278</v>
      </c>
      <c r="E1921" s="17">
        <v>6.2829699999999999E-4</v>
      </c>
      <c r="F1921" s="6" t="s">
        <v>233</v>
      </c>
      <c r="G1921" s="6" t="s">
        <v>234</v>
      </c>
      <c r="H1921" s="6">
        <v>3</v>
      </c>
    </row>
    <row r="1922" spans="1:8" ht="30" x14ac:dyDescent="0.25">
      <c r="A1922" s="17" t="s">
        <v>4512</v>
      </c>
      <c r="B1922" s="17" t="s">
        <v>4513</v>
      </c>
      <c r="C1922" s="17" t="s">
        <v>262</v>
      </c>
      <c r="D1922" s="17" t="s">
        <v>260</v>
      </c>
      <c r="E1922" s="17">
        <v>8.4137000000000003E-4</v>
      </c>
      <c r="F1922" s="6" t="s">
        <v>233</v>
      </c>
      <c r="G1922" s="6" t="s">
        <v>234</v>
      </c>
      <c r="H1922" s="6">
        <v>3</v>
      </c>
    </row>
    <row r="1923" spans="1:8" ht="30" x14ac:dyDescent="0.25">
      <c r="A1923" s="17" t="s">
        <v>4514</v>
      </c>
      <c r="B1923" s="17" t="s">
        <v>4515</v>
      </c>
      <c r="C1923" s="17" t="s">
        <v>271</v>
      </c>
      <c r="D1923" s="17" t="s">
        <v>269</v>
      </c>
      <c r="E1923" s="17">
        <v>5.2359699999999999E-4</v>
      </c>
      <c r="F1923" s="6" t="s">
        <v>233</v>
      </c>
      <c r="G1923" s="6" t="s">
        <v>234</v>
      </c>
      <c r="H1923" s="6">
        <v>3</v>
      </c>
    </row>
    <row r="1924" spans="1:8" ht="30" x14ac:dyDescent="0.25">
      <c r="A1924" s="17" t="s">
        <v>4516</v>
      </c>
      <c r="B1924" s="17" t="s">
        <v>4517</v>
      </c>
      <c r="C1924" s="17" t="s">
        <v>271</v>
      </c>
      <c r="D1924" s="17" t="s">
        <v>269</v>
      </c>
      <c r="E1924" s="17">
        <v>5.2359699999999999E-4</v>
      </c>
      <c r="F1924" s="6" t="s">
        <v>233</v>
      </c>
      <c r="G1924" s="6" t="s">
        <v>234</v>
      </c>
      <c r="H1924" s="6">
        <v>3</v>
      </c>
    </row>
    <row r="1925" spans="1:8" ht="30" x14ac:dyDescent="0.25">
      <c r="A1925" s="17" t="s">
        <v>4518</v>
      </c>
      <c r="B1925" s="17" t="s">
        <v>4519</v>
      </c>
      <c r="C1925" s="17" t="s">
        <v>271</v>
      </c>
      <c r="D1925" s="17" t="s">
        <v>269</v>
      </c>
      <c r="E1925" s="17">
        <v>5.2359699999999999E-4</v>
      </c>
      <c r="F1925" s="6" t="s">
        <v>233</v>
      </c>
      <c r="G1925" s="6" t="s">
        <v>234</v>
      </c>
      <c r="H1925" s="6">
        <v>3</v>
      </c>
    </row>
    <row r="1926" spans="1:8" ht="30" x14ac:dyDescent="0.25">
      <c r="A1926" s="17" t="s">
        <v>4520</v>
      </c>
      <c r="B1926" s="17" t="s">
        <v>4267</v>
      </c>
      <c r="C1926" s="17" t="s">
        <v>271</v>
      </c>
      <c r="D1926" s="17" t="s">
        <v>269</v>
      </c>
      <c r="E1926" s="17">
        <v>5.2359699999999999E-4</v>
      </c>
      <c r="F1926" s="6" t="s">
        <v>233</v>
      </c>
      <c r="G1926" s="6" t="s">
        <v>234</v>
      </c>
      <c r="H1926" s="6">
        <v>3</v>
      </c>
    </row>
    <row r="1927" spans="1:8" ht="30" x14ac:dyDescent="0.25">
      <c r="A1927" s="17" t="s">
        <v>4521</v>
      </c>
      <c r="B1927" s="17" t="s">
        <v>4522</v>
      </c>
      <c r="C1927" s="17" t="s">
        <v>1330</v>
      </c>
      <c r="D1927" s="17" t="s">
        <v>1331</v>
      </c>
      <c r="E1927" s="17">
        <v>2.4606500000000001E-4</v>
      </c>
      <c r="F1927" s="6" t="s">
        <v>233</v>
      </c>
      <c r="G1927" s="6" t="s">
        <v>234</v>
      </c>
      <c r="H1927" s="6">
        <v>3</v>
      </c>
    </row>
    <row r="1928" spans="1:8" ht="30" x14ac:dyDescent="0.25">
      <c r="A1928" s="17" t="s">
        <v>4523</v>
      </c>
      <c r="B1928" s="17" t="s">
        <v>4524</v>
      </c>
      <c r="C1928" s="17" t="s">
        <v>721</v>
      </c>
      <c r="D1928" s="17" t="s">
        <v>722</v>
      </c>
      <c r="E1928" s="17">
        <v>1.24993E-4</v>
      </c>
      <c r="F1928" s="6" t="s">
        <v>233</v>
      </c>
      <c r="G1928" s="6" t="s">
        <v>234</v>
      </c>
      <c r="H1928" s="6">
        <v>3</v>
      </c>
    </row>
    <row r="1929" spans="1:8" ht="30" x14ac:dyDescent="0.25">
      <c r="A1929" s="17" t="s">
        <v>4525</v>
      </c>
      <c r="B1929" s="17" t="s">
        <v>4526</v>
      </c>
      <c r="C1929" s="17" t="s">
        <v>721</v>
      </c>
      <c r="D1929" s="17" t="s">
        <v>722</v>
      </c>
      <c r="E1929" s="17">
        <v>1.24993E-4</v>
      </c>
      <c r="F1929" s="6" t="s">
        <v>233</v>
      </c>
      <c r="G1929" s="6" t="s">
        <v>234</v>
      </c>
      <c r="H1929" s="6">
        <v>3</v>
      </c>
    </row>
    <row r="1930" spans="1:8" ht="30" x14ac:dyDescent="0.25">
      <c r="A1930" s="17" t="s">
        <v>4527</v>
      </c>
      <c r="B1930" s="17" t="s">
        <v>4528</v>
      </c>
      <c r="C1930" s="17" t="s">
        <v>346</v>
      </c>
      <c r="D1930" s="17" t="s">
        <v>347</v>
      </c>
      <c r="E1930" s="17">
        <v>2.10657E-4</v>
      </c>
      <c r="F1930" s="6" t="s">
        <v>233</v>
      </c>
      <c r="G1930" s="6" t="s">
        <v>234</v>
      </c>
      <c r="H1930" s="6">
        <v>3</v>
      </c>
    </row>
    <row r="1931" spans="1:8" ht="30" x14ac:dyDescent="0.25">
      <c r="A1931" s="17" t="s">
        <v>4529</v>
      </c>
      <c r="B1931" s="17" t="s">
        <v>4530</v>
      </c>
      <c r="C1931" s="17" t="s">
        <v>346</v>
      </c>
      <c r="D1931" s="17" t="s">
        <v>347</v>
      </c>
      <c r="E1931" s="17">
        <v>2.10657E-4</v>
      </c>
      <c r="F1931" s="6" t="s">
        <v>233</v>
      </c>
      <c r="G1931" s="6" t="s">
        <v>234</v>
      </c>
      <c r="H1931" s="6">
        <v>3</v>
      </c>
    </row>
    <row r="1932" spans="1:8" ht="30" x14ac:dyDescent="0.25">
      <c r="A1932" s="17" t="s">
        <v>4531</v>
      </c>
      <c r="B1932" s="17" t="s">
        <v>4532</v>
      </c>
      <c r="C1932" s="17" t="s">
        <v>1330</v>
      </c>
      <c r="D1932" s="17" t="s">
        <v>1331</v>
      </c>
      <c r="E1932" s="17">
        <v>2.4606500000000001E-4</v>
      </c>
      <c r="F1932" s="6" t="s">
        <v>233</v>
      </c>
      <c r="G1932" s="6" t="s">
        <v>234</v>
      </c>
      <c r="H1932" s="6">
        <v>3</v>
      </c>
    </row>
    <row r="1933" spans="1:8" ht="30" x14ac:dyDescent="0.25">
      <c r="A1933" s="17" t="s">
        <v>4533</v>
      </c>
      <c r="B1933" s="17" t="s">
        <v>4534</v>
      </c>
      <c r="C1933" s="17" t="s">
        <v>1330</v>
      </c>
      <c r="D1933" s="17" t="s">
        <v>1331</v>
      </c>
      <c r="E1933" s="17">
        <v>2.4606500000000001E-4</v>
      </c>
      <c r="F1933" s="6" t="s">
        <v>233</v>
      </c>
      <c r="G1933" s="6" t="s">
        <v>234</v>
      </c>
      <c r="H1933" s="6">
        <v>3</v>
      </c>
    </row>
    <row r="1934" spans="1:8" ht="30" x14ac:dyDescent="0.25">
      <c r="A1934" s="17" t="s">
        <v>4535</v>
      </c>
      <c r="B1934" s="17" t="s">
        <v>4536</v>
      </c>
      <c r="C1934" s="17" t="s">
        <v>346</v>
      </c>
      <c r="D1934" s="17" t="s">
        <v>347</v>
      </c>
      <c r="E1934" s="17">
        <v>2.10657E-4</v>
      </c>
      <c r="F1934" s="6" t="s">
        <v>233</v>
      </c>
      <c r="G1934" s="6" t="s">
        <v>234</v>
      </c>
      <c r="H1934" s="6">
        <v>3</v>
      </c>
    </row>
    <row r="1935" spans="1:8" ht="30" x14ac:dyDescent="0.25">
      <c r="A1935" s="17" t="s">
        <v>4537</v>
      </c>
      <c r="B1935" s="17" t="s">
        <v>4538</v>
      </c>
      <c r="C1935" s="17" t="s">
        <v>407</v>
      </c>
      <c r="D1935" s="17" t="s">
        <v>408</v>
      </c>
      <c r="E1935" s="17">
        <v>1.6713599999999999E-4</v>
      </c>
      <c r="F1935" s="6" t="s">
        <v>233</v>
      </c>
      <c r="G1935" s="6" t="s">
        <v>234</v>
      </c>
      <c r="H1935" s="6">
        <v>3</v>
      </c>
    </row>
    <row r="1936" spans="1:8" ht="30" x14ac:dyDescent="0.25">
      <c r="A1936" s="17" t="s">
        <v>4539</v>
      </c>
      <c r="B1936" s="17" t="s">
        <v>4540</v>
      </c>
      <c r="C1936" s="17" t="s">
        <v>737</v>
      </c>
      <c r="D1936" s="17" t="s">
        <v>738</v>
      </c>
      <c r="E1936" s="17">
        <v>1.81306E-4</v>
      </c>
      <c r="F1936" s="6" t="s">
        <v>233</v>
      </c>
      <c r="G1936" s="6" t="s">
        <v>234</v>
      </c>
      <c r="H1936" s="6">
        <v>3</v>
      </c>
    </row>
    <row r="1937" spans="1:8" ht="30" x14ac:dyDescent="0.25">
      <c r="A1937" s="17" t="s">
        <v>4541</v>
      </c>
      <c r="B1937" s="17" t="s">
        <v>817</v>
      </c>
      <c r="C1937" s="17" t="s">
        <v>346</v>
      </c>
      <c r="D1937" s="17" t="s">
        <v>4542</v>
      </c>
      <c r="E1937" s="17">
        <v>2.10657E-4</v>
      </c>
      <c r="F1937" s="6" t="s">
        <v>233</v>
      </c>
      <c r="G1937" s="6" t="s">
        <v>234</v>
      </c>
      <c r="H1937" s="6">
        <v>3</v>
      </c>
    </row>
    <row r="1938" spans="1:8" ht="30" x14ac:dyDescent="0.25">
      <c r="A1938" s="17" t="s">
        <v>4543</v>
      </c>
      <c r="B1938" s="17" t="s">
        <v>4544</v>
      </c>
      <c r="C1938" s="17" t="s">
        <v>346</v>
      </c>
      <c r="D1938" s="17" t="s">
        <v>4542</v>
      </c>
      <c r="E1938" s="17">
        <v>2.10657E-4</v>
      </c>
      <c r="F1938" s="6" t="s">
        <v>233</v>
      </c>
      <c r="G1938" s="6" t="s">
        <v>234</v>
      </c>
      <c r="H1938" s="6">
        <v>3</v>
      </c>
    </row>
    <row r="1939" spans="1:8" ht="30" x14ac:dyDescent="0.25">
      <c r="A1939" s="17" t="s">
        <v>4545</v>
      </c>
      <c r="B1939" s="17" t="s">
        <v>4546</v>
      </c>
      <c r="C1939" s="17" t="s">
        <v>721</v>
      </c>
      <c r="D1939" s="17" t="s">
        <v>722</v>
      </c>
      <c r="E1939" s="17">
        <v>1.24993E-4</v>
      </c>
      <c r="F1939" s="6" t="s">
        <v>233</v>
      </c>
      <c r="G1939" s="6" t="s">
        <v>234</v>
      </c>
      <c r="H1939" s="6">
        <v>3</v>
      </c>
    </row>
    <row r="1940" spans="1:8" ht="30" x14ac:dyDescent="0.25">
      <c r="A1940" s="17" t="s">
        <v>4547</v>
      </c>
      <c r="B1940" s="17" t="s">
        <v>4548</v>
      </c>
      <c r="C1940" s="17" t="s">
        <v>346</v>
      </c>
      <c r="D1940" s="17" t="s">
        <v>4542</v>
      </c>
      <c r="E1940" s="17">
        <v>2.10657E-4</v>
      </c>
      <c r="F1940" s="6" t="s">
        <v>233</v>
      </c>
      <c r="G1940" s="6" t="s">
        <v>234</v>
      </c>
      <c r="H1940" s="6">
        <v>3</v>
      </c>
    </row>
    <row r="1941" spans="1:8" ht="30" x14ac:dyDescent="0.25">
      <c r="A1941" s="17" t="s">
        <v>4549</v>
      </c>
      <c r="B1941" s="17" t="s">
        <v>4550</v>
      </c>
      <c r="C1941" s="17" t="s">
        <v>465</v>
      </c>
      <c r="D1941" s="17" t="s">
        <v>466</v>
      </c>
      <c r="E1941" s="17">
        <v>2.2128299999999999E-4</v>
      </c>
      <c r="F1941" s="6" t="s">
        <v>233</v>
      </c>
      <c r="G1941" s="6" t="s">
        <v>234</v>
      </c>
      <c r="H1941" s="6">
        <v>3</v>
      </c>
    </row>
    <row r="1942" spans="1:8" ht="30" x14ac:dyDescent="0.25">
      <c r="A1942" s="17" t="s">
        <v>4551</v>
      </c>
      <c r="B1942" s="17" t="s">
        <v>4552</v>
      </c>
      <c r="C1942" s="17" t="s">
        <v>465</v>
      </c>
      <c r="D1942" s="17" t="s">
        <v>466</v>
      </c>
      <c r="E1942" s="17">
        <v>2.2128299999999999E-4</v>
      </c>
      <c r="F1942" s="6" t="s">
        <v>233</v>
      </c>
      <c r="G1942" s="6" t="s">
        <v>234</v>
      </c>
      <c r="H1942" s="6">
        <v>3</v>
      </c>
    </row>
    <row r="1943" spans="1:8" ht="30" x14ac:dyDescent="0.25">
      <c r="A1943" s="17" t="s">
        <v>4553</v>
      </c>
      <c r="B1943" s="17" t="s">
        <v>4554</v>
      </c>
      <c r="C1943" s="17" t="s">
        <v>743</v>
      </c>
      <c r="D1943" s="17" t="s">
        <v>4555</v>
      </c>
      <c r="E1943" s="17">
        <v>3.813E-4</v>
      </c>
      <c r="F1943" s="6" t="s">
        <v>233</v>
      </c>
      <c r="G1943" s="6" t="s">
        <v>316</v>
      </c>
      <c r="H1943" s="6">
        <v>3</v>
      </c>
    </row>
    <row r="1944" spans="1:8" ht="30" x14ac:dyDescent="0.25">
      <c r="A1944" s="17" t="s">
        <v>4556</v>
      </c>
      <c r="B1944" s="17" t="s">
        <v>4557</v>
      </c>
      <c r="C1944" s="17" t="s">
        <v>407</v>
      </c>
      <c r="D1944" s="17" t="s">
        <v>408</v>
      </c>
      <c r="E1944" s="17">
        <v>1.6713599999999999E-4</v>
      </c>
      <c r="F1944" s="6" t="s">
        <v>233</v>
      </c>
      <c r="G1944" s="6" t="s">
        <v>234</v>
      </c>
      <c r="H1944" s="6">
        <v>3</v>
      </c>
    </row>
    <row r="1945" spans="1:8" ht="30" x14ac:dyDescent="0.25">
      <c r="A1945" s="39" t="s">
        <v>4558</v>
      </c>
      <c r="B1945" s="39" t="s">
        <v>4559</v>
      </c>
      <c r="C1945" s="39" t="s">
        <v>271</v>
      </c>
      <c r="D1945" s="39" t="s">
        <v>269</v>
      </c>
      <c r="E1945" s="39">
        <v>5.2359699999999999E-4</v>
      </c>
    </row>
    <row r="1946" spans="1:8" ht="30" x14ac:dyDescent="0.25">
      <c r="A1946" s="39" t="s">
        <v>4560</v>
      </c>
      <c r="B1946" s="39" t="s">
        <v>4561</v>
      </c>
      <c r="C1946" s="39" t="s">
        <v>271</v>
      </c>
      <c r="D1946" s="39" t="s">
        <v>269</v>
      </c>
      <c r="E1946" s="39">
        <v>5.2359699999999999E-4</v>
      </c>
    </row>
    <row r="1947" spans="1:8" ht="30" x14ac:dyDescent="0.25">
      <c r="A1947" s="39" t="s">
        <v>4562</v>
      </c>
      <c r="B1947" s="39" t="s">
        <v>4563</v>
      </c>
      <c r="C1947" s="39" t="s">
        <v>271</v>
      </c>
      <c r="D1947" s="39" t="s">
        <v>269</v>
      </c>
      <c r="E1947" s="39">
        <v>5.2359699999999999E-4</v>
      </c>
    </row>
    <row r="1948" spans="1:8" ht="30" x14ac:dyDescent="0.25">
      <c r="A1948" s="39" t="s">
        <v>4564</v>
      </c>
      <c r="B1948" s="39" t="s">
        <v>4565</v>
      </c>
      <c r="C1948" s="39" t="s">
        <v>271</v>
      </c>
      <c r="D1948" s="39" t="s">
        <v>269</v>
      </c>
      <c r="E1948" s="39">
        <v>5.2359699999999999E-4</v>
      </c>
    </row>
    <row r="1949" spans="1:8" ht="30" x14ac:dyDescent="0.25">
      <c r="A1949" s="39" t="s">
        <v>4566</v>
      </c>
      <c r="B1949" s="39" t="s">
        <v>4567</v>
      </c>
      <c r="C1949" s="39" t="s">
        <v>271</v>
      </c>
      <c r="D1949" s="39" t="s">
        <v>269</v>
      </c>
      <c r="E1949" s="39">
        <v>5.2359699999999999E-4</v>
      </c>
    </row>
    <row r="1950" spans="1:8" ht="30" x14ac:dyDescent="0.25">
      <c r="A1950" s="39" t="s">
        <v>4568</v>
      </c>
      <c r="B1950" s="39" t="s">
        <v>4569</v>
      </c>
      <c r="C1950" s="39" t="s">
        <v>265</v>
      </c>
      <c r="D1950" s="39" t="s">
        <v>263</v>
      </c>
      <c r="E1950" s="39">
        <v>3.0449399999999999E-4</v>
      </c>
    </row>
    <row r="1951" spans="1:8" ht="30" x14ac:dyDescent="0.25">
      <c r="A1951" s="39" t="s">
        <v>4570</v>
      </c>
      <c r="B1951" s="39" t="s">
        <v>4571</v>
      </c>
      <c r="C1951" s="39" t="s">
        <v>265</v>
      </c>
      <c r="D1951" s="39" t="s">
        <v>263</v>
      </c>
      <c r="E1951" s="39">
        <v>3.0449399999999999E-4</v>
      </c>
    </row>
    <row r="1952" spans="1:8" ht="30" x14ac:dyDescent="0.25">
      <c r="A1952" s="39" t="s">
        <v>4572</v>
      </c>
      <c r="B1952" s="39" t="s">
        <v>4573</v>
      </c>
      <c r="C1952" s="39" t="s">
        <v>280</v>
      </c>
      <c r="D1952" s="39" t="s">
        <v>278</v>
      </c>
      <c r="E1952" s="39">
        <v>6.2829699999999999E-4</v>
      </c>
    </row>
    <row r="1953" spans="1:5" ht="30" x14ac:dyDescent="0.25">
      <c r="A1953" s="39" t="s">
        <v>4574</v>
      </c>
      <c r="B1953" s="39" t="s">
        <v>4575</v>
      </c>
      <c r="C1953" s="39" t="s">
        <v>244</v>
      </c>
      <c r="D1953" s="39" t="s">
        <v>242</v>
      </c>
      <c r="E1953" s="39">
        <v>5.4284299999999999E-4</v>
      </c>
    </row>
    <row r="1954" spans="1:5" ht="30" x14ac:dyDescent="0.25">
      <c r="A1954" s="39" t="s">
        <v>4576</v>
      </c>
      <c r="B1954" s="39" t="s">
        <v>4577</v>
      </c>
      <c r="C1954" s="39" t="s">
        <v>256</v>
      </c>
      <c r="D1954" s="39" t="s">
        <v>254</v>
      </c>
      <c r="E1954" s="39">
        <v>8.1312799999999998E-4</v>
      </c>
    </row>
    <row r="1955" spans="1:5" ht="30" x14ac:dyDescent="0.25">
      <c r="A1955" s="39" t="s">
        <v>4578</v>
      </c>
      <c r="B1955" s="39" t="s">
        <v>4579</v>
      </c>
      <c r="C1955" s="39" t="s">
        <v>265</v>
      </c>
      <c r="D1955" s="39" t="s">
        <v>263</v>
      </c>
      <c r="E1955" s="39">
        <v>3.0449399999999999E-4</v>
      </c>
    </row>
    <row r="1956" spans="1:5" ht="30" x14ac:dyDescent="0.25">
      <c r="A1956" s="39" t="s">
        <v>4580</v>
      </c>
      <c r="B1956" s="39" t="s">
        <v>4581</v>
      </c>
      <c r="C1956" s="39" t="s">
        <v>280</v>
      </c>
      <c r="D1956" s="39" t="s">
        <v>278</v>
      </c>
      <c r="E1956" s="39">
        <v>6.2829699999999999E-4</v>
      </c>
    </row>
    <row r="1957" spans="1:5" ht="30" x14ac:dyDescent="0.25">
      <c r="A1957" s="39" t="s">
        <v>4582</v>
      </c>
      <c r="B1957" s="39" t="s">
        <v>4583</v>
      </c>
      <c r="C1957" s="39" t="s">
        <v>310</v>
      </c>
      <c r="D1957" s="39" t="s">
        <v>308</v>
      </c>
      <c r="E1957" s="39">
        <v>5.3341800000000002E-4</v>
      </c>
    </row>
    <row r="1958" spans="1:5" ht="30" x14ac:dyDescent="0.25">
      <c r="A1958" s="39" t="s">
        <v>4584</v>
      </c>
      <c r="B1958" s="39" t="s">
        <v>4585</v>
      </c>
      <c r="C1958" s="39" t="s">
        <v>286</v>
      </c>
      <c r="D1958" s="39" t="s">
        <v>284</v>
      </c>
      <c r="E1958" s="39">
        <v>2.5428000000000001E-4</v>
      </c>
    </row>
    <row r="1959" spans="1:5" ht="30" x14ac:dyDescent="0.25">
      <c r="A1959" s="39" t="s">
        <v>4586</v>
      </c>
      <c r="B1959" s="39" t="s">
        <v>4587</v>
      </c>
      <c r="C1959" s="39" t="s">
        <v>346</v>
      </c>
      <c r="D1959" s="39" t="s">
        <v>4542</v>
      </c>
      <c r="E1959" s="39">
        <v>2.10657E-4</v>
      </c>
    </row>
    <row r="1960" spans="1:5" ht="30" x14ac:dyDescent="0.25">
      <c r="A1960" s="39" t="s">
        <v>4588</v>
      </c>
      <c r="B1960" s="39" t="s">
        <v>4589</v>
      </c>
      <c r="C1960" s="39" t="s">
        <v>346</v>
      </c>
      <c r="D1960" s="39" t="s">
        <v>1275</v>
      </c>
      <c r="E1960" s="39">
        <v>2.10657E-4</v>
      </c>
    </row>
    <row r="1961" spans="1:5" ht="30" x14ac:dyDescent="0.25">
      <c r="A1961" s="39" t="s">
        <v>4590</v>
      </c>
      <c r="B1961" s="39" t="s">
        <v>4591</v>
      </c>
      <c r="C1961" s="39" t="s">
        <v>346</v>
      </c>
      <c r="D1961" s="39" t="s">
        <v>1275</v>
      </c>
      <c r="E1961" s="39">
        <v>2.10657E-4</v>
      </c>
    </row>
    <row r="1962" spans="1:5" ht="30" x14ac:dyDescent="0.25">
      <c r="A1962" s="39" t="s">
        <v>4592</v>
      </c>
      <c r="B1962" s="39" t="s">
        <v>4593</v>
      </c>
      <c r="C1962" s="39" t="s">
        <v>346</v>
      </c>
      <c r="D1962" s="39" t="s">
        <v>1275</v>
      </c>
      <c r="E1962" s="39">
        <v>2.10657E-4</v>
      </c>
    </row>
    <row r="1963" spans="1:5" ht="30" x14ac:dyDescent="0.25">
      <c r="A1963" s="39" t="s">
        <v>4594</v>
      </c>
      <c r="B1963" s="39" t="s">
        <v>4595</v>
      </c>
      <c r="C1963" s="39" t="s">
        <v>346</v>
      </c>
      <c r="D1963" s="39" t="s">
        <v>1275</v>
      </c>
      <c r="E1963" s="39">
        <v>2.10657E-4</v>
      </c>
    </row>
    <row r="1964" spans="1:5" ht="30" x14ac:dyDescent="0.25">
      <c r="A1964" s="39" t="s">
        <v>4596</v>
      </c>
      <c r="B1964" s="39" t="s">
        <v>4597</v>
      </c>
      <c r="C1964" s="39" t="s">
        <v>346</v>
      </c>
      <c r="D1964" s="39" t="s">
        <v>1275</v>
      </c>
      <c r="E1964" s="39">
        <v>2.10657E-4</v>
      </c>
    </row>
    <row r="1965" spans="1:5" ht="30" x14ac:dyDescent="0.25">
      <c r="A1965" s="39" t="s">
        <v>4598</v>
      </c>
      <c r="B1965" s="39" t="s">
        <v>4599</v>
      </c>
      <c r="C1965" s="39" t="s">
        <v>346</v>
      </c>
      <c r="D1965" s="39" t="s">
        <v>1275</v>
      </c>
      <c r="E1965" s="39">
        <v>2.10657E-4</v>
      </c>
    </row>
    <row r="1966" spans="1:5" ht="30" x14ac:dyDescent="0.25">
      <c r="A1966" s="39" t="s">
        <v>4600</v>
      </c>
      <c r="B1966" s="39" t="s">
        <v>4601</v>
      </c>
      <c r="C1966" s="39" t="s">
        <v>346</v>
      </c>
      <c r="D1966" s="39" t="s">
        <v>1275</v>
      </c>
      <c r="E1966" s="39">
        <v>2.10657E-4</v>
      </c>
    </row>
    <row r="1967" spans="1:5" ht="30" x14ac:dyDescent="0.25">
      <c r="A1967" s="39" t="s">
        <v>4602</v>
      </c>
      <c r="B1967" s="39" t="s">
        <v>4603</v>
      </c>
      <c r="C1967" s="39" t="s">
        <v>346</v>
      </c>
      <c r="D1967" s="39" t="s">
        <v>1275</v>
      </c>
      <c r="E1967" s="39">
        <v>2.10657E-4</v>
      </c>
    </row>
    <row r="1968" spans="1:5" ht="30" x14ac:dyDescent="0.25">
      <c r="A1968" s="39" t="s">
        <v>4604</v>
      </c>
      <c r="B1968" s="39" t="s">
        <v>4605</v>
      </c>
      <c r="C1968" s="39" t="s">
        <v>346</v>
      </c>
      <c r="D1968" s="39" t="s">
        <v>1275</v>
      </c>
      <c r="E1968" s="39">
        <v>2.10657E-4</v>
      </c>
    </row>
    <row r="1969" spans="1:5" ht="30" x14ac:dyDescent="0.25">
      <c r="A1969" s="39" t="s">
        <v>4606</v>
      </c>
      <c r="B1969" s="39" t="s">
        <v>4607</v>
      </c>
      <c r="C1969" s="39" t="s">
        <v>346</v>
      </c>
      <c r="D1969" s="39" t="s">
        <v>1275</v>
      </c>
      <c r="E1969" s="39">
        <v>2.10657E-4</v>
      </c>
    </row>
    <row r="1970" spans="1:5" ht="30" x14ac:dyDescent="0.25">
      <c r="A1970" s="39" t="s">
        <v>4608</v>
      </c>
      <c r="B1970" s="39" t="s">
        <v>4609</v>
      </c>
      <c r="C1970" s="39" t="s">
        <v>346</v>
      </c>
      <c r="D1970" s="39" t="s">
        <v>1275</v>
      </c>
      <c r="E1970" s="39">
        <v>2.10657E-4</v>
      </c>
    </row>
    <row r="1971" spans="1:5" ht="30" x14ac:dyDescent="0.25">
      <c r="A1971" s="39" t="s">
        <v>4610</v>
      </c>
      <c r="B1971" s="39" t="s">
        <v>4611</v>
      </c>
      <c r="C1971" s="39" t="s">
        <v>346</v>
      </c>
      <c r="D1971" s="39" t="s">
        <v>1275</v>
      </c>
      <c r="E1971" s="39">
        <v>2.10657E-4</v>
      </c>
    </row>
    <row r="1972" spans="1:5" ht="30" x14ac:dyDescent="0.25">
      <c r="A1972" s="39" t="s">
        <v>4612</v>
      </c>
      <c r="B1972" s="39" t="s">
        <v>4613</v>
      </c>
      <c r="C1972" s="39" t="s">
        <v>346</v>
      </c>
      <c r="D1972" s="39" t="s">
        <v>1275</v>
      </c>
      <c r="E1972" s="39">
        <v>2.10657E-4</v>
      </c>
    </row>
    <row r="1973" spans="1:5" ht="30" x14ac:dyDescent="0.25">
      <c r="A1973" s="39" t="s">
        <v>4614</v>
      </c>
      <c r="B1973" s="39" t="s">
        <v>4615</v>
      </c>
      <c r="C1973" s="39" t="s">
        <v>346</v>
      </c>
      <c r="D1973" s="39" t="s">
        <v>1275</v>
      </c>
      <c r="E1973" s="39">
        <v>2.10657E-4</v>
      </c>
    </row>
    <row r="1974" spans="1:5" ht="30" x14ac:dyDescent="0.25">
      <c r="A1974" s="39" t="s">
        <v>4616</v>
      </c>
      <c r="B1974" s="39" t="s">
        <v>4617</v>
      </c>
      <c r="C1974" s="39" t="s">
        <v>346</v>
      </c>
      <c r="D1974" s="39" t="s">
        <v>1275</v>
      </c>
      <c r="E1974" s="39">
        <v>2.10657E-4</v>
      </c>
    </row>
    <row r="1975" spans="1:5" ht="30" x14ac:dyDescent="0.25">
      <c r="A1975" s="39" t="s">
        <v>4618</v>
      </c>
      <c r="B1975" s="39" t="s">
        <v>4619</v>
      </c>
      <c r="C1975" s="39" t="s">
        <v>346</v>
      </c>
      <c r="D1975" s="39" t="s">
        <v>1275</v>
      </c>
      <c r="E1975" s="39">
        <v>2.10657E-4</v>
      </c>
    </row>
    <row r="1976" spans="1:5" ht="30" x14ac:dyDescent="0.25">
      <c r="A1976" s="39" t="s">
        <v>4620</v>
      </c>
      <c r="B1976" s="39" t="s">
        <v>4621</v>
      </c>
      <c r="C1976" s="39" t="s">
        <v>346</v>
      </c>
      <c r="D1976" s="39" t="s">
        <v>1275</v>
      </c>
      <c r="E1976" s="39">
        <v>2.10657E-4</v>
      </c>
    </row>
    <row r="1977" spans="1:5" ht="30" x14ac:dyDescent="0.25">
      <c r="A1977" s="39" t="s">
        <v>4622</v>
      </c>
      <c r="B1977" s="39" t="s">
        <v>4623</v>
      </c>
      <c r="C1977" s="39" t="s">
        <v>346</v>
      </c>
      <c r="D1977" s="39" t="s">
        <v>1275</v>
      </c>
      <c r="E1977" s="39">
        <v>2.10657E-4</v>
      </c>
    </row>
    <row r="1978" spans="1:5" ht="30" x14ac:dyDescent="0.25">
      <c r="A1978" s="39" t="s">
        <v>4624</v>
      </c>
      <c r="B1978" s="39" t="s">
        <v>4625</v>
      </c>
      <c r="C1978" s="39" t="s">
        <v>346</v>
      </c>
      <c r="D1978" s="39" t="s">
        <v>1275</v>
      </c>
      <c r="E1978" s="39">
        <v>2.10657E-4</v>
      </c>
    </row>
    <row r="1979" spans="1:5" ht="30" x14ac:dyDescent="0.25">
      <c r="A1979" s="39" t="s">
        <v>4626</v>
      </c>
      <c r="B1979" s="39" t="s">
        <v>4627</v>
      </c>
      <c r="C1979" s="39" t="s">
        <v>346</v>
      </c>
      <c r="D1979" s="39" t="s">
        <v>1275</v>
      </c>
      <c r="E1979" s="39">
        <v>2.10657E-4</v>
      </c>
    </row>
    <row r="1980" spans="1:5" ht="30" x14ac:dyDescent="0.25">
      <c r="A1980" s="39" t="s">
        <v>4628</v>
      </c>
      <c r="B1980" s="39" t="s">
        <v>4629</v>
      </c>
      <c r="C1980" s="39" t="s">
        <v>346</v>
      </c>
      <c r="D1980" s="39" t="s">
        <v>1275</v>
      </c>
      <c r="E1980" s="39">
        <v>2.10657E-4</v>
      </c>
    </row>
    <row r="1981" spans="1:5" ht="30" x14ac:dyDescent="0.25">
      <c r="A1981" s="39" t="s">
        <v>4630</v>
      </c>
      <c r="B1981" s="39" t="s">
        <v>4631</v>
      </c>
      <c r="C1981" s="39" t="s">
        <v>346</v>
      </c>
      <c r="D1981" s="39" t="s">
        <v>1275</v>
      </c>
      <c r="E1981" s="39">
        <v>2.10657E-4</v>
      </c>
    </row>
    <row r="1982" spans="1:5" ht="30" x14ac:dyDescent="0.25">
      <c r="A1982" s="39" t="s">
        <v>4632</v>
      </c>
      <c r="B1982" s="39" t="s">
        <v>4633</v>
      </c>
      <c r="C1982" s="39" t="s">
        <v>407</v>
      </c>
      <c r="D1982" s="39" t="s">
        <v>408</v>
      </c>
      <c r="E1982" s="39">
        <v>1.6713599999999999E-4</v>
      </c>
    </row>
    <row r="1983" spans="1:5" ht="30" x14ac:dyDescent="0.25">
      <c r="A1983" s="39" t="s">
        <v>4634</v>
      </c>
      <c r="B1983" s="39" t="s">
        <v>4635</v>
      </c>
      <c r="C1983" s="39" t="s">
        <v>413</v>
      </c>
      <c r="D1983" s="39" t="s">
        <v>4636</v>
      </c>
      <c r="E1983" s="39">
        <v>3.1322199999999999E-4</v>
      </c>
    </row>
    <row r="1984" spans="1:5" ht="30" x14ac:dyDescent="0.25">
      <c r="A1984" s="39" t="s">
        <v>4637</v>
      </c>
      <c r="B1984" s="39" t="s">
        <v>4638</v>
      </c>
      <c r="C1984" s="39" t="s">
        <v>1330</v>
      </c>
      <c r="D1984" s="39" t="s">
        <v>1331</v>
      </c>
      <c r="E1984" s="39">
        <v>2.4606500000000001E-4</v>
      </c>
    </row>
    <row r="1985" spans="1:5" ht="30" x14ac:dyDescent="0.25">
      <c r="A1985" s="39" t="s">
        <v>4639</v>
      </c>
      <c r="B1985" s="39" t="s">
        <v>4640</v>
      </c>
      <c r="C1985" s="39" t="s">
        <v>346</v>
      </c>
      <c r="D1985" s="39" t="s">
        <v>1275</v>
      </c>
      <c r="E1985" s="39">
        <v>2.10657E-4</v>
      </c>
    </row>
    <row r="1986" spans="1:5" ht="30" x14ac:dyDescent="0.25">
      <c r="A1986" s="39" t="s">
        <v>4641</v>
      </c>
      <c r="B1986" s="39" t="s">
        <v>4642</v>
      </c>
      <c r="C1986" s="39" t="s">
        <v>346</v>
      </c>
      <c r="D1986" s="39" t="s">
        <v>1275</v>
      </c>
      <c r="E1986" s="39">
        <v>2.10657E-4</v>
      </c>
    </row>
    <row r="1987" spans="1:5" ht="30" x14ac:dyDescent="0.25">
      <c r="A1987" s="39" t="s">
        <v>4643</v>
      </c>
      <c r="B1987" s="39" t="s">
        <v>4644</v>
      </c>
      <c r="C1987" s="39" t="s">
        <v>1330</v>
      </c>
      <c r="D1987" s="39" t="s">
        <v>1331</v>
      </c>
      <c r="E1987" s="39">
        <v>2.4606500000000001E-4</v>
      </c>
    </row>
    <row r="1988" spans="1:5" ht="30" x14ac:dyDescent="0.25">
      <c r="A1988" s="39" t="s">
        <v>4645</v>
      </c>
      <c r="B1988" s="39" t="s">
        <v>4646</v>
      </c>
      <c r="C1988" s="39" t="s">
        <v>346</v>
      </c>
      <c r="D1988" s="39" t="s">
        <v>1275</v>
      </c>
      <c r="E1988" s="39">
        <v>2.10657E-4</v>
      </c>
    </row>
    <row r="1989" spans="1:5" ht="30" x14ac:dyDescent="0.25">
      <c r="A1989" s="39" t="s">
        <v>4647</v>
      </c>
      <c r="B1989" s="39" t="s">
        <v>4715</v>
      </c>
      <c r="C1989" s="39" t="s">
        <v>346</v>
      </c>
      <c r="D1989" s="39" t="s">
        <v>347</v>
      </c>
      <c r="E1989" s="39">
        <v>2.10657E-4</v>
      </c>
    </row>
    <row r="1990" spans="1:5" ht="30" x14ac:dyDescent="0.25">
      <c r="A1990" s="39" t="s">
        <v>4648</v>
      </c>
      <c r="B1990" s="39" t="s">
        <v>4716</v>
      </c>
      <c r="C1990" s="39" t="s">
        <v>346</v>
      </c>
      <c r="D1990" s="39" t="s">
        <v>347</v>
      </c>
      <c r="E1990" s="39">
        <v>2.10657E-4</v>
      </c>
    </row>
    <row r="1991" spans="1:5" ht="30" x14ac:dyDescent="0.25">
      <c r="A1991" s="39" t="s">
        <v>4649</v>
      </c>
      <c r="B1991" s="39" t="s">
        <v>4717</v>
      </c>
      <c r="C1991" s="39" t="s">
        <v>346</v>
      </c>
      <c r="D1991" s="39" t="s">
        <v>347</v>
      </c>
      <c r="E1991" s="39">
        <v>2.10657E-4</v>
      </c>
    </row>
    <row r="1992" spans="1:5" ht="30" x14ac:dyDescent="0.25">
      <c r="A1992" s="39" t="s">
        <v>4650</v>
      </c>
      <c r="B1992" s="39" t="s">
        <v>4607</v>
      </c>
      <c r="C1992" s="39" t="s">
        <v>346</v>
      </c>
      <c r="D1992" s="39" t="s">
        <v>347</v>
      </c>
      <c r="E1992" s="39">
        <v>2.10657E-4</v>
      </c>
    </row>
    <row r="1993" spans="1:5" ht="30" x14ac:dyDescent="0.25">
      <c r="A1993" s="39" t="s">
        <v>4653</v>
      </c>
      <c r="B1993" s="39" t="s">
        <v>4718</v>
      </c>
      <c r="C1993" s="39" t="s">
        <v>346</v>
      </c>
      <c r="D1993" s="39" t="s">
        <v>347</v>
      </c>
      <c r="E1993" s="39">
        <v>2.10657E-4</v>
      </c>
    </row>
    <row r="1994" spans="1:5" ht="30" x14ac:dyDescent="0.25">
      <c r="A1994" s="39" t="s">
        <v>4620</v>
      </c>
      <c r="B1994" s="39" t="s">
        <v>4719</v>
      </c>
      <c r="C1994" s="39" t="s">
        <v>346</v>
      </c>
      <c r="D1994" s="39" t="s">
        <v>347</v>
      </c>
      <c r="E1994" s="39">
        <v>2.10657E-4</v>
      </c>
    </row>
    <row r="1995" spans="1:5" ht="30" x14ac:dyDescent="0.25">
      <c r="A1995" s="39" t="s">
        <v>4622</v>
      </c>
      <c r="B1995" s="39" t="s">
        <v>4720</v>
      </c>
      <c r="C1995" s="39" t="s">
        <v>346</v>
      </c>
      <c r="D1995" s="39" t="s">
        <v>347</v>
      </c>
      <c r="E1995" s="39">
        <v>2.10657E-4</v>
      </c>
    </row>
    <row r="1996" spans="1:5" ht="30" x14ac:dyDescent="0.25">
      <c r="A1996" s="39" t="s">
        <v>4654</v>
      </c>
      <c r="B1996" s="39" t="s">
        <v>4625</v>
      </c>
      <c r="C1996" s="39" t="s">
        <v>346</v>
      </c>
      <c r="D1996" s="39" t="s">
        <v>347</v>
      </c>
      <c r="E1996" s="39">
        <v>2.10657E-4</v>
      </c>
    </row>
    <row r="1997" spans="1:5" ht="30" x14ac:dyDescent="0.25">
      <c r="A1997" s="39" t="s">
        <v>4628</v>
      </c>
      <c r="B1997" s="39" t="s">
        <v>4721</v>
      </c>
      <c r="C1997" s="39" t="s">
        <v>346</v>
      </c>
      <c r="D1997" s="39" t="s">
        <v>347</v>
      </c>
      <c r="E1997" s="39">
        <v>2.10657E-4</v>
      </c>
    </row>
    <row r="1998" spans="1:5" ht="30" x14ac:dyDescent="0.25">
      <c r="A1998" s="39" t="s">
        <v>4656</v>
      </c>
      <c r="B1998" s="39" t="s">
        <v>4722</v>
      </c>
      <c r="C1998" s="39" t="s">
        <v>346</v>
      </c>
      <c r="D1998" s="39" t="s">
        <v>347</v>
      </c>
      <c r="E1998" s="39">
        <v>2.10657E-4</v>
      </c>
    </row>
    <row r="1999" spans="1:5" ht="30" x14ac:dyDescent="0.25">
      <c r="A1999" s="39" t="s">
        <v>4659</v>
      </c>
      <c r="B1999" s="39" t="s">
        <v>4640</v>
      </c>
      <c r="C1999" s="39" t="s">
        <v>346</v>
      </c>
      <c r="D1999" s="39" t="s">
        <v>347</v>
      </c>
      <c r="E1999" s="39">
        <v>2.10657E-4</v>
      </c>
    </row>
    <row r="2000" spans="1:5" ht="30" x14ac:dyDescent="0.25">
      <c r="A2000" s="39" t="s">
        <v>4660</v>
      </c>
      <c r="B2000" s="39" t="s">
        <v>4661</v>
      </c>
      <c r="C2000" s="39" t="s">
        <v>346</v>
      </c>
      <c r="D2000" s="39" t="s">
        <v>347</v>
      </c>
      <c r="E2000" s="39">
        <v>2.10657E-4</v>
      </c>
    </row>
    <row r="2001" spans="1:5" ht="30" x14ac:dyDescent="0.25">
      <c r="A2001" s="39" t="s">
        <v>4643</v>
      </c>
      <c r="B2001" s="39" t="s">
        <v>4644</v>
      </c>
      <c r="C2001" s="39" t="s">
        <v>346</v>
      </c>
      <c r="D2001" s="39" t="s">
        <v>347</v>
      </c>
      <c r="E2001" s="39">
        <v>2.10657E-4</v>
      </c>
    </row>
    <row r="2002" spans="1:5" ht="30" x14ac:dyDescent="0.25">
      <c r="A2002" s="39" t="s">
        <v>4645</v>
      </c>
      <c r="B2002" s="39" t="s">
        <v>4723</v>
      </c>
      <c r="C2002" s="39" t="s">
        <v>346</v>
      </c>
      <c r="D2002" s="39" t="s">
        <v>347</v>
      </c>
      <c r="E2002" s="39">
        <v>2.10657E-4</v>
      </c>
    </row>
    <row r="2003" spans="1:5" ht="30" x14ac:dyDescent="0.25">
      <c r="A2003" s="39" t="s">
        <v>4618</v>
      </c>
      <c r="B2003" s="39" t="s">
        <v>4724</v>
      </c>
      <c r="C2003" s="39" t="s">
        <v>247</v>
      </c>
      <c r="D2003" s="39" t="s">
        <v>245</v>
      </c>
      <c r="E2003" s="39">
        <v>1.0475809999999999E-3</v>
      </c>
    </row>
    <row r="2004" spans="1:5" ht="30" x14ac:dyDescent="0.25">
      <c r="A2004" s="39" t="s">
        <v>4651</v>
      </c>
      <c r="B2004" s="39" t="s">
        <v>4725</v>
      </c>
      <c r="C2004" s="39" t="s">
        <v>271</v>
      </c>
      <c r="D2004" s="39" t="s">
        <v>269</v>
      </c>
      <c r="E2004" s="39">
        <v>5.2359699999999999E-4</v>
      </c>
    </row>
    <row r="2005" spans="1:5" ht="30" x14ac:dyDescent="0.25">
      <c r="A2005" s="39" t="s">
        <v>4612</v>
      </c>
      <c r="B2005" s="39" t="s">
        <v>4726</v>
      </c>
      <c r="C2005" s="39" t="s">
        <v>271</v>
      </c>
      <c r="D2005" s="39" t="s">
        <v>269</v>
      </c>
      <c r="E2005" s="39">
        <v>5.2359699999999999E-4</v>
      </c>
    </row>
    <row r="2006" spans="1:5" ht="30" x14ac:dyDescent="0.25">
      <c r="A2006" s="39" t="s">
        <v>4652</v>
      </c>
      <c r="B2006" s="39" t="s">
        <v>4727</v>
      </c>
      <c r="C2006" s="39" t="s">
        <v>265</v>
      </c>
      <c r="D2006" s="39" t="s">
        <v>263</v>
      </c>
      <c r="E2006" s="39">
        <v>3.0449399999999999E-4</v>
      </c>
    </row>
    <row r="2007" spans="1:5" ht="30" x14ac:dyDescent="0.25">
      <c r="A2007" s="39" t="s">
        <v>4655</v>
      </c>
      <c r="B2007" s="39" t="s">
        <v>4728</v>
      </c>
      <c r="C2007" s="39" t="s">
        <v>265</v>
      </c>
      <c r="D2007" s="39" t="s">
        <v>263</v>
      </c>
      <c r="E2007" s="39">
        <v>3.0449399999999999E-4</v>
      </c>
    </row>
    <row r="2008" spans="1:5" ht="30" x14ac:dyDescent="0.25">
      <c r="A2008" s="39" t="s">
        <v>4657</v>
      </c>
      <c r="B2008" s="39" t="s">
        <v>4729</v>
      </c>
      <c r="C2008" s="39" t="s">
        <v>407</v>
      </c>
      <c r="D2008" s="39" t="s">
        <v>408</v>
      </c>
      <c r="E2008" s="39">
        <v>1.6713599999999999E-4</v>
      </c>
    </row>
    <row r="2009" spans="1:5" ht="30" x14ac:dyDescent="0.25">
      <c r="A2009" s="39" t="s">
        <v>4634</v>
      </c>
      <c r="B2009" s="39" t="s">
        <v>4730</v>
      </c>
      <c r="C2009" s="39" t="s">
        <v>280</v>
      </c>
      <c r="D2009" s="39" t="s">
        <v>278</v>
      </c>
      <c r="E2009" s="39">
        <v>6.2829699999999999E-4</v>
      </c>
    </row>
    <row r="2010" spans="1:5" ht="30" x14ac:dyDescent="0.25">
      <c r="A2010" s="39" t="s">
        <v>4658</v>
      </c>
      <c r="B2010" s="39" t="s">
        <v>4731</v>
      </c>
      <c r="C2010" s="39" t="s">
        <v>346</v>
      </c>
      <c r="D2010" s="39" t="s">
        <v>347</v>
      </c>
      <c r="E2010" s="39">
        <v>2.10657E-4</v>
      </c>
    </row>
    <row r="2011" spans="1:5" ht="30" x14ac:dyDescent="0.25">
      <c r="A2011" s="39" t="s">
        <v>4669</v>
      </c>
      <c r="B2011" s="39" t="s">
        <v>4670</v>
      </c>
      <c r="C2011" s="39" t="s">
        <v>346</v>
      </c>
      <c r="D2011" s="39" t="s">
        <v>347</v>
      </c>
      <c r="E2011" s="39">
        <v>2.10657E-4</v>
      </c>
    </row>
    <row r="2012" spans="1:5" ht="30" x14ac:dyDescent="0.25">
      <c r="A2012" s="39" t="s">
        <v>4671</v>
      </c>
      <c r="B2012" s="39" t="s">
        <v>4672</v>
      </c>
      <c r="C2012" s="39" t="s">
        <v>346</v>
      </c>
      <c r="D2012" s="39" t="s">
        <v>347</v>
      </c>
      <c r="E2012" s="39">
        <v>2.10657E-4</v>
      </c>
    </row>
    <row r="2013" spans="1:5" ht="30" x14ac:dyDescent="0.25">
      <c r="A2013" s="39" t="s">
        <v>384</v>
      </c>
      <c r="B2013" s="39" t="s">
        <v>4673</v>
      </c>
      <c r="C2013" s="39" t="s">
        <v>346</v>
      </c>
      <c r="D2013" s="39" t="s">
        <v>347</v>
      </c>
      <c r="E2013" s="39">
        <v>2.10657E-4</v>
      </c>
    </row>
    <row r="2014" spans="1:5" ht="30" x14ac:dyDescent="0.25">
      <c r="A2014" s="39" t="s">
        <v>4663</v>
      </c>
      <c r="B2014" s="39" t="s">
        <v>4664</v>
      </c>
      <c r="C2014" s="39" t="s">
        <v>346</v>
      </c>
      <c r="D2014" s="39" t="s">
        <v>347</v>
      </c>
      <c r="E2014" s="39">
        <v>2.10657E-4</v>
      </c>
    </row>
    <row r="2015" spans="1:5" ht="30" x14ac:dyDescent="0.25">
      <c r="A2015" s="39" t="s">
        <v>4665</v>
      </c>
      <c r="B2015" s="39" t="s">
        <v>4674</v>
      </c>
      <c r="C2015" s="39" t="s">
        <v>346</v>
      </c>
      <c r="D2015" s="39" t="s">
        <v>347</v>
      </c>
      <c r="E2015" s="39">
        <v>2.10657E-4</v>
      </c>
    </row>
    <row r="2016" spans="1:5" ht="30" x14ac:dyDescent="0.25">
      <c r="A2016" s="39" t="s">
        <v>4666</v>
      </c>
      <c r="B2016" s="39" t="s">
        <v>4675</v>
      </c>
      <c r="C2016" s="39" t="s">
        <v>346</v>
      </c>
      <c r="D2016" s="39" t="s">
        <v>347</v>
      </c>
      <c r="E2016" s="39">
        <v>2.10657E-4</v>
      </c>
    </row>
    <row r="2017" spans="1:5" ht="30" x14ac:dyDescent="0.25">
      <c r="A2017" s="39" t="s">
        <v>4676</v>
      </c>
      <c r="B2017" s="39" t="s">
        <v>4677</v>
      </c>
      <c r="C2017" s="39" t="s">
        <v>346</v>
      </c>
      <c r="D2017" s="39" t="s">
        <v>347</v>
      </c>
      <c r="E2017" s="39">
        <v>2.10657E-4</v>
      </c>
    </row>
    <row r="2018" spans="1:5" ht="30" x14ac:dyDescent="0.25">
      <c r="A2018" s="39" t="s">
        <v>4667</v>
      </c>
      <c r="B2018" s="39" t="s">
        <v>4678</v>
      </c>
      <c r="C2018" s="39" t="s">
        <v>346</v>
      </c>
      <c r="D2018" s="39" t="s">
        <v>347</v>
      </c>
      <c r="E2018" s="39">
        <v>2.10657E-4</v>
      </c>
    </row>
    <row r="2019" spans="1:5" ht="30" x14ac:dyDescent="0.25">
      <c r="A2019" s="39" t="s">
        <v>4679</v>
      </c>
      <c r="B2019" s="39" t="s">
        <v>4680</v>
      </c>
      <c r="C2019" s="39" t="s">
        <v>346</v>
      </c>
      <c r="D2019" s="39" t="s">
        <v>347</v>
      </c>
      <c r="E2019" s="39">
        <v>2.10657E-4</v>
      </c>
    </row>
    <row r="2020" spans="1:5" ht="30" x14ac:dyDescent="0.25">
      <c r="A2020" s="39" t="s">
        <v>4681</v>
      </c>
      <c r="B2020" s="39" t="s">
        <v>4682</v>
      </c>
      <c r="C2020" s="39" t="s">
        <v>346</v>
      </c>
      <c r="D2020" s="39" t="s">
        <v>347</v>
      </c>
      <c r="E2020" s="39">
        <v>2.10657E-4</v>
      </c>
    </row>
    <row r="2021" spans="1:5" ht="30" x14ac:dyDescent="0.25">
      <c r="A2021" s="39" t="s">
        <v>4683</v>
      </c>
      <c r="B2021" s="39" t="s">
        <v>4684</v>
      </c>
      <c r="C2021" s="39" t="s">
        <v>346</v>
      </c>
      <c r="D2021" s="39" t="s">
        <v>347</v>
      </c>
      <c r="E2021" s="39">
        <v>2.10657E-4</v>
      </c>
    </row>
    <row r="2022" spans="1:5" ht="30" x14ac:dyDescent="0.25">
      <c r="A2022" s="39" t="s">
        <v>4685</v>
      </c>
      <c r="B2022" s="39" t="s">
        <v>4686</v>
      </c>
      <c r="C2022" s="39" t="s">
        <v>247</v>
      </c>
      <c r="D2022" s="39" t="s">
        <v>245</v>
      </c>
      <c r="E2022" s="39">
        <v>1.0475809999999999E-3</v>
      </c>
    </row>
    <row r="2023" spans="1:5" ht="30" x14ac:dyDescent="0.25">
      <c r="A2023" s="39" t="s">
        <v>4687</v>
      </c>
      <c r="B2023" s="39" t="s">
        <v>4688</v>
      </c>
      <c r="C2023" s="39" t="s">
        <v>247</v>
      </c>
      <c r="D2023" s="39" t="s">
        <v>245</v>
      </c>
      <c r="E2023" s="39">
        <v>1.0475809999999999E-3</v>
      </c>
    </row>
    <row r="2024" spans="1:5" ht="30" x14ac:dyDescent="0.25">
      <c r="A2024" s="39" t="s">
        <v>4668</v>
      </c>
      <c r="B2024" s="39" t="s">
        <v>4689</v>
      </c>
      <c r="C2024" s="39" t="s">
        <v>247</v>
      </c>
      <c r="D2024" s="39" t="s">
        <v>245</v>
      </c>
      <c r="E2024" s="39">
        <v>1.0475809999999999E-3</v>
      </c>
    </row>
    <row r="2025" spans="1:5" ht="30" x14ac:dyDescent="0.25">
      <c r="A2025" s="39" t="s">
        <v>4594</v>
      </c>
      <c r="B2025" s="39" t="s">
        <v>4690</v>
      </c>
      <c r="C2025" s="39" t="s">
        <v>247</v>
      </c>
      <c r="D2025" s="39" t="s">
        <v>245</v>
      </c>
      <c r="E2025" s="39">
        <v>1.0475809999999999E-3</v>
      </c>
    </row>
    <row r="2026" spans="1:5" ht="30" x14ac:dyDescent="0.25">
      <c r="A2026" s="39" t="s">
        <v>4596</v>
      </c>
      <c r="B2026" s="39" t="s">
        <v>4691</v>
      </c>
      <c r="C2026" s="39" t="s">
        <v>247</v>
      </c>
      <c r="D2026" s="39" t="s">
        <v>245</v>
      </c>
      <c r="E2026" s="39">
        <v>1.0475809999999999E-3</v>
      </c>
    </row>
    <row r="2027" spans="1:5" ht="30" x14ac:dyDescent="0.25">
      <c r="A2027" s="39" t="s">
        <v>4692</v>
      </c>
      <c r="B2027" s="39" t="s">
        <v>4693</v>
      </c>
      <c r="C2027" s="39" t="s">
        <v>271</v>
      </c>
      <c r="D2027" s="39" t="s">
        <v>269</v>
      </c>
      <c r="E2027" s="39">
        <v>5.2359699999999999E-4</v>
      </c>
    </row>
    <row r="2028" spans="1:5" ht="30" x14ac:dyDescent="0.25">
      <c r="A2028" s="39" t="s">
        <v>4694</v>
      </c>
      <c r="B2028" s="39" t="s">
        <v>4695</v>
      </c>
      <c r="C2028" s="39" t="s">
        <v>271</v>
      </c>
      <c r="D2028" s="39" t="s">
        <v>269</v>
      </c>
      <c r="E2028" s="39">
        <v>5.2359699999999999E-4</v>
      </c>
    </row>
    <row r="2029" spans="1:5" ht="30" x14ac:dyDescent="0.25">
      <c r="A2029" s="39" t="s">
        <v>4651</v>
      </c>
      <c r="B2029" s="39" t="s">
        <v>4696</v>
      </c>
      <c r="C2029" s="39" t="s">
        <v>271</v>
      </c>
      <c r="D2029" s="39" t="s">
        <v>269</v>
      </c>
      <c r="E2029" s="39">
        <v>5.2359699999999999E-4</v>
      </c>
    </row>
    <row r="2030" spans="1:5" ht="30" x14ac:dyDescent="0.25">
      <c r="A2030" s="39" t="s">
        <v>4697</v>
      </c>
      <c r="B2030" s="39" t="s">
        <v>4698</v>
      </c>
      <c r="C2030" s="39" t="s">
        <v>271</v>
      </c>
      <c r="D2030" s="39" t="s">
        <v>269</v>
      </c>
      <c r="E2030" s="39">
        <v>5.2359699999999999E-4</v>
      </c>
    </row>
    <row r="2031" spans="1:5" ht="30" x14ac:dyDescent="0.25">
      <c r="A2031" s="39" t="s">
        <v>4590</v>
      </c>
      <c r="B2031" s="39" t="s">
        <v>4699</v>
      </c>
      <c r="C2031" s="39" t="s">
        <v>271</v>
      </c>
      <c r="D2031" s="39" t="s">
        <v>269</v>
      </c>
      <c r="E2031" s="39">
        <v>5.2359699999999999E-4</v>
      </c>
    </row>
    <row r="2032" spans="1:5" ht="30" x14ac:dyDescent="0.25">
      <c r="A2032" s="39" t="s">
        <v>4662</v>
      </c>
      <c r="B2032" s="39" t="s">
        <v>4700</v>
      </c>
      <c r="C2032" s="39" t="s">
        <v>256</v>
      </c>
      <c r="D2032" s="39" t="s">
        <v>254</v>
      </c>
      <c r="E2032" s="39">
        <v>8.1312799999999998E-4</v>
      </c>
    </row>
    <row r="2033" spans="1:8" ht="30" x14ac:dyDescent="0.25">
      <c r="A2033" s="39" t="s">
        <v>4701</v>
      </c>
      <c r="B2033" s="39" t="s">
        <v>4702</v>
      </c>
      <c r="C2033" s="39" t="s">
        <v>256</v>
      </c>
      <c r="D2033" s="39" t="s">
        <v>254</v>
      </c>
      <c r="E2033" s="39">
        <v>8.1312799999999998E-4</v>
      </c>
    </row>
    <row r="2034" spans="1:8" ht="30" x14ac:dyDescent="0.25">
      <c r="A2034" s="39" t="s">
        <v>4703</v>
      </c>
      <c r="B2034" s="39" t="s">
        <v>4704</v>
      </c>
      <c r="C2034" s="39" t="s">
        <v>256</v>
      </c>
      <c r="D2034" s="39" t="s">
        <v>254</v>
      </c>
      <c r="E2034" s="39">
        <v>8.1312799999999998E-4</v>
      </c>
    </row>
    <row r="2035" spans="1:8" ht="30" x14ac:dyDescent="0.25">
      <c r="A2035" s="39" t="s">
        <v>4705</v>
      </c>
      <c r="B2035" s="39" t="s">
        <v>4706</v>
      </c>
      <c r="C2035" s="39" t="s">
        <v>256</v>
      </c>
      <c r="D2035" s="39" t="s">
        <v>254</v>
      </c>
      <c r="E2035" s="39">
        <v>8.1312799999999998E-4</v>
      </c>
    </row>
    <row r="2036" spans="1:8" ht="30" x14ac:dyDescent="0.25">
      <c r="A2036" s="39" t="s">
        <v>4707</v>
      </c>
      <c r="B2036" s="39" t="s">
        <v>4708</v>
      </c>
      <c r="C2036" s="39" t="s">
        <v>265</v>
      </c>
      <c r="D2036" s="39" t="s">
        <v>263</v>
      </c>
      <c r="E2036" s="39">
        <v>3.0449399999999999E-4</v>
      </c>
    </row>
    <row r="2037" spans="1:8" ht="30" x14ac:dyDescent="0.25">
      <c r="A2037" s="39" t="s">
        <v>4709</v>
      </c>
      <c r="B2037" s="39" t="s">
        <v>4710</v>
      </c>
      <c r="C2037" s="39" t="s">
        <v>265</v>
      </c>
      <c r="D2037" s="39" t="s">
        <v>263</v>
      </c>
      <c r="E2037" s="39">
        <v>3.0449399999999999E-4</v>
      </c>
    </row>
    <row r="2038" spans="1:8" ht="30" x14ac:dyDescent="0.25">
      <c r="A2038" s="39" t="s">
        <v>4711</v>
      </c>
      <c r="B2038" s="39" t="s">
        <v>4712</v>
      </c>
      <c r="C2038" s="39" t="s">
        <v>407</v>
      </c>
      <c r="D2038" s="39" t="s">
        <v>408</v>
      </c>
      <c r="E2038" s="39">
        <v>1.6713599999999999E-4</v>
      </c>
    </row>
    <row r="2039" spans="1:8" ht="30" x14ac:dyDescent="0.25">
      <c r="A2039" s="39" t="s">
        <v>4713</v>
      </c>
      <c r="B2039" s="39" t="s">
        <v>4714</v>
      </c>
      <c r="C2039" s="39" t="s">
        <v>407</v>
      </c>
      <c r="D2039" s="39" t="s">
        <v>408</v>
      </c>
      <c r="E2039" s="39">
        <v>1.6713599999999999E-4</v>
      </c>
    </row>
    <row r="2040" spans="1:8" x14ac:dyDescent="0.25">
      <c r="A2040" t="s">
        <v>4804</v>
      </c>
      <c r="B2040" t="s">
        <v>4804</v>
      </c>
      <c r="C2040" t="s">
        <v>271</v>
      </c>
      <c r="D2040" t="s">
        <v>269</v>
      </c>
      <c r="E2040">
        <v>5.2359699999999999E-4</v>
      </c>
      <c r="F2040" t="s">
        <v>233</v>
      </c>
      <c r="G2040" t="s">
        <v>234</v>
      </c>
      <c r="H2040">
        <v>3</v>
      </c>
    </row>
    <row r="2041" spans="1:8" x14ac:dyDescent="0.25">
      <c r="A2041" t="s">
        <v>4805</v>
      </c>
      <c r="B2041" t="s">
        <v>4805</v>
      </c>
      <c r="C2041" t="s">
        <v>271</v>
      </c>
      <c r="D2041" t="s">
        <v>269</v>
      </c>
      <c r="E2041">
        <v>5.2359699999999999E-4</v>
      </c>
      <c r="F2041" t="s">
        <v>233</v>
      </c>
      <c r="G2041" t="s">
        <v>234</v>
      </c>
      <c r="H2041">
        <v>3</v>
      </c>
    </row>
    <row r="2042" spans="1:8" x14ac:dyDescent="0.25">
      <c r="A2042" t="s">
        <v>4806</v>
      </c>
      <c r="B2042" t="s">
        <v>4806</v>
      </c>
      <c r="C2042" t="s">
        <v>271</v>
      </c>
      <c r="D2042" t="s">
        <v>269</v>
      </c>
      <c r="E2042">
        <v>5.2359699999999999E-4</v>
      </c>
      <c r="F2042" t="s">
        <v>233</v>
      </c>
      <c r="G2042" t="s">
        <v>234</v>
      </c>
      <c r="H2042">
        <v>3</v>
      </c>
    </row>
    <row r="2043" spans="1:8" x14ac:dyDescent="0.25">
      <c r="A2043" t="s">
        <v>4807</v>
      </c>
      <c r="B2043" t="s">
        <v>4807</v>
      </c>
      <c r="C2043" t="s">
        <v>271</v>
      </c>
      <c r="D2043" t="s">
        <v>269</v>
      </c>
      <c r="E2043">
        <v>5.2359699999999999E-4</v>
      </c>
      <c r="F2043" t="s">
        <v>233</v>
      </c>
      <c r="G2043" t="s">
        <v>234</v>
      </c>
      <c r="H2043">
        <v>3</v>
      </c>
    </row>
    <row r="2044" spans="1:8" x14ac:dyDescent="0.25">
      <c r="A2044" t="s">
        <v>4808</v>
      </c>
      <c r="B2044" t="s">
        <v>4808</v>
      </c>
      <c r="C2044" t="s">
        <v>271</v>
      </c>
      <c r="D2044" t="s">
        <v>269</v>
      </c>
      <c r="E2044">
        <v>5.2359699999999999E-4</v>
      </c>
      <c r="F2044" t="s">
        <v>233</v>
      </c>
      <c r="G2044" t="s">
        <v>234</v>
      </c>
      <c r="H2044">
        <v>3</v>
      </c>
    </row>
    <row r="2045" spans="1:8" x14ac:dyDescent="0.25">
      <c r="A2045" t="s">
        <v>4809</v>
      </c>
      <c r="B2045" t="s">
        <v>4809</v>
      </c>
      <c r="C2045" t="s">
        <v>271</v>
      </c>
      <c r="D2045" t="s">
        <v>269</v>
      </c>
      <c r="E2045">
        <v>5.2359699999999999E-4</v>
      </c>
      <c r="F2045" t="s">
        <v>233</v>
      </c>
      <c r="G2045" t="s">
        <v>234</v>
      </c>
      <c r="H2045">
        <v>3</v>
      </c>
    </row>
    <row r="2046" spans="1:8" x14ac:dyDescent="0.25">
      <c r="A2046" t="s">
        <v>4810</v>
      </c>
      <c r="B2046" t="s">
        <v>4810</v>
      </c>
      <c r="C2046" t="s">
        <v>271</v>
      </c>
      <c r="D2046" t="s">
        <v>269</v>
      </c>
      <c r="E2046">
        <v>5.2359699999999999E-4</v>
      </c>
      <c r="F2046" t="s">
        <v>233</v>
      </c>
      <c r="G2046" t="s">
        <v>234</v>
      </c>
      <c r="H2046">
        <v>3</v>
      </c>
    </row>
    <row r="2047" spans="1:8" x14ac:dyDescent="0.25">
      <c r="A2047" t="s">
        <v>4811</v>
      </c>
      <c r="B2047" t="s">
        <v>4811</v>
      </c>
      <c r="C2047" t="s">
        <v>265</v>
      </c>
      <c r="D2047" t="s">
        <v>263</v>
      </c>
      <c r="E2047">
        <v>3.0449399999999999E-4</v>
      </c>
      <c r="F2047" t="s">
        <v>233</v>
      </c>
      <c r="G2047" t="s">
        <v>234</v>
      </c>
      <c r="H2047">
        <v>3</v>
      </c>
    </row>
    <row r="2048" spans="1:8" x14ac:dyDescent="0.25">
      <c r="A2048" t="s">
        <v>4812</v>
      </c>
      <c r="B2048" t="s">
        <v>4812</v>
      </c>
      <c r="C2048" t="s">
        <v>271</v>
      </c>
      <c r="D2048" t="s">
        <v>269</v>
      </c>
      <c r="E2048">
        <v>5.2359699999999999E-4</v>
      </c>
      <c r="F2048" t="s">
        <v>233</v>
      </c>
      <c r="G2048" t="s">
        <v>234</v>
      </c>
      <c r="H2048">
        <v>3</v>
      </c>
    </row>
    <row r="2049" spans="1:8" x14ac:dyDescent="0.25">
      <c r="A2049" t="s">
        <v>4813</v>
      </c>
      <c r="B2049" t="s">
        <v>4813</v>
      </c>
      <c r="C2049" t="s">
        <v>465</v>
      </c>
      <c r="D2049" t="s">
        <v>466</v>
      </c>
      <c r="E2049">
        <v>2.2128299999999999E-4</v>
      </c>
      <c r="F2049" t="s">
        <v>233</v>
      </c>
      <c r="G2049" t="s">
        <v>234</v>
      </c>
      <c r="H2049">
        <v>3</v>
      </c>
    </row>
    <row r="2050" spans="1:8" x14ac:dyDescent="0.25">
      <c r="A2050" t="s">
        <v>4814</v>
      </c>
      <c r="B2050" t="s">
        <v>4814</v>
      </c>
      <c r="C2050" t="s">
        <v>265</v>
      </c>
      <c r="D2050" t="s">
        <v>263</v>
      </c>
      <c r="E2050">
        <v>3.0449399999999999E-4</v>
      </c>
      <c r="F2050" t="s">
        <v>233</v>
      </c>
      <c r="G2050" t="s">
        <v>234</v>
      </c>
      <c r="H2050">
        <v>3</v>
      </c>
    </row>
    <row r="2051" spans="1:8" x14ac:dyDescent="0.25">
      <c r="A2051" t="s">
        <v>4815</v>
      </c>
      <c r="B2051" t="s">
        <v>4815</v>
      </c>
      <c r="C2051" t="s">
        <v>265</v>
      </c>
      <c r="D2051" t="s">
        <v>263</v>
      </c>
      <c r="E2051">
        <v>3.0449399999999999E-4</v>
      </c>
      <c r="F2051" t="s">
        <v>233</v>
      </c>
      <c r="G2051" t="s">
        <v>234</v>
      </c>
      <c r="H2051">
        <v>3</v>
      </c>
    </row>
    <row r="2052" spans="1:8" x14ac:dyDescent="0.25">
      <c r="A2052" t="s">
        <v>4816</v>
      </c>
      <c r="B2052" t="s">
        <v>4816</v>
      </c>
      <c r="C2052" t="s">
        <v>250</v>
      </c>
      <c r="D2052" t="s">
        <v>248</v>
      </c>
      <c r="E2052">
        <v>4.3868599999999998E-4</v>
      </c>
      <c r="F2052" t="s">
        <v>233</v>
      </c>
      <c r="G2052" t="s">
        <v>234</v>
      </c>
      <c r="H2052">
        <v>3</v>
      </c>
    </row>
    <row r="2053" spans="1:8" x14ac:dyDescent="0.25">
      <c r="A2053" t="s">
        <v>4817</v>
      </c>
      <c r="B2053" t="s">
        <v>4817</v>
      </c>
      <c r="C2053" t="s">
        <v>250</v>
      </c>
      <c r="D2053" t="s">
        <v>248</v>
      </c>
      <c r="E2053">
        <v>4.3868599999999998E-4</v>
      </c>
      <c r="F2053" t="s">
        <v>233</v>
      </c>
      <c r="G2053" t="s">
        <v>234</v>
      </c>
      <c r="H2053">
        <v>3</v>
      </c>
    </row>
    <row r="2054" spans="1:8" x14ac:dyDescent="0.25">
      <c r="A2054" t="s">
        <v>4818</v>
      </c>
      <c r="B2054" t="s">
        <v>4818</v>
      </c>
      <c r="C2054" t="s">
        <v>250</v>
      </c>
      <c r="D2054" t="s">
        <v>248</v>
      </c>
      <c r="E2054">
        <v>4.3868599999999998E-4</v>
      </c>
      <c r="F2054" t="s">
        <v>233</v>
      </c>
      <c r="G2054" t="s">
        <v>234</v>
      </c>
      <c r="H2054">
        <v>3</v>
      </c>
    </row>
    <row r="2055" spans="1:8" x14ac:dyDescent="0.25">
      <c r="A2055" t="s">
        <v>4819</v>
      </c>
      <c r="B2055" t="s">
        <v>4819</v>
      </c>
      <c r="C2055" t="s">
        <v>250</v>
      </c>
      <c r="D2055" t="s">
        <v>248</v>
      </c>
      <c r="E2055">
        <v>4.3868599999999998E-4</v>
      </c>
      <c r="F2055" t="s">
        <v>233</v>
      </c>
      <c r="G2055" t="s">
        <v>234</v>
      </c>
      <c r="H2055">
        <v>3</v>
      </c>
    </row>
    <row r="2056" spans="1:8" x14ac:dyDescent="0.25">
      <c r="A2056" t="s">
        <v>4820</v>
      </c>
      <c r="B2056" t="s">
        <v>4820</v>
      </c>
      <c r="C2056" t="s">
        <v>250</v>
      </c>
      <c r="D2056" t="s">
        <v>248</v>
      </c>
      <c r="E2056">
        <v>4.3868599999999998E-4</v>
      </c>
      <c r="F2056" t="s">
        <v>233</v>
      </c>
      <c r="G2056" t="s">
        <v>234</v>
      </c>
      <c r="H2056">
        <v>3</v>
      </c>
    </row>
    <row r="2057" spans="1:8" x14ac:dyDescent="0.25">
      <c r="A2057" t="s">
        <v>4821</v>
      </c>
      <c r="B2057" t="s">
        <v>4821</v>
      </c>
      <c r="C2057" t="s">
        <v>247</v>
      </c>
      <c r="D2057" t="s">
        <v>245</v>
      </c>
      <c r="E2057">
        <v>1.0475809999999999E-3</v>
      </c>
      <c r="F2057" t="s">
        <v>233</v>
      </c>
      <c r="G2057" t="s">
        <v>234</v>
      </c>
      <c r="H2057">
        <v>3</v>
      </c>
    </row>
    <row r="2058" spans="1:8" x14ac:dyDescent="0.25">
      <c r="A2058" t="s">
        <v>4822</v>
      </c>
      <c r="B2058" t="s">
        <v>4822</v>
      </c>
      <c r="C2058" t="s">
        <v>250</v>
      </c>
      <c r="D2058" t="s">
        <v>248</v>
      </c>
      <c r="E2058">
        <v>4.3868599999999998E-4</v>
      </c>
      <c r="F2058" t="s">
        <v>233</v>
      </c>
      <c r="G2058" t="s">
        <v>234</v>
      </c>
      <c r="H2058">
        <v>3</v>
      </c>
    </row>
    <row r="2059" spans="1:8" x14ac:dyDescent="0.25">
      <c r="A2059" t="s">
        <v>4823</v>
      </c>
      <c r="B2059" t="s">
        <v>4823</v>
      </c>
      <c r="C2059" t="s">
        <v>407</v>
      </c>
      <c r="D2059" t="s">
        <v>408</v>
      </c>
      <c r="E2059">
        <v>1.6713599999999999E-4</v>
      </c>
      <c r="F2059" t="s">
        <v>233</v>
      </c>
      <c r="G2059" t="s">
        <v>234</v>
      </c>
      <c r="H2059">
        <v>3</v>
      </c>
    </row>
    <row r="2060" spans="1:8" x14ac:dyDescent="0.25">
      <c r="A2060" t="s">
        <v>4824</v>
      </c>
      <c r="B2060" t="s">
        <v>4824</v>
      </c>
      <c r="C2060" t="s">
        <v>250</v>
      </c>
      <c r="D2060" t="s">
        <v>248</v>
      </c>
      <c r="E2060">
        <v>4.3868599999999998E-4</v>
      </c>
      <c r="F2060" t="s">
        <v>233</v>
      </c>
      <c r="G2060" t="s">
        <v>234</v>
      </c>
      <c r="H2060">
        <v>3</v>
      </c>
    </row>
    <row r="2061" spans="1:8" x14ac:dyDescent="0.25">
      <c r="A2061" t="s">
        <v>4825</v>
      </c>
      <c r="B2061" t="s">
        <v>4825</v>
      </c>
      <c r="C2061" t="s">
        <v>250</v>
      </c>
      <c r="D2061" t="s">
        <v>248</v>
      </c>
      <c r="E2061">
        <v>4.3868599999999998E-4</v>
      </c>
      <c r="F2061" t="s">
        <v>233</v>
      </c>
      <c r="G2061" t="s">
        <v>234</v>
      </c>
      <c r="H2061">
        <v>3</v>
      </c>
    </row>
    <row r="2062" spans="1:8" x14ac:dyDescent="0.25">
      <c r="A2062" t="s">
        <v>4826</v>
      </c>
      <c r="B2062" t="s">
        <v>4826</v>
      </c>
      <c r="C2062" t="s">
        <v>250</v>
      </c>
      <c r="D2062" t="s">
        <v>248</v>
      </c>
      <c r="E2062">
        <v>4.3868599999999998E-4</v>
      </c>
      <c r="F2062" t="s">
        <v>233</v>
      </c>
      <c r="G2062" t="s">
        <v>234</v>
      </c>
      <c r="H2062">
        <v>3</v>
      </c>
    </row>
    <row r="2063" spans="1:8" x14ac:dyDescent="0.25">
      <c r="A2063" t="s">
        <v>3563</v>
      </c>
      <c r="B2063" t="s">
        <v>3563</v>
      </c>
      <c r="C2063" t="s">
        <v>413</v>
      </c>
      <c r="D2063" t="s">
        <v>414</v>
      </c>
      <c r="E2063">
        <v>3.1322199999999999E-4</v>
      </c>
      <c r="F2063" t="s">
        <v>233</v>
      </c>
      <c r="G2063" t="s">
        <v>234</v>
      </c>
      <c r="H2063">
        <v>3</v>
      </c>
    </row>
    <row r="2064" spans="1:8" x14ac:dyDescent="0.25">
      <c r="A2064" t="s">
        <v>4827</v>
      </c>
      <c r="B2064" t="s">
        <v>4827</v>
      </c>
      <c r="C2064" t="s">
        <v>743</v>
      </c>
      <c r="D2064" t="s">
        <v>744</v>
      </c>
      <c r="E2064">
        <v>3.813E-4</v>
      </c>
      <c r="F2064" t="s">
        <v>233</v>
      </c>
      <c r="G2064" t="s">
        <v>316</v>
      </c>
      <c r="H2064">
        <v>3</v>
      </c>
    </row>
    <row r="2065" spans="1:8" x14ac:dyDescent="0.25">
      <c r="A2065" t="s">
        <v>4828</v>
      </c>
      <c r="B2065" t="s">
        <v>4828</v>
      </c>
      <c r="C2065" t="s">
        <v>346</v>
      </c>
      <c r="D2065" t="s">
        <v>347</v>
      </c>
      <c r="E2065">
        <v>2.10657E-4</v>
      </c>
      <c r="F2065" t="s">
        <v>233</v>
      </c>
      <c r="G2065" t="s">
        <v>234</v>
      </c>
      <c r="H2065">
        <v>3</v>
      </c>
    </row>
    <row r="2066" spans="1:8" x14ac:dyDescent="0.25">
      <c r="A2066" t="s">
        <v>4829</v>
      </c>
      <c r="B2066" t="s">
        <v>4829</v>
      </c>
      <c r="C2066" t="s">
        <v>726</v>
      </c>
      <c r="D2066" t="s">
        <v>727</v>
      </c>
      <c r="E2066">
        <v>1.3494000000000001E-4</v>
      </c>
      <c r="F2066" t="s">
        <v>233</v>
      </c>
      <c r="G2066" t="s">
        <v>234</v>
      </c>
      <c r="H2066">
        <v>3</v>
      </c>
    </row>
    <row r="2067" spans="1:8" x14ac:dyDescent="0.25">
      <c r="A2067" t="s">
        <v>4830</v>
      </c>
      <c r="B2067" t="s">
        <v>4830</v>
      </c>
      <c r="C2067" t="s">
        <v>746</v>
      </c>
      <c r="D2067" t="s">
        <v>747</v>
      </c>
      <c r="E2067">
        <v>2.4671799999999999E-4</v>
      </c>
      <c r="F2067" t="s">
        <v>233</v>
      </c>
      <c r="G2067" t="s">
        <v>234</v>
      </c>
      <c r="H2067">
        <v>3</v>
      </c>
    </row>
    <row r="2068" spans="1:8" x14ac:dyDescent="0.25">
      <c r="A2068" t="s">
        <v>4831</v>
      </c>
      <c r="B2068" t="s">
        <v>4831</v>
      </c>
      <c r="C2068" t="s">
        <v>732</v>
      </c>
      <c r="D2068" t="s">
        <v>733</v>
      </c>
      <c r="E2068">
        <v>1.9325700000000001E-4</v>
      </c>
      <c r="F2068" t="s">
        <v>233</v>
      </c>
      <c r="G2068" t="s">
        <v>234</v>
      </c>
      <c r="H2068">
        <v>3</v>
      </c>
    </row>
    <row r="2069" spans="1:8" x14ac:dyDescent="0.25">
      <c r="A2069" t="s">
        <v>4832</v>
      </c>
      <c r="B2069" t="s">
        <v>4832</v>
      </c>
      <c r="C2069" t="s">
        <v>465</v>
      </c>
      <c r="D2069" t="s">
        <v>466</v>
      </c>
      <c r="E2069">
        <v>2.2128299999999999E-4</v>
      </c>
      <c r="F2069" t="s">
        <v>233</v>
      </c>
      <c r="G2069" t="s">
        <v>234</v>
      </c>
      <c r="H2069">
        <v>3</v>
      </c>
    </row>
    <row r="2070" spans="1:8" x14ac:dyDescent="0.25">
      <c r="A2070" t="s">
        <v>4833</v>
      </c>
      <c r="B2070" t="s">
        <v>4833</v>
      </c>
      <c r="C2070" t="s">
        <v>346</v>
      </c>
      <c r="D2070" t="s">
        <v>347</v>
      </c>
      <c r="E2070">
        <v>2.10657E-4</v>
      </c>
      <c r="F2070" t="s">
        <v>233</v>
      </c>
      <c r="G2070" t="s">
        <v>234</v>
      </c>
      <c r="H2070">
        <v>3</v>
      </c>
    </row>
    <row r="2071" spans="1:8" x14ac:dyDescent="0.25">
      <c r="A2071" t="s">
        <v>4834</v>
      </c>
      <c r="B2071" t="s">
        <v>4834</v>
      </c>
      <c r="C2071" t="s">
        <v>465</v>
      </c>
      <c r="D2071" t="s">
        <v>466</v>
      </c>
      <c r="E2071">
        <v>2.2128299999999999E-4</v>
      </c>
      <c r="F2071" t="s">
        <v>233</v>
      </c>
      <c r="G2071" t="s">
        <v>234</v>
      </c>
      <c r="H2071">
        <v>3</v>
      </c>
    </row>
    <row r="2072" spans="1:8" x14ac:dyDescent="0.25">
      <c r="A2072" t="s">
        <v>4835</v>
      </c>
      <c r="B2072" t="s">
        <v>4835</v>
      </c>
      <c r="C2072" t="s">
        <v>346</v>
      </c>
      <c r="D2072" t="s">
        <v>347</v>
      </c>
      <c r="E2072">
        <v>2.10657E-4</v>
      </c>
      <c r="F2072" t="s">
        <v>233</v>
      </c>
      <c r="G2072" t="s">
        <v>234</v>
      </c>
      <c r="H2072">
        <v>3</v>
      </c>
    </row>
    <row r="2073" spans="1:8" x14ac:dyDescent="0.25">
      <c r="A2073" t="s">
        <v>4836</v>
      </c>
      <c r="B2073" t="s">
        <v>4836</v>
      </c>
      <c r="C2073" t="s">
        <v>726</v>
      </c>
      <c r="D2073" t="s">
        <v>727</v>
      </c>
      <c r="E2073">
        <v>1.3494000000000001E-4</v>
      </c>
      <c r="F2073" t="s">
        <v>233</v>
      </c>
      <c r="G2073" t="s">
        <v>234</v>
      </c>
      <c r="H2073">
        <v>3</v>
      </c>
    </row>
    <row r="2074" spans="1:8" x14ac:dyDescent="0.25">
      <c r="A2074" t="s">
        <v>4837</v>
      </c>
      <c r="B2074" t="s">
        <v>4837</v>
      </c>
      <c r="C2074" t="s">
        <v>250</v>
      </c>
      <c r="D2074" t="s">
        <v>248</v>
      </c>
      <c r="E2074">
        <v>4.3868599999999998E-4</v>
      </c>
      <c r="F2074" t="s">
        <v>233</v>
      </c>
      <c r="G2074" t="s">
        <v>234</v>
      </c>
      <c r="H2074">
        <v>3</v>
      </c>
    </row>
    <row r="2075" spans="1:8" x14ac:dyDescent="0.25">
      <c r="A2075" t="s">
        <v>4838</v>
      </c>
      <c r="B2075" t="s">
        <v>4838</v>
      </c>
      <c r="C2075" t="s">
        <v>250</v>
      </c>
      <c r="D2075" t="s">
        <v>248</v>
      </c>
      <c r="E2075">
        <v>4.3868599999999998E-4</v>
      </c>
      <c r="F2075" t="s">
        <v>233</v>
      </c>
      <c r="G2075" t="s">
        <v>234</v>
      </c>
      <c r="H2075">
        <v>3</v>
      </c>
    </row>
    <row r="2076" spans="1:8" x14ac:dyDescent="0.25">
      <c r="A2076" t="s">
        <v>4839</v>
      </c>
      <c r="B2076" t="s">
        <v>4839</v>
      </c>
      <c r="C2076" t="s">
        <v>250</v>
      </c>
      <c r="D2076" t="s">
        <v>248</v>
      </c>
      <c r="E2076">
        <v>4.3868599999999998E-4</v>
      </c>
      <c r="F2076" t="s">
        <v>233</v>
      </c>
      <c r="G2076" t="s">
        <v>234</v>
      </c>
      <c r="H2076">
        <v>3</v>
      </c>
    </row>
    <row r="2077" spans="1:8" x14ac:dyDescent="0.25">
      <c r="A2077" t="s">
        <v>4840</v>
      </c>
      <c r="B2077" t="s">
        <v>4840</v>
      </c>
      <c r="C2077" t="s">
        <v>250</v>
      </c>
      <c r="D2077" t="s">
        <v>248</v>
      </c>
      <c r="E2077">
        <v>4.3868599999999998E-4</v>
      </c>
      <c r="F2077" t="s">
        <v>233</v>
      </c>
      <c r="G2077" t="s">
        <v>234</v>
      </c>
      <c r="H2077">
        <v>3</v>
      </c>
    </row>
    <row r="2078" spans="1:8" x14ac:dyDescent="0.25">
      <c r="A2078" t="s">
        <v>4841</v>
      </c>
      <c r="B2078" t="s">
        <v>4841</v>
      </c>
      <c r="C2078" t="s">
        <v>250</v>
      </c>
      <c r="D2078" t="s">
        <v>248</v>
      </c>
      <c r="E2078">
        <v>4.3868599999999998E-4</v>
      </c>
      <c r="F2078" t="s">
        <v>233</v>
      </c>
      <c r="G2078" t="s">
        <v>234</v>
      </c>
      <c r="H2078">
        <v>3</v>
      </c>
    </row>
    <row r="2079" spans="1:8" x14ac:dyDescent="0.25">
      <c r="A2079" t="s">
        <v>4842</v>
      </c>
      <c r="B2079" t="s">
        <v>4842</v>
      </c>
      <c r="C2079" t="s">
        <v>250</v>
      </c>
      <c r="D2079" t="s">
        <v>248</v>
      </c>
      <c r="E2079">
        <v>4.3868599999999998E-4</v>
      </c>
      <c r="F2079" t="s">
        <v>233</v>
      </c>
      <c r="G2079" t="s">
        <v>234</v>
      </c>
      <c r="H2079">
        <v>3</v>
      </c>
    </row>
    <row r="2080" spans="1:8" x14ac:dyDescent="0.25">
      <c r="A2080" t="s">
        <v>4843</v>
      </c>
      <c r="B2080" t="s">
        <v>4843</v>
      </c>
      <c r="C2080" t="s">
        <v>250</v>
      </c>
      <c r="D2080" t="s">
        <v>248</v>
      </c>
      <c r="E2080">
        <v>4.3868599999999998E-4</v>
      </c>
      <c r="F2080" t="s">
        <v>233</v>
      </c>
      <c r="G2080" t="s">
        <v>234</v>
      </c>
      <c r="H2080">
        <v>3</v>
      </c>
    </row>
    <row r="2081" spans="1:8" x14ac:dyDescent="0.25">
      <c r="A2081" t="s">
        <v>4844</v>
      </c>
      <c r="B2081" t="s">
        <v>4844</v>
      </c>
      <c r="C2081" t="s">
        <v>413</v>
      </c>
      <c r="D2081" t="s">
        <v>414</v>
      </c>
      <c r="E2081">
        <v>3.1322199999999999E-4</v>
      </c>
      <c r="F2081" t="s">
        <v>233</v>
      </c>
      <c r="G2081" t="s">
        <v>234</v>
      </c>
      <c r="H2081">
        <v>3</v>
      </c>
    </row>
    <row r="2082" spans="1:8" x14ac:dyDescent="0.25">
      <c r="A2082" t="s">
        <v>4711</v>
      </c>
      <c r="B2082" t="s">
        <v>4711</v>
      </c>
      <c r="C2082" t="s">
        <v>407</v>
      </c>
      <c r="D2082" t="s">
        <v>408</v>
      </c>
      <c r="E2082">
        <v>1.6713599999999999E-4</v>
      </c>
      <c r="F2082" t="s">
        <v>233</v>
      </c>
      <c r="G2082" t="s">
        <v>234</v>
      </c>
      <c r="H2082">
        <v>3</v>
      </c>
    </row>
    <row r="2083" spans="1:8" x14ac:dyDescent="0.25">
      <c r="A2083" t="s">
        <v>4845</v>
      </c>
      <c r="B2083" t="s">
        <v>4845</v>
      </c>
      <c r="C2083" t="s">
        <v>247</v>
      </c>
      <c r="D2083" t="s">
        <v>245</v>
      </c>
      <c r="E2083">
        <v>1.0475809999999999E-3</v>
      </c>
      <c r="F2083" t="s">
        <v>233</v>
      </c>
      <c r="G2083" t="s">
        <v>234</v>
      </c>
      <c r="H2083">
        <v>3</v>
      </c>
    </row>
    <row r="2084" spans="1:8" x14ac:dyDescent="0.25">
      <c r="A2084" t="s">
        <v>4846</v>
      </c>
      <c r="B2084" t="s">
        <v>4846</v>
      </c>
      <c r="C2084" t="s">
        <v>250</v>
      </c>
      <c r="D2084" t="s">
        <v>248</v>
      </c>
      <c r="E2084">
        <v>4.3868599999999998E-4</v>
      </c>
      <c r="F2084" t="s">
        <v>233</v>
      </c>
      <c r="G2084" t="s">
        <v>234</v>
      </c>
      <c r="H2084">
        <v>3</v>
      </c>
    </row>
    <row r="2085" spans="1:8" x14ac:dyDescent="0.25">
      <c r="A2085" t="s">
        <v>4847</v>
      </c>
      <c r="B2085" t="s">
        <v>4847</v>
      </c>
      <c r="C2085" t="s">
        <v>250</v>
      </c>
      <c r="D2085" t="s">
        <v>248</v>
      </c>
      <c r="E2085">
        <v>4.3868599999999998E-4</v>
      </c>
      <c r="F2085" t="s">
        <v>233</v>
      </c>
      <c r="G2085" t="s">
        <v>234</v>
      </c>
      <c r="H2085">
        <v>3</v>
      </c>
    </row>
    <row r="2086" spans="1:8" x14ac:dyDescent="0.25">
      <c r="A2086" t="s">
        <v>4848</v>
      </c>
      <c r="B2086" t="s">
        <v>4848</v>
      </c>
      <c r="C2086" t="s">
        <v>247</v>
      </c>
      <c r="D2086" t="s">
        <v>245</v>
      </c>
      <c r="E2086">
        <v>1.0475809999999999E-3</v>
      </c>
      <c r="F2086" t="s">
        <v>233</v>
      </c>
      <c r="G2086" t="s">
        <v>234</v>
      </c>
      <c r="H2086">
        <v>3</v>
      </c>
    </row>
    <row r="2087" spans="1:8" x14ac:dyDescent="0.25">
      <c r="A2087" t="s">
        <v>4849</v>
      </c>
      <c r="B2087" t="s">
        <v>4849</v>
      </c>
      <c r="C2087" t="s">
        <v>256</v>
      </c>
      <c r="D2087" t="s">
        <v>254</v>
      </c>
      <c r="E2087">
        <v>8.1312799999999998E-4</v>
      </c>
      <c r="F2087" t="s">
        <v>233</v>
      </c>
      <c r="G2087" t="s">
        <v>234</v>
      </c>
      <c r="H2087">
        <v>3</v>
      </c>
    </row>
    <row r="2088" spans="1:8" x14ac:dyDescent="0.25">
      <c r="A2088" t="s">
        <v>4850</v>
      </c>
      <c r="B2088" t="s">
        <v>4850</v>
      </c>
      <c r="C2088" t="s">
        <v>247</v>
      </c>
      <c r="D2088" t="s">
        <v>245</v>
      </c>
      <c r="E2088">
        <v>1.0475809999999999E-3</v>
      </c>
      <c r="F2088" t="s">
        <v>233</v>
      </c>
      <c r="G2088" t="s">
        <v>234</v>
      </c>
      <c r="H2088">
        <v>3</v>
      </c>
    </row>
    <row r="2089" spans="1:8" x14ac:dyDescent="0.25">
      <c r="A2089" t="s">
        <v>4851</v>
      </c>
      <c r="B2089" t="s">
        <v>4851</v>
      </c>
      <c r="C2089" t="s">
        <v>250</v>
      </c>
      <c r="D2089" t="s">
        <v>248</v>
      </c>
      <c r="E2089">
        <v>4.3868599999999998E-4</v>
      </c>
      <c r="F2089" t="s">
        <v>233</v>
      </c>
      <c r="G2089" t="s">
        <v>234</v>
      </c>
      <c r="H2089">
        <v>3</v>
      </c>
    </row>
    <row r="2090" spans="1:8" x14ac:dyDescent="0.25">
      <c r="A2090" t="s">
        <v>4852</v>
      </c>
      <c r="B2090" t="s">
        <v>4852</v>
      </c>
      <c r="C2090" t="s">
        <v>250</v>
      </c>
      <c r="D2090" t="s">
        <v>248</v>
      </c>
      <c r="E2090">
        <v>4.3868599999999998E-4</v>
      </c>
      <c r="F2090" t="s">
        <v>233</v>
      </c>
      <c r="G2090" t="s">
        <v>234</v>
      </c>
      <c r="H2090">
        <v>3</v>
      </c>
    </row>
    <row r="2091" spans="1:8" x14ac:dyDescent="0.25">
      <c r="A2091" t="s">
        <v>4853</v>
      </c>
      <c r="B2091" t="s">
        <v>4853</v>
      </c>
      <c r="C2091" t="s">
        <v>250</v>
      </c>
      <c r="D2091" t="s">
        <v>248</v>
      </c>
      <c r="E2091">
        <v>4.3868599999999998E-4</v>
      </c>
      <c r="F2091" t="s">
        <v>233</v>
      </c>
      <c r="G2091" t="s">
        <v>234</v>
      </c>
      <c r="H2091">
        <v>3</v>
      </c>
    </row>
    <row r="2092" spans="1:8" x14ac:dyDescent="0.25">
      <c r="A2092" t="s">
        <v>4854</v>
      </c>
      <c r="B2092" t="s">
        <v>4854</v>
      </c>
      <c r="C2092" t="s">
        <v>250</v>
      </c>
      <c r="D2092" t="s">
        <v>248</v>
      </c>
      <c r="E2092">
        <v>4.3868599999999998E-4</v>
      </c>
      <c r="F2092" t="s">
        <v>233</v>
      </c>
      <c r="G2092" t="s">
        <v>234</v>
      </c>
      <c r="H2092">
        <v>3</v>
      </c>
    </row>
    <row r="2093" spans="1:8" x14ac:dyDescent="0.25">
      <c r="A2093" t="s">
        <v>4855</v>
      </c>
      <c r="B2093" t="s">
        <v>4855</v>
      </c>
      <c r="C2093" t="s">
        <v>407</v>
      </c>
      <c r="D2093" t="s">
        <v>408</v>
      </c>
      <c r="E2093">
        <v>1.6713599999999999E-4</v>
      </c>
      <c r="F2093" t="s">
        <v>233</v>
      </c>
      <c r="G2093" t="s">
        <v>234</v>
      </c>
      <c r="H2093">
        <v>3</v>
      </c>
    </row>
    <row r="2094" spans="1:8" x14ac:dyDescent="0.25">
      <c r="A2094" t="s">
        <v>4856</v>
      </c>
      <c r="B2094" t="s">
        <v>4856</v>
      </c>
      <c r="C2094" t="s">
        <v>250</v>
      </c>
      <c r="D2094" t="s">
        <v>248</v>
      </c>
      <c r="E2094">
        <v>4.3868599999999998E-4</v>
      </c>
      <c r="F2094" t="s">
        <v>233</v>
      </c>
      <c r="G2094" t="s">
        <v>234</v>
      </c>
      <c r="H2094">
        <v>3</v>
      </c>
    </row>
    <row r="2095" spans="1:8" x14ac:dyDescent="0.25">
      <c r="A2095" t="s">
        <v>4857</v>
      </c>
      <c r="B2095" t="s">
        <v>4857</v>
      </c>
      <c r="C2095" t="s">
        <v>250</v>
      </c>
      <c r="D2095" t="s">
        <v>248</v>
      </c>
      <c r="E2095">
        <v>4.3868599999999998E-4</v>
      </c>
      <c r="F2095" t="s">
        <v>233</v>
      </c>
      <c r="G2095" t="s">
        <v>234</v>
      </c>
      <c r="H2095">
        <v>3</v>
      </c>
    </row>
    <row r="2096" spans="1:8" x14ac:dyDescent="0.25">
      <c r="A2096" t="s">
        <v>4858</v>
      </c>
      <c r="B2096" t="s">
        <v>4858</v>
      </c>
      <c r="C2096" t="s">
        <v>346</v>
      </c>
      <c r="D2096" t="s">
        <v>347</v>
      </c>
      <c r="E2096">
        <v>2.10657E-4</v>
      </c>
      <c r="F2096" t="s">
        <v>233</v>
      </c>
      <c r="G2096" t="s">
        <v>234</v>
      </c>
      <c r="H2096">
        <v>3</v>
      </c>
    </row>
    <row r="2097" spans="1:8" x14ac:dyDescent="0.25">
      <c r="A2097" t="s">
        <v>4859</v>
      </c>
      <c r="B2097" t="s">
        <v>4859</v>
      </c>
      <c r="C2097" t="s">
        <v>2877</v>
      </c>
      <c r="D2097" t="s">
        <v>229</v>
      </c>
      <c r="E2097" s="42">
        <v>8.8070000000000002E-5</v>
      </c>
      <c r="F2097" t="s">
        <v>233</v>
      </c>
      <c r="G2097" t="s">
        <v>234</v>
      </c>
      <c r="H2097">
        <v>3</v>
      </c>
    </row>
    <row r="2098" spans="1:8" x14ac:dyDescent="0.25">
      <c r="A2098" t="s">
        <v>4860</v>
      </c>
      <c r="B2098" t="s">
        <v>4860</v>
      </c>
      <c r="C2098" t="s">
        <v>465</v>
      </c>
      <c r="D2098" t="s">
        <v>466</v>
      </c>
      <c r="E2098">
        <v>2.2128299999999999E-4</v>
      </c>
      <c r="F2098" t="s">
        <v>233</v>
      </c>
      <c r="G2098" t="s">
        <v>234</v>
      </c>
      <c r="H2098">
        <v>3</v>
      </c>
    </row>
    <row r="2099" spans="1:8" x14ac:dyDescent="0.25">
      <c r="A2099" t="s">
        <v>4861</v>
      </c>
      <c r="B2099" t="s">
        <v>4861</v>
      </c>
      <c r="C2099" t="s">
        <v>413</v>
      </c>
      <c r="D2099" t="s">
        <v>414</v>
      </c>
      <c r="E2099">
        <v>3.1322199999999999E-4</v>
      </c>
      <c r="F2099" t="s">
        <v>233</v>
      </c>
      <c r="G2099" t="s">
        <v>234</v>
      </c>
      <c r="H2099">
        <v>3</v>
      </c>
    </row>
    <row r="2100" spans="1:8" x14ac:dyDescent="0.25">
      <c r="A2100" t="s">
        <v>4862</v>
      </c>
      <c r="B2100" t="s">
        <v>4862</v>
      </c>
      <c r="C2100" t="s">
        <v>346</v>
      </c>
      <c r="D2100" t="s">
        <v>347</v>
      </c>
      <c r="E2100">
        <v>2.10657E-4</v>
      </c>
      <c r="F2100" t="s">
        <v>233</v>
      </c>
      <c r="G2100" t="s">
        <v>234</v>
      </c>
      <c r="H2100">
        <v>3</v>
      </c>
    </row>
    <row r="2101" spans="1:8" x14ac:dyDescent="0.25">
      <c r="A2101" t="s">
        <v>4863</v>
      </c>
      <c r="B2101" t="s">
        <v>4863</v>
      </c>
      <c r="C2101" t="s">
        <v>465</v>
      </c>
      <c r="D2101" t="s">
        <v>466</v>
      </c>
      <c r="E2101">
        <v>2.2128299999999999E-4</v>
      </c>
      <c r="F2101" t="s">
        <v>233</v>
      </c>
      <c r="G2101" t="s">
        <v>234</v>
      </c>
      <c r="H2101">
        <v>3</v>
      </c>
    </row>
    <row r="2102" spans="1:8" x14ac:dyDescent="0.25">
      <c r="A2102" t="s">
        <v>4864</v>
      </c>
      <c r="B2102" t="s">
        <v>4864</v>
      </c>
      <c r="C2102" t="s">
        <v>346</v>
      </c>
      <c r="D2102" t="s">
        <v>347</v>
      </c>
      <c r="E2102">
        <v>2.10657E-4</v>
      </c>
      <c r="F2102" t="s">
        <v>233</v>
      </c>
      <c r="G2102" t="s">
        <v>234</v>
      </c>
      <c r="H2102">
        <v>3</v>
      </c>
    </row>
    <row r="2103" spans="1:8" x14ac:dyDescent="0.25">
      <c r="A2103" t="s">
        <v>4865</v>
      </c>
      <c r="B2103" t="s">
        <v>4865</v>
      </c>
      <c r="C2103" t="s">
        <v>315</v>
      </c>
      <c r="D2103" t="s">
        <v>374</v>
      </c>
      <c r="E2103">
        <v>1.75E-3</v>
      </c>
      <c r="F2103" t="s">
        <v>233</v>
      </c>
      <c r="G2103" t="s">
        <v>316</v>
      </c>
      <c r="H2103">
        <v>3</v>
      </c>
    </row>
    <row r="2104" spans="1:8" x14ac:dyDescent="0.25">
      <c r="A2104" t="s">
        <v>4866</v>
      </c>
      <c r="B2104" t="s">
        <v>4866</v>
      </c>
      <c r="C2104" t="s">
        <v>465</v>
      </c>
      <c r="D2104" t="s">
        <v>466</v>
      </c>
      <c r="E2104">
        <v>2.2128299999999999E-4</v>
      </c>
      <c r="F2104" t="s">
        <v>233</v>
      </c>
      <c r="G2104" t="s">
        <v>234</v>
      </c>
      <c r="H2104">
        <v>3</v>
      </c>
    </row>
    <row r="2105" spans="1:8" x14ac:dyDescent="0.25">
      <c r="A2105" t="s">
        <v>4867</v>
      </c>
      <c r="B2105" t="s">
        <v>4867</v>
      </c>
      <c r="C2105" t="s">
        <v>2877</v>
      </c>
      <c r="D2105" t="s">
        <v>229</v>
      </c>
      <c r="E2105" s="42">
        <v>8.8070000000000002E-5</v>
      </c>
      <c r="F2105" t="s">
        <v>233</v>
      </c>
      <c r="G2105" t="s">
        <v>234</v>
      </c>
      <c r="H2105">
        <v>3</v>
      </c>
    </row>
    <row r="2106" spans="1:8" x14ac:dyDescent="0.25">
      <c r="A2106" t="s">
        <v>4868</v>
      </c>
      <c r="B2106" t="s">
        <v>4868</v>
      </c>
      <c r="C2106" t="s">
        <v>265</v>
      </c>
      <c r="D2106" t="s">
        <v>263</v>
      </c>
      <c r="E2106">
        <v>3.0449399999999999E-4</v>
      </c>
      <c r="F2106" t="s">
        <v>233</v>
      </c>
      <c r="G2106" t="s">
        <v>234</v>
      </c>
      <c r="H2106">
        <v>3</v>
      </c>
    </row>
    <row r="2107" spans="1:8" x14ac:dyDescent="0.25">
      <c r="A2107" t="s">
        <v>4869</v>
      </c>
      <c r="B2107" t="s">
        <v>4869</v>
      </c>
      <c r="C2107" t="s">
        <v>346</v>
      </c>
      <c r="D2107" t="s">
        <v>347</v>
      </c>
      <c r="E2107">
        <v>2.10657E-4</v>
      </c>
      <c r="F2107" t="s">
        <v>233</v>
      </c>
      <c r="G2107" t="s">
        <v>234</v>
      </c>
      <c r="H2107">
        <v>3</v>
      </c>
    </row>
    <row r="2108" spans="1:8" x14ac:dyDescent="0.25">
      <c r="A2108" t="s">
        <v>4870</v>
      </c>
      <c r="B2108" t="s">
        <v>4870</v>
      </c>
      <c r="C2108" t="s">
        <v>721</v>
      </c>
      <c r="D2108" t="s">
        <v>722</v>
      </c>
      <c r="E2108">
        <v>1.24993E-4</v>
      </c>
      <c r="F2108" t="s">
        <v>233</v>
      </c>
      <c r="G2108" t="s">
        <v>234</v>
      </c>
      <c r="H2108">
        <v>3</v>
      </c>
    </row>
    <row r="2109" spans="1:8" x14ac:dyDescent="0.25">
      <c r="A2109" t="s">
        <v>4871</v>
      </c>
      <c r="B2109" t="s">
        <v>4871</v>
      </c>
      <c r="C2109" t="s">
        <v>2877</v>
      </c>
      <c r="D2109" t="s">
        <v>229</v>
      </c>
      <c r="E2109" s="42">
        <v>8.8070000000000002E-5</v>
      </c>
      <c r="F2109" t="s">
        <v>233</v>
      </c>
      <c r="G2109" t="s">
        <v>234</v>
      </c>
      <c r="H2109">
        <v>3</v>
      </c>
    </row>
    <row r="2110" spans="1:8" x14ac:dyDescent="0.25">
      <c r="A2110" t="s">
        <v>4872</v>
      </c>
      <c r="B2110" t="s">
        <v>4872</v>
      </c>
      <c r="C2110" t="s">
        <v>413</v>
      </c>
      <c r="D2110" t="s">
        <v>414</v>
      </c>
      <c r="E2110">
        <v>3.1322199999999999E-4</v>
      </c>
      <c r="F2110" t="s">
        <v>233</v>
      </c>
      <c r="G2110" t="s">
        <v>234</v>
      </c>
      <c r="H2110">
        <v>3</v>
      </c>
    </row>
    <row r="2111" spans="1:8" x14ac:dyDescent="0.25">
      <c r="A2111" t="s">
        <v>4873</v>
      </c>
      <c r="B2111" t="s">
        <v>4873</v>
      </c>
      <c r="C2111" t="s">
        <v>265</v>
      </c>
      <c r="D2111" t="s">
        <v>263</v>
      </c>
      <c r="E2111">
        <v>3.0449399999999999E-4</v>
      </c>
      <c r="F2111" t="s">
        <v>233</v>
      </c>
      <c r="G2111" t="s">
        <v>234</v>
      </c>
      <c r="H2111">
        <v>3</v>
      </c>
    </row>
    <row r="2112" spans="1:8" x14ac:dyDescent="0.25">
      <c r="A2112" t="s">
        <v>4874</v>
      </c>
      <c r="B2112" t="s">
        <v>4874</v>
      </c>
      <c r="C2112" t="s">
        <v>2894</v>
      </c>
      <c r="D2112" t="s">
        <v>2892</v>
      </c>
      <c r="E2112">
        <v>2.5805799999999997E-4</v>
      </c>
      <c r="F2112" t="s">
        <v>233</v>
      </c>
      <c r="G2112" t="s">
        <v>234</v>
      </c>
      <c r="H2112">
        <v>3</v>
      </c>
    </row>
    <row r="2113" spans="1:8" x14ac:dyDescent="0.25">
      <c r="A2113" t="s">
        <v>4875</v>
      </c>
      <c r="B2113" t="s">
        <v>4875</v>
      </c>
      <c r="C2113" t="s">
        <v>346</v>
      </c>
      <c r="D2113" t="s">
        <v>347</v>
      </c>
      <c r="E2113">
        <v>2.10657E-4</v>
      </c>
      <c r="F2113" t="s">
        <v>233</v>
      </c>
      <c r="G2113" t="s">
        <v>234</v>
      </c>
      <c r="H2113">
        <v>3</v>
      </c>
    </row>
    <row r="2114" spans="1:8" x14ac:dyDescent="0.25">
      <c r="A2114" t="s">
        <v>4876</v>
      </c>
      <c r="B2114" t="s">
        <v>4876</v>
      </c>
      <c r="C2114" t="s">
        <v>737</v>
      </c>
      <c r="D2114" t="s">
        <v>738</v>
      </c>
      <c r="E2114">
        <v>1.81306E-4</v>
      </c>
      <c r="F2114" t="s">
        <v>233</v>
      </c>
      <c r="G2114" t="s">
        <v>234</v>
      </c>
      <c r="H2114">
        <v>3</v>
      </c>
    </row>
    <row r="2115" spans="1:8" x14ac:dyDescent="0.25">
      <c r="A2115" t="s">
        <v>4877</v>
      </c>
      <c r="B2115" t="s">
        <v>4877</v>
      </c>
      <c r="C2115" t="s">
        <v>407</v>
      </c>
      <c r="D2115" t="s">
        <v>408</v>
      </c>
      <c r="E2115">
        <v>1.6713599999999999E-4</v>
      </c>
      <c r="F2115" t="s">
        <v>233</v>
      </c>
      <c r="G2115" t="s">
        <v>234</v>
      </c>
      <c r="H2115">
        <v>3</v>
      </c>
    </row>
    <row r="2116" spans="1:8" x14ac:dyDescent="0.25">
      <c r="A2116" t="s">
        <v>4878</v>
      </c>
      <c r="B2116" t="s">
        <v>4878</v>
      </c>
      <c r="C2116" t="s">
        <v>465</v>
      </c>
      <c r="D2116" t="s">
        <v>466</v>
      </c>
      <c r="E2116">
        <v>2.2128299999999999E-4</v>
      </c>
      <c r="F2116" t="s">
        <v>233</v>
      </c>
      <c r="G2116" t="s">
        <v>234</v>
      </c>
      <c r="H2116">
        <v>3</v>
      </c>
    </row>
    <row r="2117" spans="1:8" x14ac:dyDescent="0.25">
      <c r="A2117" t="s">
        <v>4879</v>
      </c>
      <c r="B2117" t="s">
        <v>4879</v>
      </c>
      <c r="C2117" t="s">
        <v>286</v>
      </c>
      <c r="D2117" t="s">
        <v>284</v>
      </c>
      <c r="E2117">
        <v>2.5428000000000001E-4</v>
      </c>
      <c r="F2117" t="s">
        <v>233</v>
      </c>
      <c r="G2117" t="s">
        <v>234</v>
      </c>
      <c r="H2117">
        <v>3</v>
      </c>
    </row>
    <row r="2118" spans="1:8" x14ac:dyDescent="0.25">
      <c r="A2118" t="s">
        <v>4880</v>
      </c>
      <c r="B2118" t="s">
        <v>4880</v>
      </c>
      <c r="C2118" t="s">
        <v>346</v>
      </c>
      <c r="D2118" t="s">
        <v>347</v>
      </c>
      <c r="E2118">
        <v>2.10657E-4</v>
      </c>
      <c r="F2118" t="s">
        <v>233</v>
      </c>
      <c r="G2118" t="s">
        <v>234</v>
      </c>
      <c r="H2118">
        <v>3</v>
      </c>
    </row>
    <row r="2119" spans="1:8" x14ac:dyDescent="0.25">
      <c r="A2119" t="s">
        <v>4881</v>
      </c>
      <c r="B2119" t="s">
        <v>4881</v>
      </c>
      <c r="C2119" t="s">
        <v>286</v>
      </c>
      <c r="D2119" t="s">
        <v>284</v>
      </c>
      <c r="E2119">
        <v>2.5428000000000001E-4</v>
      </c>
      <c r="F2119" t="s">
        <v>233</v>
      </c>
      <c r="G2119" t="s">
        <v>234</v>
      </c>
      <c r="H2119">
        <v>3</v>
      </c>
    </row>
    <row r="2120" spans="1:8" x14ac:dyDescent="0.25">
      <c r="A2120" t="s">
        <v>4882</v>
      </c>
      <c r="B2120" t="s">
        <v>4882</v>
      </c>
      <c r="C2120" t="s">
        <v>346</v>
      </c>
      <c r="D2120" t="s">
        <v>347</v>
      </c>
      <c r="E2120">
        <v>2.10657E-4</v>
      </c>
      <c r="F2120" t="s">
        <v>233</v>
      </c>
      <c r="G2120" t="s">
        <v>234</v>
      </c>
      <c r="H2120">
        <v>3</v>
      </c>
    </row>
    <row r="2121" spans="1:8" x14ac:dyDescent="0.25">
      <c r="A2121" t="s">
        <v>4883</v>
      </c>
      <c r="B2121" t="s">
        <v>4883</v>
      </c>
      <c r="C2121" t="s">
        <v>737</v>
      </c>
      <c r="D2121" t="s">
        <v>738</v>
      </c>
      <c r="E2121">
        <v>1.81306E-4</v>
      </c>
      <c r="F2121" t="s">
        <v>233</v>
      </c>
      <c r="G2121" t="s">
        <v>234</v>
      </c>
      <c r="H2121">
        <v>3</v>
      </c>
    </row>
    <row r="2122" spans="1:8" x14ac:dyDescent="0.25">
      <c r="A2122" t="s">
        <v>4884</v>
      </c>
      <c r="B2122" t="s">
        <v>4884</v>
      </c>
      <c r="C2122" t="s">
        <v>346</v>
      </c>
      <c r="D2122" t="s">
        <v>347</v>
      </c>
      <c r="E2122">
        <v>2.10657E-4</v>
      </c>
      <c r="F2122" t="s">
        <v>233</v>
      </c>
      <c r="G2122" t="s">
        <v>234</v>
      </c>
      <c r="H2122">
        <v>3</v>
      </c>
    </row>
    <row r="2123" spans="1:8" x14ac:dyDescent="0.25">
      <c r="A2123" t="s">
        <v>4885</v>
      </c>
      <c r="B2123" t="s">
        <v>4885</v>
      </c>
      <c r="C2123" t="s">
        <v>256</v>
      </c>
      <c r="D2123" t="s">
        <v>254</v>
      </c>
      <c r="E2123">
        <v>8.1312799999999998E-4</v>
      </c>
      <c r="F2123" t="s">
        <v>233</v>
      </c>
      <c r="G2123" t="s">
        <v>234</v>
      </c>
      <c r="H2123">
        <v>3</v>
      </c>
    </row>
    <row r="2124" spans="1:8" x14ac:dyDescent="0.25">
      <c r="A2124" t="s">
        <v>4886</v>
      </c>
      <c r="B2124" t="s">
        <v>4886</v>
      </c>
      <c r="C2124" t="s">
        <v>346</v>
      </c>
      <c r="D2124" t="s">
        <v>347</v>
      </c>
      <c r="E2124">
        <v>2.10657E-4</v>
      </c>
      <c r="F2124" t="s">
        <v>233</v>
      </c>
      <c r="G2124" t="s">
        <v>234</v>
      </c>
      <c r="H2124">
        <v>3</v>
      </c>
    </row>
    <row r="2125" spans="1:8" x14ac:dyDescent="0.25">
      <c r="A2125" t="s">
        <v>4887</v>
      </c>
      <c r="B2125" t="s">
        <v>4887</v>
      </c>
      <c r="C2125" t="s">
        <v>726</v>
      </c>
      <c r="D2125" t="s">
        <v>727</v>
      </c>
      <c r="E2125">
        <v>1.3494000000000001E-4</v>
      </c>
      <c r="F2125" t="s">
        <v>233</v>
      </c>
      <c r="G2125" t="s">
        <v>234</v>
      </c>
      <c r="H2125">
        <v>3</v>
      </c>
    </row>
    <row r="2126" spans="1:8" x14ac:dyDescent="0.25">
      <c r="A2126" t="s">
        <v>4888</v>
      </c>
      <c r="B2126" t="s">
        <v>4888</v>
      </c>
      <c r="C2126" t="s">
        <v>265</v>
      </c>
      <c r="D2126" t="s">
        <v>263</v>
      </c>
      <c r="E2126">
        <v>3.0449399999999999E-4</v>
      </c>
      <c r="F2126" t="s">
        <v>233</v>
      </c>
      <c r="G2126" t="s">
        <v>234</v>
      </c>
      <c r="H2126">
        <v>3</v>
      </c>
    </row>
    <row r="2127" spans="1:8" x14ac:dyDescent="0.25">
      <c r="A2127" t="s">
        <v>4889</v>
      </c>
      <c r="B2127" t="s">
        <v>4889</v>
      </c>
      <c r="C2127" t="s">
        <v>286</v>
      </c>
      <c r="D2127" t="s">
        <v>284</v>
      </c>
      <c r="E2127">
        <v>2.5428000000000001E-4</v>
      </c>
      <c r="F2127" t="s">
        <v>233</v>
      </c>
      <c r="G2127" t="s">
        <v>234</v>
      </c>
      <c r="H2127">
        <v>3</v>
      </c>
    </row>
    <row r="2128" spans="1:8" x14ac:dyDescent="0.25">
      <c r="A2128" t="s">
        <v>4890</v>
      </c>
      <c r="B2128" t="s">
        <v>4890</v>
      </c>
      <c r="C2128" t="s">
        <v>2894</v>
      </c>
      <c r="D2128" t="s">
        <v>2892</v>
      </c>
      <c r="E2128">
        <v>2.5805799999999997E-4</v>
      </c>
      <c r="F2128" t="s">
        <v>233</v>
      </c>
      <c r="G2128" t="s">
        <v>234</v>
      </c>
      <c r="H2128">
        <v>3</v>
      </c>
    </row>
    <row r="2129" spans="1:8" x14ac:dyDescent="0.25">
      <c r="A2129" t="s">
        <v>4891</v>
      </c>
      <c r="B2129" t="s">
        <v>4891</v>
      </c>
      <c r="C2129" t="s">
        <v>271</v>
      </c>
      <c r="D2129" t="s">
        <v>269</v>
      </c>
      <c r="E2129">
        <v>5.2359699999999999E-4</v>
      </c>
      <c r="F2129" t="s">
        <v>233</v>
      </c>
      <c r="G2129" t="s">
        <v>234</v>
      </c>
      <c r="H2129">
        <v>3</v>
      </c>
    </row>
    <row r="2130" spans="1:8" x14ac:dyDescent="0.25">
      <c r="A2130" t="s">
        <v>4892</v>
      </c>
      <c r="B2130" t="s">
        <v>4892</v>
      </c>
      <c r="C2130" t="s">
        <v>726</v>
      </c>
      <c r="D2130" t="s">
        <v>727</v>
      </c>
      <c r="E2130">
        <v>1.3494000000000001E-4</v>
      </c>
      <c r="F2130" t="s">
        <v>233</v>
      </c>
      <c r="G2130" t="s">
        <v>234</v>
      </c>
      <c r="H2130">
        <v>3</v>
      </c>
    </row>
    <row r="2131" spans="1:8" x14ac:dyDescent="0.25">
      <c r="A2131" t="s">
        <v>4893</v>
      </c>
      <c r="B2131" t="s">
        <v>4893</v>
      </c>
      <c r="C2131" t="s">
        <v>346</v>
      </c>
      <c r="D2131" t="s">
        <v>347</v>
      </c>
      <c r="E2131">
        <v>2.10657E-4</v>
      </c>
      <c r="F2131" t="s">
        <v>233</v>
      </c>
      <c r="G2131" t="s">
        <v>234</v>
      </c>
      <c r="H2131">
        <v>3</v>
      </c>
    </row>
    <row r="2132" spans="1:8" x14ac:dyDescent="0.25">
      <c r="A2132" t="s">
        <v>4894</v>
      </c>
      <c r="B2132" t="s">
        <v>4894</v>
      </c>
      <c r="C2132" t="s">
        <v>271</v>
      </c>
      <c r="D2132" t="s">
        <v>269</v>
      </c>
      <c r="E2132">
        <v>5.2359699999999999E-4</v>
      </c>
      <c r="F2132" t="s">
        <v>233</v>
      </c>
      <c r="G2132" t="s">
        <v>234</v>
      </c>
      <c r="H2132">
        <v>3</v>
      </c>
    </row>
    <row r="2133" spans="1:8" x14ac:dyDescent="0.25">
      <c r="A2133" t="s">
        <v>4895</v>
      </c>
      <c r="B2133" t="s">
        <v>4895</v>
      </c>
      <c r="C2133" t="s">
        <v>265</v>
      </c>
      <c r="D2133" t="s">
        <v>263</v>
      </c>
      <c r="E2133">
        <v>3.0449399999999999E-4</v>
      </c>
      <c r="F2133" t="s">
        <v>233</v>
      </c>
      <c r="G2133" t="s">
        <v>234</v>
      </c>
      <c r="H2133">
        <v>3</v>
      </c>
    </row>
    <row r="2134" spans="1:8" x14ac:dyDescent="0.25">
      <c r="A2134" t="s">
        <v>4896</v>
      </c>
      <c r="B2134" t="s">
        <v>4896</v>
      </c>
      <c r="C2134" t="s">
        <v>241</v>
      </c>
      <c r="D2134" t="s">
        <v>239</v>
      </c>
      <c r="E2134">
        <v>4.9712300000000003E-4</v>
      </c>
      <c r="F2134" t="s">
        <v>233</v>
      </c>
      <c r="G2134" t="s">
        <v>234</v>
      </c>
      <c r="H2134">
        <v>3</v>
      </c>
    </row>
    <row r="2135" spans="1:8" x14ac:dyDescent="0.25">
      <c r="A2135" t="s">
        <v>4897</v>
      </c>
      <c r="B2135" t="s">
        <v>4897</v>
      </c>
      <c r="C2135" t="s">
        <v>250</v>
      </c>
      <c r="D2135" t="s">
        <v>248</v>
      </c>
      <c r="E2135">
        <v>4.3868599999999998E-4</v>
      </c>
      <c r="F2135" t="s">
        <v>233</v>
      </c>
      <c r="G2135" t="s">
        <v>234</v>
      </c>
      <c r="H2135">
        <v>3</v>
      </c>
    </row>
    <row r="2136" spans="1:8" ht="30" x14ac:dyDescent="0.25">
      <c r="A2136" t="s">
        <v>4898</v>
      </c>
      <c r="B2136" t="s">
        <v>4898</v>
      </c>
      <c r="C2136" s="17" t="s">
        <v>310</v>
      </c>
      <c r="D2136" s="17" t="s">
        <v>308</v>
      </c>
      <c r="E2136" s="17">
        <v>5.3341800000000002E-4</v>
      </c>
      <c r="F2136" s="6" t="s">
        <v>233</v>
      </c>
      <c r="G2136" s="6" t="s">
        <v>234</v>
      </c>
      <c r="H2136" s="6">
        <v>3</v>
      </c>
    </row>
    <row r="2137" spans="1:8" ht="30" x14ac:dyDescent="0.25">
      <c r="A2137" t="s">
        <v>4899</v>
      </c>
      <c r="B2137" t="s">
        <v>4899</v>
      </c>
      <c r="C2137" s="17" t="s">
        <v>310</v>
      </c>
      <c r="D2137" s="17" t="s">
        <v>308</v>
      </c>
      <c r="E2137" s="17">
        <v>5.3341800000000002E-4</v>
      </c>
      <c r="F2137" s="6" t="s">
        <v>233</v>
      </c>
      <c r="G2137" s="6" t="s">
        <v>234</v>
      </c>
      <c r="H2137" s="6">
        <v>3</v>
      </c>
    </row>
    <row r="2138" spans="1:8" x14ac:dyDescent="0.25">
      <c r="A2138" t="s">
        <v>4900</v>
      </c>
      <c r="B2138" t="s">
        <v>4900</v>
      </c>
      <c r="C2138" t="s">
        <v>283</v>
      </c>
      <c r="D2138" t="s">
        <v>281</v>
      </c>
      <c r="E2138">
        <v>5.4019300000000001E-4</v>
      </c>
      <c r="F2138" t="s">
        <v>233</v>
      </c>
      <c r="G2138" t="s">
        <v>234</v>
      </c>
      <c r="H2138">
        <v>3</v>
      </c>
    </row>
    <row r="2139" spans="1:8" x14ac:dyDescent="0.25">
      <c r="A2139" t="s">
        <v>4901</v>
      </c>
      <c r="B2139" t="s">
        <v>4901</v>
      </c>
      <c r="C2139" t="s">
        <v>250</v>
      </c>
      <c r="D2139" t="s">
        <v>248</v>
      </c>
      <c r="E2139">
        <v>4.3868599999999998E-4</v>
      </c>
      <c r="F2139" t="s">
        <v>233</v>
      </c>
      <c r="G2139" t="s">
        <v>234</v>
      </c>
      <c r="H2139">
        <v>3</v>
      </c>
    </row>
    <row r="2140" spans="1:8" x14ac:dyDescent="0.25">
      <c r="A2140" t="s">
        <v>4902</v>
      </c>
      <c r="B2140" t="s">
        <v>4902</v>
      </c>
      <c r="C2140" t="s">
        <v>256</v>
      </c>
      <c r="D2140" t="s">
        <v>254</v>
      </c>
      <c r="E2140">
        <v>8.1312799999999998E-4</v>
      </c>
      <c r="F2140" t="s">
        <v>233</v>
      </c>
      <c r="G2140" t="s">
        <v>234</v>
      </c>
      <c r="H2140">
        <v>3</v>
      </c>
    </row>
    <row r="2141" spans="1:8" ht="30" x14ac:dyDescent="0.25">
      <c r="A2141" t="s">
        <v>4903</v>
      </c>
      <c r="B2141" t="s">
        <v>4903</v>
      </c>
      <c r="C2141" s="17" t="s">
        <v>310</v>
      </c>
      <c r="D2141" s="17" t="s">
        <v>308</v>
      </c>
      <c r="E2141" s="17">
        <v>5.3341800000000002E-4</v>
      </c>
      <c r="F2141" s="6" t="s">
        <v>233</v>
      </c>
      <c r="G2141" s="6" t="s">
        <v>234</v>
      </c>
      <c r="H2141" s="6">
        <v>3</v>
      </c>
    </row>
    <row r="2142" spans="1:8" ht="30" x14ac:dyDescent="0.25">
      <c r="A2142" t="s">
        <v>4904</v>
      </c>
      <c r="B2142" t="s">
        <v>4904</v>
      </c>
      <c r="C2142" s="17" t="s">
        <v>310</v>
      </c>
      <c r="D2142" s="17" t="s">
        <v>308</v>
      </c>
      <c r="E2142" s="17">
        <v>5.3341800000000002E-4</v>
      </c>
      <c r="F2142" s="6" t="s">
        <v>233</v>
      </c>
      <c r="G2142" s="6" t="s">
        <v>234</v>
      </c>
      <c r="H2142" s="6">
        <v>3</v>
      </c>
    </row>
    <row r="2143" spans="1:8" ht="30" x14ac:dyDescent="0.25">
      <c r="A2143" t="s">
        <v>4905</v>
      </c>
      <c r="B2143" t="s">
        <v>4905</v>
      </c>
      <c r="C2143" s="17" t="s">
        <v>310</v>
      </c>
      <c r="D2143" s="17" t="s">
        <v>308</v>
      </c>
      <c r="E2143" s="17">
        <v>5.3341800000000002E-4</v>
      </c>
      <c r="F2143" s="6" t="s">
        <v>233</v>
      </c>
      <c r="G2143" s="6" t="s">
        <v>234</v>
      </c>
      <c r="H2143" s="6">
        <v>3</v>
      </c>
    </row>
    <row r="2144" spans="1:8" x14ac:dyDescent="0.25">
      <c r="A2144" t="s">
        <v>4906</v>
      </c>
      <c r="B2144" t="s">
        <v>4906</v>
      </c>
      <c r="C2144" t="s">
        <v>346</v>
      </c>
      <c r="D2144" t="s">
        <v>347</v>
      </c>
      <c r="E2144">
        <v>2.10657E-4</v>
      </c>
      <c r="F2144" t="s">
        <v>233</v>
      </c>
      <c r="G2144" t="s">
        <v>234</v>
      </c>
      <c r="H2144">
        <v>3</v>
      </c>
    </row>
    <row r="2145" spans="1:8" x14ac:dyDescent="0.25">
      <c r="A2145" t="s">
        <v>4907</v>
      </c>
      <c r="B2145" t="s">
        <v>4907</v>
      </c>
      <c r="C2145" t="s">
        <v>737</v>
      </c>
      <c r="D2145" t="s">
        <v>738</v>
      </c>
      <c r="E2145">
        <v>1.81306E-4</v>
      </c>
      <c r="F2145" t="s">
        <v>233</v>
      </c>
      <c r="G2145" t="s">
        <v>234</v>
      </c>
      <c r="H2145">
        <v>3</v>
      </c>
    </row>
    <row r="2146" spans="1:8" x14ac:dyDescent="0.25">
      <c r="A2146" t="s">
        <v>4908</v>
      </c>
      <c r="B2146" t="s">
        <v>4908</v>
      </c>
      <c r="C2146" t="s">
        <v>737</v>
      </c>
      <c r="D2146" t="s">
        <v>738</v>
      </c>
      <c r="E2146">
        <v>1.81306E-4</v>
      </c>
      <c r="F2146" t="s">
        <v>233</v>
      </c>
      <c r="G2146" t="s">
        <v>234</v>
      </c>
      <c r="H2146">
        <v>3</v>
      </c>
    </row>
    <row r="2147" spans="1:8" x14ac:dyDescent="0.25">
      <c r="A2147" t="s">
        <v>4909</v>
      </c>
      <c r="B2147" t="s">
        <v>4909</v>
      </c>
      <c r="C2147" t="s">
        <v>737</v>
      </c>
      <c r="D2147" t="s">
        <v>738</v>
      </c>
      <c r="E2147">
        <v>1.81306E-4</v>
      </c>
      <c r="F2147" t="s">
        <v>233</v>
      </c>
      <c r="G2147" t="s">
        <v>234</v>
      </c>
      <c r="H2147">
        <v>3</v>
      </c>
    </row>
    <row r="2148" spans="1:8" x14ac:dyDescent="0.25">
      <c r="A2148" t="s">
        <v>4910</v>
      </c>
      <c r="B2148" t="s">
        <v>4910</v>
      </c>
      <c r="C2148" t="s">
        <v>271</v>
      </c>
      <c r="D2148" t="s">
        <v>269</v>
      </c>
      <c r="E2148">
        <v>5.2359699999999999E-4</v>
      </c>
      <c r="F2148" t="s">
        <v>233</v>
      </c>
      <c r="G2148" t="s">
        <v>234</v>
      </c>
      <c r="H2148">
        <v>3</v>
      </c>
    </row>
    <row r="2149" spans="1:8" x14ac:dyDescent="0.25">
      <c r="A2149" t="s">
        <v>4911</v>
      </c>
      <c r="B2149" t="s">
        <v>4911</v>
      </c>
      <c r="C2149" t="s">
        <v>346</v>
      </c>
      <c r="D2149" t="s">
        <v>347</v>
      </c>
      <c r="E2149">
        <v>2.10657E-4</v>
      </c>
      <c r="F2149" t="s">
        <v>233</v>
      </c>
      <c r="G2149" t="s">
        <v>234</v>
      </c>
      <c r="H2149">
        <v>3</v>
      </c>
    </row>
    <row r="2150" spans="1:8" x14ac:dyDescent="0.25">
      <c r="A2150" t="s">
        <v>4912</v>
      </c>
      <c r="B2150" t="s">
        <v>4912</v>
      </c>
      <c r="C2150" t="s">
        <v>346</v>
      </c>
      <c r="D2150" t="s">
        <v>347</v>
      </c>
      <c r="E2150">
        <v>2.10657E-4</v>
      </c>
      <c r="F2150" t="s">
        <v>233</v>
      </c>
      <c r="G2150" t="s">
        <v>234</v>
      </c>
      <c r="H2150">
        <v>3</v>
      </c>
    </row>
    <row r="2151" spans="1:8" x14ac:dyDescent="0.25">
      <c r="A2151" t="s">
        <v>4913</v>
      </c>
      <c r="B2151" t="s">
        <v>4913</v>
      </c>
      <c r="C2151" t="s">
        <v>737</v>
      </c>
      <c r="D2151" t="s">
        <v>738</v>
      </c>
      <c r="E2151">
        <v>1.81306E-4</v>
      </c>
      <c r="F2151" t="s">
        <v>233</v>
      </c>
      <c r="G2151" t="s">
        <v>234</v>
      </c>
      <c r="H2151">
        <v>3</v>
      </c>
    </row>
    <row r="2152" spans="1:8" x14ac:dyDescent="0.25">
      <c r="A2152" t="s">
        <v>4914</v>
      </c>
      <c r="B2152" t="s">
        <v>4914</v>
      </c>
      <c r="C2152" t="s">
        <v>247</v>
      </c>
      <c r="D2152" t="s">
        <v>245</v>
      </c>
      <c r="E2152">
        <v>1.0475809999999999E-3</v>
      </c>
      <c r="F2152" t="s">
        <v>233</v>
      </c>
      <c r="G2152" t="s">
        <v>234</v>
      </c>
      <c r="H2152">
        <v>3</v>
      </c>
    </row>
    <row r="2153" spans="1:8" x14ac:dyDescent="0.25">
      <c r="A2153" t="s">
        <v>4915</v>
      </c>
      <c r="B2153" t="s">
        <v>4915</v>
      </c>
      <c r="C2153" t="s">
        <v>2877</v>
      </c>
      <c r="D2153" t="s">
        <v>229</v>
      </c>
      <c r="E2153" s="42">
        <v>8.8070000000000002E-5</v>
      </c>
      <c r="F2153" t="s">
        <v>233</v>
      </c>
      <c r="G2153" t="s">
        <v>234</v>
      </c>
      <c r="H2153">
        <v>3</v>
      </c>
    </row>
    <row r="2154" spans="1:8" x14ac:dyDescent="0.25">
      <c r="A2154" t="s">
        <v>4916</v>
      </c>
      <c r="B2154" t="s">
        <v>4916</v>
      </c>
      <c r="C2154" t="s">
        <v>465</v>
      </c>
      <c r="D2154" t="s">
        <v>466</v>
      </c>
      <c r="E2154">
        <v>2.2128299999999999E-4</v>
      </c>
      <c r="F2154" t="s">
        <v>233</v>
      </c>
      <c r="G2154" t="s">
        <v>234</v>
      </c>
      <c r="H2154">
        <v>3</v>
      </c>
    </row>
    <row r="2155" spans="1:8" x14ac:dyDescent="0.25">
      <c r="A2155" t="s">
        <v>4917</v>
      </c>
      <c r="B2155" t="s">
        <v>4917</v>
      </c>
      <c r="C2155" t="s">
        <v>346</v>
      </c>
      <c r="D2155" t="s">
        <v>347</v>
      </c>
      <c r="E2155">
        <v>2.10657E-4</v>
      </c>
      <c r="F2155" t="s">
        <v>233</v>
      </c>
      <c r="G2155" t="s">
        <v>234</v>
      </c>
      <c r="H2155">
        <v>3</v>
      </c>
    </row>
    <row r="2156" spans="1:8" x14ac:dyDescent="0.25">
      <c r="A2156" t="s">
        <v>4918</v>
      </c>
      <c r="B2156" t="s">
        <v>4918</v>
      </c>
      <c r="C2156" t="s">
        <v>737</v>
      </c>
      <c r="D2156" t="s">
        <v>738</v>
      </c>
      <c r="E2156">
        <v>1.81306E-4</v>
      </c>
      <c r="F2156" t="s">
        <v>233</v>
      </c>
      <c r="G2156" t="s">
        <v>234</v>
      </c>
      <c r="H2156">
        <v>3</v>
      </c>
    </row>
    <row r="2157" spans="1:8" x14ac:dyDescent="0.25">
      <c r="A2157" t="s">
        <v>4919</v>
      </c>
      <c r="B2157" t="s">
        <v>4919</v>
      </c>
      <c r="C2157" t="s">
        <v>407</v>
      </c>
      <c r="D2157" t="s">
        <v>408</v>
      </c>
      <c r="E2157">
        <v>1.6713599999999999E-4</v>
      </c>
      <c r="F2157" t="s">
        <v>233</v>
      </c>
      <c r="G2157" t="s">
        <v>234</v>
      </c>
      <c r="H2157">
        <v>3</v>
      </c>
    </row>
    <row r="2158" spans="1:8" x14ac:dyDescent="0.25">
      <c r="A2158" t="s">
        <v>4920</v>
      </c>
      <c r="B2158" t="s">
        <v>4920</v>
      </c>
      <c r="C2158" t="s">
        <v>346</v>
      </c>
      <c r="D2158" t="s">
        <v>347</v>
      </c>
      <c r="E2158">
        <v>2.10657E-4</v>
      </c>
      <c r="F2158" t="s">
        <v>233</v>
      </c>
      <c r="G2158" t="s">
        <v>234</v>
      </c>
      <c r="H2158">
        <v>3</v>
      </c>
    </row>
    <row r="2159" spans="1:8" x14ac:dyDescent="0.25">
      <c r="A2159" t="s">
        <v>4921</v>
      </c>
      <c r="B2159" t="s">
        <v>4921</v>
      </c>
      <c r="C2159" t="s">
        <v>407</v>
      </c>
      <c r="D2159" t="s">
        <v>408</v>
      </c>
      <c r="E2159">
        <v>1.6713599999999999E-4</v>
      </c>
      <c r="F2159" t="s">
        <v>233</v>
      </c>
      <c r="G2159" t="s">
        <v>234</v>
      </c>
      <c r="H2159">
        <v>3</v>
      </c>
    </row>
    <row r="2160" spans="1:8" ht="30" x14ac:dyDescent="0.25">
      <c r="A2160" t="s">
        <v>4922</v>
      </c>
      <c r="B2160" t="s">
        <v>4922</v>
      </c>
      <c r="C2160" s="17" t="s">
        <v>310</v>
      </c>
      <c r="D2160" s="17" t="s">
        <v>308</v>
      </c>
      <c r="E2160" s="17">
        <v>5.3341800000000002E-4</v>
      </c>
      <c r="F2160" s="6" t="s">
        <v>233</v>
      </c>
      <c r="G2160" s="6" t="s">
        <v>234</v>
      </c>
      <c r="H2160" s="6">
        <v>3</v>
      </c>
    </row>
    <row r="2161" spans="1:8" ht="30" x14ac:dyDescent="0.25">
      <c r="A2161" t="s">
        <v>4923</v>
      </c>
      <c r="B2161" t="s">
        <v>4923</v>
      </c>
      <c r="C2161" s="17" t="s">
        <v>310</v>
      </c>
      <c r="D2161" s="17" t="s">
        <v>308</v>
      </c>
      <c r="E2161" s="17">
        <v>5.3341800000000002E-4</v>
      </c>
      <c r="F2161" s="6" t="s">
        <v>233</v>
      </c>
      <c r="G2161" s="6" t="s">
        <v>234</v>
      </c>
      <c r="H2161" s="6">
        <v>3</v>
      </c>
    </row>
    <row r="2162" spans="1:8" x14ac:dyDescent="0.25">
      <c r="A2162" t="s">
        <v>4924</v>
      </c>
      <c r="B2162" t="s">
        <v>4924</v>
      </c>
      <c r="C2162" t="s">
        <v>280</v>
      </c>
      <c r="D2162" t="s">
        <v>278</v>
      </c>
      <c r="E2162">
        <v>6.2829699999999999E-4</v>
      </c>
      <c r="F2162" t="s">
        <v>233</v>
      </c>
      <c r="G2162" t="s">
        <v>234</v>
      </c>
      <c r="H2162">
        <v>3</v>
      </c>
    </row>
    <row r="2163" spans="1:8" x14ac:dyDescent="0.25">
      <c r="A2163" t="s">
        <v>4925</v>
      </c>
      <c r="B2163" t="s">
        <v>4925</v>
      </c>
      <c r="C2163" t="s">
        <v>465</v>
      </c>
      <c r="D2163" t="s">
        <v>466</v>
      </c>
      <c r="E2163">
        <v>2.2128299999999999E-4</v>
      </c>
      <c r="F2163" t="s">
        <v>233</v>
      </c>
      <c r="G2163" t="s">
        <v>234</v>
      </c>
      <c r="H2163">
        <v>3</v>
      </c>
    </row>
    <row r="2164" spans="1:8" x14ac:dyDescent="0.25">
      <c r="A2164" t="s">
        <v>4926</v>
      </c>
      <c r="B2164" t="s">
        <v>4926</v>
      </c>
      <c r="C2164" t="s">
        <v>407</v>
      </c>
      <c r="D2164" t="s">
        <v>408</v>
      </c>
      <c r="E2164">
        <v>1.6713599999999999E-4</v>
      </c>
      <c r="F2164" t="s">
        <v>233</v>
      </c>
      <c r="G2164" t="s">
        <v>234</v>
      </c>
      <c r="H2164">
        <v>3</v>
      </c>
    </row>
    <row r="2165" spans="1:8" x14ac:dyDescent="0.25">
      <c r="A2165" t="s">
        <v>4927</v>
      </c>
      <c r="B2165" t="s">
        <v>4927</v>
      </c>
      <c r="C2165" t="s">
        <v>271</v>
      </c>
      <c r="D2165" t="s">
        <v>269</v>
      </c>
      <c r="E2165">
        <v>5.2359699999999999E-4</v>
      </c>
      <c r="F2165" t="s">
        <v>233</v>
      </c>
      <c r="G2165" t="s">
        <v>234</v>
      </c>
      <c r="H2165">
        <v>3</v>
      </c>
    </row>
    <row r="2166" spans="1:8" x14ac:dyDescent="0.25">
      <c r="A2166" t="s">
        <v>4928</v>
      </c>
      <c r="B2166" t="s">
        <v>4928</v>
      </c>
      <c r="C2166" t="s">
        <v>346</v>
      </c>
      <c r="D2166" t="s">
        <v>347</v>
      </c>
      <c r="E2166">
        <v>2.10657E-4</v>
      </c>
      <c r="F2166" t="s">
        <v>233</v>
      </c>
      <c r="G2166" t="s">
        <v>234</v>
      </c>
      <c r="H2166">
        <v>3</v>
      </c>
    </row>
    <row r="2167" spans="1:8" x14ac:dyDescent="0.25">
      <c r="A2167" t="s">
        <v>4929</v>
      </c>
      <c r="B2167" t="s">
        <v>4929</v>
      </c>
      <c r="C2167" t="s">
        <v>2894</v>
      </c>
      <c r="D2167" t="s">
        <v>2892</v>
      </c>
      <c r="E2167">
        <v>2.5805799999999997E-4</v>
      </c>
      <c r="F2167" t="s">
        <v>233</v>
      </c>
      <c r="G2167" t="s">
        <v>234</v>
      </c>
      <c r="H2167">
        <v>3</v>
      </c>
    </row>
    <row r="2168" spans="1:8" x14ac:dyDescent="0.25">
      <c r="A2168" t="s">
        <v>4930</v>
      </c>
      <c r="B2168" t="s">
        <v>4930</v>
      </c>
      <c r="C2168" t="s">
        <v>256</v>
      </c>
      <c r="D2168" t="s">
        <v>254</v>
      </c>
      <c r="E2168">
        <v>8.1312799999999998E-4</v>
      </c>
      <c r="F2168" t="s">
        <v>233</v>
      </c>
      <c r="G2168" t="s">
        <v>234</v>
      </c>
      <c r="H2168">
        <v>3</v>
      </c>
    </row>
    <row r="2169" spans="1:8" x14ac:dyDescent="0.25">
      <c r="A2169" t="s">
        <v>4931</v>
      </c>
      <c r="B2169" t="s">
        <v>4931</v>
      </c>
      <c r="C2169" t="s">
        <v>346</v>
      </c>
      <c r="D2169" t="s">
        <v>347</v>
      </c>
      <c r="E2169">
        <v>2.10657E-4</v>
      </c>
      <c r="F2169" t="s">
        <v>233</v>
      </c>
      <c r="G2169" t="s">
        <v>234</v>
      </c>
      <c r="H2169">
        <v>3</v>
      </c>
    </row>
    <row r="2170" spans="1:8" x14ac:dyDescent="0.25">
      <c r="A2170" t="s">
        <v>4932</v>
      </c>
      <c r="B2170" t="s">
        <v>4932</v>
      </c>
      <c r="C2170" t="s">
        <v>737</v>
      </c>
      <c r="D2170" t="s">
        <v>738</v>
      </c>
      <c r="E2170">
        <v>1.81306E-4</v>
      </c>
      <c r="F2170" t="s">
        <v>233</v>
      </c>
      <c r="G2170" t="s">
        <v>234</v>
      </c>
      <c r="H2170">
        <v>3</v>
      </c>
    </row>
    <row r="2171" spans="1:8" x14ac:dyDescent="0.25">
      <c r="A2171" t="s">
        <v>4933</v>
      </c>
      <c r="B2171" t="s">
        <v>4933</v>
      </c>
      <c r="C2171" t="s">
        <v>250</v>
      </c>
      <c r="D2171" t="s">
        <v>248</v>
      </c>
      <c r="E2171">
        <v>4.3868599999999998E-4</v>
      </c>
      <c r="F2171" t="s">
        <v>233</v>
      </c>
      <c r="G2171" t="s">
        <v>234</v>
      </c>
      <c r="H2171">
        <v>3</v>
      </c>
    </row>
    <row r="2172" spans="1:8" x14ac:dyDescent="0.25">
      <c r="A2172" t="s">
        <v>4934</v>
      </c>
      <c r="B2172" t="s">
        <v>4934</v>
      </c>
      <c r="C2172" t="s">
        <v>250</v>
      </c>
      <c r="D2172" t="s">
        <v>248</v>
      </c>
      <c r="E2172">
        <v>4.3868599999999998E-4</v>
      </c>
      <c r="F2172" t="s">
        <v>233</v>
      </c>
      <c r="G2172" t="s">
        <v>234</v>
      </c>
      <c r="H2172">
        <v>3</v>
      </c>
    </row>
    <row r="2173" spans="1:8" x14ac:dyDescent="0.25">
      <c r="A2173" t="s">
        <v>4935</v>
      </c>
      <c r="B2173" t="s">
        <v>4935</v>
      </c>
      <c r="C2173" t="s">
        <v>250</v>
      </c>
      <c r="D2173" t="s">
        <v>248</v>
      </c>
      <c r="E2173">
        <v>4.3868599999999998E-4</v>
      </c>
      <c r="F2173" t="s">
        <v>233</v>
      </c>
      <c r="G2173" t="s">
        <v>234</v>
      </c>
      <c r="H2173">
        <v>3</v>
      </c>
    </row>
    <row r="2174" spans="1:8" ht="30" x14ac:dyDescent="0.25">
      <c r="A2174" t="s">
        <v>4936</v>
      </c>
      <c r="B2174" t="s">
        <v>4936</v>
      </c>
      <c r="C2174" s="17" t="s">
        <v>310</v>
      </c>
      <c r="D2174" s="17" t="s">
        <v>308</v>
      </c>
      <c r="E2174" s="17">
        <v>5.3341800000000002E-4</v>
      </c>
      <c r="F2174" s="6" t="s">
        <v>233</v>
      </c>
      <c r="G2174" s="6" t="s">
        <v>234</v>
      </c>
      <c r="H2174" s="6">
        <v>3</v>
      </c>
    </row>
    <row r="2175" spans="1:8" x14ac:dyDescent="0.25">
      <c r="A2175" t="s">
        <v>4937</v>
      </c>
      <c r="B2175" t="s">
        <v>4937</v>
      </c>
      <c r="C2175" t="s">
        <v>265</v>
      </c>
      <c r="D2175" t="s">
        <v>263</v>
      </c>
      <c r="E2175">
        <v>3.0449399999999999E-4</v>
      </c>
      <c r="F2175" t="s">
        <v>233</v>
      </c>
      <c r="G2175" t="s">
        <v>234</v>
      </c>
      <c r="H2175">
        <v>3</v>
      </c>
    </row>
    <row r="2176" spans="1:8" x14ac:dyDescent="0.25">
      <c r="A2176" t="s">
        <v>4938</v>
      </c>
      <c r="B2176" t="s">
        <v>4938</v>
      </c>
      <c r="C2176" t="s">
        <v>737</v>
      </c>
      <c r="D2176" t="s">
        <v>738</v>
      </c>
      <c r="E2176">
        <v>1.81306E-4</v>
      </c>
      <c r="F2176" t="s">
        <v>233</v>
      </c>
      <c r="G2176" t="s">
        <v>234</v>
      </c>
      <c r="H2176">
        <v>3</v>
      </c>
    </row>
    <row r="2177" spans="1:8" x14ac:dyDescent="0.25">
      <c r="A2177" t="s">
        <v>4939</v>
      </c>
      <c r="B2177" t="s">
        <v>4939</v>
      </c>
      <c r="C2177" t="s">
        <v>407</v>
      </c>
      <c r="D2177" t="s">
        <v>408</v>
      </c>
      <c r="E2177">
        <v>1.6713599999999999E-4</v>
      </c>
      <c r="F2177" t="s">
        <v>233</v>
      </c>
      <c r="G2177" t="s">
        <v>234</v>
      </c>
      <c r="H2177">
        <v>3</v>
      </c>
    </row>
    <row r="2178" spans="1:8" x14ac:dyDescent="0.25">
      <c r="A2178" t="s">
        <v>4940</v>
      </c>
      <c r="B2178" t="s">
        <v>4940</v>
      </c>
      <c r="C2178" t="s">
        <v>256</v>
      </c>
      <c r="D2178" t="s">
        <v>254</v>
      </c>
      <c r="E2178">
        <v>8.1312799999999998E-4</v>
      </c>
      <c r="F2178" t="s">
        <v>233</v>
      </c>
      <c r="G2178" t="s">
        <v>234</v>
      </c>
      <c r="H2178">
        <v>3</v>
      </c>
    </row>
    <row r="2179" spans="1:8" x14ac:dyDescent="0.25">
      <c r="A2179" t="s">
        <v>4941</v>
      </c>
      <c r="B2179" t="s">
        <v>4941</v>
      </c>
      <c r="C2179" t="s">
        <v>465</v>
      </c>
      <c r="D2179" t="s">
        <v>466</v>
      </c>
      <c r="E2179">
        <v>2.2128299999999999E-4</v>
      </c>
      <c r="F2179" t="s">
        <v>233</v>
      </c>
      <c r="G2179" t="s">
        <v>234</v>
      </c>
      <c r="H2179">
        <v>3</v>
      </c>
    </row>
    <row r="2180" spans="1:8" ht="30" x14ac:dyDescent="0.25">
      <c r="A2180" t="s">
        <v>4942</v>
      </c>
      <c r="B2180" t="s">
        <v>4942</v>
      </c>
      <c r="C2180" s="17" t="s">
        <v>310</v>
      </c>
      <c r="D2180" s="17" t="s">
        <v>308</v>
      </c>
      <c r="E2180" s="17">
        <v>5.3341800000000002E-4</v>
      </c>
      <c r="F2180" s="6" t="s">
        <v>233</v>
      </c>
      <c r="G2180" s="6" t="s">
        <v>234</v>
      </c>
      <c r="H2180" s="6">
        <v>3</v>
      </c>
    </row>
    <row r="2181" spans="1:8" x14ac:dyDescent="0.25">
      <c r="A2181" t="s">
        <v>4943</v>
      </c>
      <c r="B2181" t="s">
        <v>4943</v>
      </c>
      <c r="C2181" t="s">
        <v>737</v>
      </c>
      <c r="D2181" t="s">
        <v>738</v>
      </c>
      <c r="E2181">
        <v>1.81306E-4</v>
      </c>
      <c r="F2181" t="s">
        <v>233</v>
      </c>
      <c r="G2181" t="s">
        <v>234</v>
      </c>
      <c r="H2181">
        <v>3</v>
      </c>
    </row>
    <row r="2182" spans="1:8" x14ac:dyDescent="0.25">
      <c r="A2182" t="s">
        <v>4944</v>
      </c>
      <c r="B2182" t="s">
        <v>4944</v>
      </c>
      <c r="C2182" t="s">
        <v>346</v>
      </c>
      <c r="D2182" t="s">
        <v>347</v>
      </c>
      <c r="E2182">
        <v>2.10657E-4</v>
      </c>
      <c r="F2182" t="s">
        <v>233</v>
      </c>
      <c r="G2182" t="s">
        <v>234</v>
      </c>
      <c r="H2182">
        <v>3</v>
      </c>
    </row>
    <row r="2183" spans="1:8" x14ac:dyDescent="0.25">
      <c r="A2183" t="s">
        <v>4945</v>
      </c>
      <c r="B2183" t="s">
        <v>4945</v>
      </c>
      <c r="C2183" t="s">
        <v>280</v>
      </c>
      <c r="D2183" t="s">
        <v>278</v>
      </c>
      <c r="E2183">
        <v>6.2829699999999999E-4</v>
      </c>
      <c r="F2183" t="s">
        <v>233</v>
      </c>
      <c r="G2183" t="s">
        <v>234</v>
      </c>
      <c r="H2183">
        <v>3</v>
      </c>
    </row>
    <row r="2184" spans="1:8" x14ac:dyDescent="0.25">
      <c r="A2184" t="s">
        <v>4946</v>
      </c>
      <c r="B2184" t="s">
        <v>4946</v>
      </c>
      <c r="C2184" t="s">
        <v>271</v>
      </c>
      <c r="D2184" t="s">
        <v>269</v>
      </c>
      <c r="E2184">
        <v>5.2359699999999999E-4</v>
      </c>
      <c r="F2184" t="s">
        <v>233</v>
      </c>
      <c r="G2184" t="s">
        <v>234</v>
      </c>
      <c r="H2184">
        <v>3</v>
      </c>
    </row>
    <row r="2185" spans="1:8" x14ac:dyDescent="0.25">
      <c r="A2185" t="s">
        <v>4947</v>
      </c>
      <c r="B2185" t="s">
        <v>4947</v>
      </c>
      <c r="C2185" t="s">
        <v>346</v>
      </c>
      <c r="D2185" t="s">
        <v>347</v>
      </c>
      <c r="E2185">
        <v>2.10657E-4</v>
      </c>
      <c r="F2185" t="s">
        <v>233</v>
      </c>
      <c r="G2185" t="s">
        <v>234</v>
      </c>
      <c r="H2185">
        <v>3</v>
      </c>
    </row>
    <row r="2186" spans="1:8" x14ac:dyDescent="0.25">
      <c r="A2186" t="s">
        <v>4948</v>
      </c>
      <c r="B2186" t="s">
        <v>4948</v>
      </c>
      <c r="C2186" t="s">
        <v>726</v>
      </c>
      <c r="D2186" t="s">
        <v>727</v>
      </c>
      <c r="E2186">
        <v>1.3494000000000001E-4</v>
      </c>
      <c r="F2186" t="s">
        <v>233</v>
      </c>
      <c r="G2186" t="s">
        <v>234</v>
      </c>
      <c r="H2186">
        <v>3</v>
      </c>
    </row>
    <row r="2187" spans="1:8" ht="30" x14ac:dyDescent="0.25">
      <c r="A2187" t="s">
        <v>4949</v>
      </c>
      <c r="B2187" t="s">
        <v>4949</v>
      </c>
      <c r="C2187" s="17" t="s">
        <v>310</v>
      </c>
      <c r="D2187" s="17" t="s">
        <v>308</v>
      </c>
      <c r="E2187" s="17">
        <v>5.3341800000000002E-4</v>
      </c>
      <c r="F2187" s="6" t="s">
        <v>233</v>
      </c>
      <c r="G2187" s="6" t="s">
        <v>234</v>
      </c>
      <c r="H2187" s="6">
        <v>3</v>
      </c>
    </row>
    <row r="2188" spans="1:8" x14ac:dyDescent="0.25">
      <c r="A2188" t="s">
        <v>4950</v>
      </c>
      <c r="B2188" t="s">
        <v>4950</v>
      </c>
      <c r="C2188" t="s">
        <v>256</v>
      </c>
      <c r="D2188" t="s">
        <v>254</v>
      </c>
      <c r="E2188">
        <v>8.1312799999999998E-4</v>
      </c>
      <c r="F2188" t="s">
        <v>233</v>
      </c>
      <c r="G2188" t="s">
        <v>234</v>
      </c>
      <c r="H2188">
        <v>3</v>
      </c>
    </row>
    <row r="2189" spans="1:8" x14ac:dyDescent="0.25">
      <c r="A2189" t="s">
        <v>4951</v>
      </c>
      <c r="B2189" t="s">
        <v>4951</v>
      </c>
      <c r="C2189" t="s">
        <v>265</v>
      </c>
      <c r="D2189" t="s">
        <v>263</v>
      </c>
      <c r="E2189">
        <v>3.0449399999999999E-4</v>
      </c>
      <c r="F2189" t="s">
        <v>233</v>
      </c>
      <c r="G2189" t="s">
        <v>234</v>
      </c>
      <c r="H2189">
        <v>3</v>
      </c>
    </row>
    <row r="2190" spans="1:8" x14ac:dyDescent="0.25">
      <c r="A2190" t="s">
        <v>4952</v>
      </c>
      <c r="B2190" t="s">
        <v>4952</v>
      </c>
      <c r="C2190" t="s">
        <v>280</v>
      </c>
      <c r="D2190" t="s">
        <v>278</v>
      </c>
      <c r="E2190">
        <v>6.2829699999999999E-4</v>
      </c>
      <c r="F2190" t="s">
        <v>233</v>
      </c>
      <c r="G2190" t="s">
        <v>234</v>
      </c>
      <c r="H2190">
        <v>3</v>
      </c>
    </row>
    <row r="2191" spans="1:8" x14ac:dyDescent="0.25">
      <c r="A2191" t="s">
        <v>4953</v>
      </c>
      <c r="B2191" t="s">
        <v>4953</v>
      </c>
      <c r="C2191" t="s">
        <v>346</v>
      </c>
      <c r="D2191" t="s">
        <v>347</v>
      </c>
      <c r="E2191">
        <v>2.10657E-4</v>
      </c>
      <c r="F2191" t="s">
        <v>233</v>
      </c>
      <c r="G2191" t="s">
        <v>234</v>
      </c>
      <c r="H2191">
        <v>3</v>
      </c>
    </row>
    <row r="2192" spans="1:8" x14ac:dyDescent="0.25">
      <c r="A2192" t="s">
        <v>4954</v>
      </c>
      <c r="B2192" t="s">
        <v>4954</v>
      </c>
      <c r="C2192" t="s">
        <v>2894</v>
      </c>
      <c r="D2192" t="s">
        <v>2892</v>
      </c>
      <c r="E2192">
        <v>2.5805799999999997E-4</v>
      </c>
      <c r="F2192" t="s">
        <v>233</v>
      </c>
      <c r="G2192" t="s">
        <v>234</v>
      </c>
      <c r="H2192">
        <v>3</v>
      </c>
    </row>
    <row r="2193" spans="1:8" x14ac:dyDescent="0.25">
      <c r="A2193" t="s">
        <v>4955</v>
      </c>
      <c r="B2193" t="s">
        <v>4955</v>
      </c>
      <c r="C2193" t="s">
        <v>407</v>
      </c>
      <c r="D2193" t="s">
        <v>408</v>
      </c>
      <c r="E2193">
        <v>1.6713599999999999E-4</v>
      </c>
      <c r="F2193" t="s">
        <v>233</v>
      </c>
      <c r="G2193" t="s">
        <v>234</v>
      </c>
      <c r="H2193">
        <v>3</v>
      </c>
    </row>
    <row r="2194" spans="1:8" x14ac:dyDescent="0.25">
      <c r="A2194" t="s">
        <v>4956</v>
      </c>
      <c r="B2194" t="s">
        <v>4956</v>
      </c>
      <c r="C2194" t="s">
        <v>407</v>
      </c>
      <c r="D2194" t="s">
        <v>408</v>
      </c>
      <c r="E2194">
        <v>1.6713599999999999E-4</v>
      </c>
      <c r="F2194" t="s">
        <v>233</v>
      </c>
      <c r="G2194" t="s">
        <v>234</v>
      </c>
      <c r="H2194">
        <v>3</v>
      </c>
    </row>
    <row r="2195" spans="1:8" x14ac:dyDescent="0.25">
      <c r="A2195" t="s">
        <v>4957</v>
      </c>
      <c r="B2195" t="s">
        <v>4957</v>
      </c>
      <c r="C2195" t="s">
        <v>346</v>
      </c>
      <c r="D2195" t="s">
        <v>347</v>
      </c>
      <c r="E2195">
        <v>2.10657E-4</v>
      </c>
      <c r="F2195" t="s">
        <v>233</v>
      </c>
      <c r="G2195" t="s">
        <v>234</v>
      </c>
      <c r="H2195">
        <v>3</v>
      </c>
    </row>
    <row r="2196" spans="1:8" x14ac:dyDescent="0.25">
      <c r="A2196" t="s">
        <v>4958</v>
      </c>
      <c r="B2196" t="s">
        <v>4958</v>
      </c>
      <c r="C2196" t="s">
        <v>346</v>
      </c>
      <c r="D2196" t="s">
        <v>347</v>
      </c>
      <c r="E2196">
        <v>2.10657E-4</v>
      </c>
      <c r="F2196" t="s">
        <v>233</v>
      </c>
      <c r="G2196" t="s">
        <v>234</v>
      </c>
      <c r="H2196">
        <v>3</v>
      </c>
    </row>
    <row r="2197" spans="1:8" x14ac:dyDescent="0.25">
      <c r="A2197" t="s">
        <v>4959</v>
      </c>
      <c r="B2197" t="s">
        <v>4959</v>
      </c>
      <c r="C2197" t="s">
        <v>2894</v>
      </c>
      <c r="D2197" t="s">
        <v>2892</v>
      </c>
      <c r="E2197">
        <v>2.5805799999999997E-4</v>
      </c>
      <c r="F2197" t="s">
        <v>233</v>
      </c>
      <c r="G2197" t="s">
        <v>234</v>
      </c>
      <c r="H2197">
        <v>3</v>
      </c>
    </row>
    <row r="2198" spans="1:8" x14ac:dyDescent="0.25">
      <c r="A2198" t="s">
        <v>4960</v>
      </c>
      <c r="B2198" t="s">
        <v>4960</v>
      </c>
      <c r="C2198" t="s">
        <v>465</v>
      </c>
      <c r="D2198" t="s">
        <v>466</v>
      </c>
      <c r="E2198">
        <v>2.2128299999999999E-4</v>
      </c>
      <c r="F2198" t="s">
        <v>233</v>
      </c>
      <c r="G2198" t="s">
        <v>234</v>
      </c>
      <c r="H2198">
        <v>3</v>
      </c>
    </row>
    <row r="2199" spans="1:8" x14ac:dyDescent="0.25">
      <c r="A2199" t="s">
        <v>4961</v>
      </c>
      <c r="B2199" t="s">
        <v>4961</v>
      </c>
      <c r="C2199" t="s">
        <v>315</v>
      </c>
      <c r="D2199" t="s">
        <v>374</v>
      </c>
      <c r="E2199">
        <v>1.75E-3</v>
      </c>
      <c r="F2199" t="s">
        <v>233</v>
      </c>
      <c r="G2199" t="s">
        <v>316</v>
      </c>
      <c r="H2199">
        <v>3</v>
      </c>
    </row>
    <row r="2200" spans="1:8" x14ac:dyDescent="0.25">
      <c r="A2200" t="s">
        <v>4962</v>
      </c>
      <c r="B2200" t="s">
        <v>4962</v>
      </c>
      <c r="C2200" t="s">
        <v>737</v>
      </c>
      <c r="D2200" t="s">
        <v>738</v>
      </c>
      <c r="E2200">
        <v>1.81306E-4</v>
      </c>
      <c r="F2200" t="s">
        <v>233</v>
      </c>
      <c r="G2200" t="s">
        <v>234</v>
      </c>
      <c r="H2200">
        <v>3</v>
      </c>
    </row>
    <row r="2201" spans="1:8" x14ac:dyDescent="0.25">
      <c r="A2201" t="s">
        <v>4963</v>
      </c>
      <c r="B2201" t="s">
        <v>4963</v>
      </c>
      <c r="C2201" t="s">
        <v>283</v>
      </c>
      <c r="D2201" t="s">
        <v>281</v>
      </c>
      <c r="E2201">
        <v>5.4019300000000001E-4</v>
      </c>
      <c r="F2201" t="s">
        <v>233</v>
      </c>
      <c r="G2201" t="s">
        <v>234</v>
      </c>
      <c r="H2201">
        <v>3</v>
      </c>
    </row>
    <row r="2202" spans="1:8" x14ac:dyDescent="0.25">
      <c r="A2202" t="s">
        <v>4964</v>
      </c>
      <c r="B2202" t="s">
        <v>4964</v>
      </c>
      <c r="C2202" t="s">
        <v>256</v>
      </c>
      <c r="D2202" t="s">
        <v>254</v>
      </c>
      <c r="E2202">
        <v>8.1312799999999998E-4</v>
      </c>
      <c r="F2202" t="s">
        <v>233</v>
      </c>
      <c r="G2202" t="s">
        <v>234</v>
      </c>
      <c r="H2202">
        <v>3</v>
      </c>
    </row>
    <row r="2203" spans="1:8" x14ac:dyDescent="0.25">
      <c r="A2203" t="s">
        <v>4965</v>
      </c>
      <c r="B2203" t="s">
        <v>4965</v>
      </c>
      <c r="C2203" t="s">
        <v>346</v>
      </c>
      <c r="D2203" t="s">
        <v>347</v>
      </c>
      <c r="E2203">
        <v>2.10657E-4</v>
      </c>
      <c r="F2203" t="s">
        <v>233</v>
      </c>
      <c r="G2203" t="s">
        <v>234</v>
      </c>
      <c r="H2203">
        <v>3</v>
      </c>
    </row>
    <row r="2204" spans="1:8" x14ac:dyDescent="0.25">
      <c r="A2204" t="s">
        <v>4966</v>
      </c>
      <c r="B2204" t="s">
        <v>4966</v>
      </c>
      <c r="C2204" t="s">
        <v>413</v>
      </c>
      <c r="D2204" t="s">
        <v>414</v>
      </c>
      <c r="E2204">
        <v>3.1322199999999999E-4</v>
      </c>
      <c r="F2204" t="s">
        <v>233</v>
      </c>
      <c r="G2204" t="s">
        <v>234</v>
      </c>
      <c r="H2204">
        <v>3</v>
      </c>
    </row>
    <row r="2205" spans="1:8" x14ac:dyDescent="0.25">
      <c r="A2205" t="s">
        <v>4967</v>
      </c>
      <c r="B2205" t="s">
        <v>4967</v>
      </c>
      <c r="C2205" t="s">
        <v>413</v>
      </c>
      <c r="D2205" t="s">
        <v>414</v>
      </c>
      <c r="E2205">
        <v>3.1322199999999999E-4</v>
      </c>
      <c r="F2205" t="s">
        <v>233</v>
      </c>
      <c r="G2205" t="s">
        <v>234</v>
      </c>
      <c r="H2205">
        <v>3</v>
      </c>
    </row>
    <row r="2206" spans="1:8" x14ac:dyDescent="0.25">
      <c r="A2206" t="s">
        <v>4968</v>
      </c>
      <c r="B2206" t="s">
        <v>4968</v>
      </c>
      <c r="C2206" t="s">
        <v>2894</v>
      </c>
      <c r="D2206" t="s">
        <v>2892</v>
      </c>
      <c r="E2206">
        <v>2.5805799999999997E-4</v>
      </c>
      <c r="F2206" t="s">
        <v>233</v>
      </c>
      <c r="G2206" t="s">
        <v>234</v>
      </c>
      <c r="H2206">
        <v>3</v>
      </c>
    </row>
    <row r="2207" spans="1:8" x14ac:dyDescent="0.25">
      <c r="A2207" t="s">
        <v>4969</v>
      </c>
      <c r="B2207" t="s">
        <v>4969</v>
      </c>
      <c r="C2207" t="s">
        <v>346</v>
      </c>
      <c r="D2207" t="s">
        <v>347</v>
      </c>
      <c r="E2207">
        <v>2.10657E-4</v>
      </c>
      <c r="F2207" t="s">
        <v>233</v>
      </c>
      <c r="G2207" t="s">
        <v>234</v>
      </c>
      <c r="H2207">
        <v>3</v>
      </c>
    </row>
    <row r="2208" spans="1:8" ht="30" x14ac:dyDescent="0.25">
      <c r="A2208" t="s">
        <v>4970</v>
      </c>
      <c r="B2208" t="s">
        <v>4970</v>
      </c>
      <c r="C2208" s="17" t="s">
        <v>310</v>
      </c>
      <c r="D2208" s="17" t="s">
        <v>308</v>
      </c>
      <c r="E2208" s="17">
        <v>5.3341800000000002E-4</v>
      </c>
      <c r="F2208" s="6" t="s">
        <v>233</v>
      </c>
      <c r="G2208" s="6" t="s">
        <v>234</v>
      </c>
      <c r="H2208" s="6">
        <v>3</v>
      </c>
    </row>
    <row r="2209" spans="1:8" ht="30" x14ac:dyDescent="0.25">
      <c r="A2209" t="s">
        <v>4971</v>
      </c>
      <c r="B2209" t="s">
        <v>4971</v>
      </c>
      <c r="C2209" s="17" t="s">
        <v>310</v>
      </c>
      <c r="D2209" s="17" t="s">
        <v>308</v>
      </c>
      <c r="E2209" s="17">
        <v>5.3341800000000002E-4</v>
      </c>
      <c r="F2209" s="6" t="s">
        <v>233</v>
      </c>
      <c r="G2209" s="6" t="s">
        <v>234</v>
      </c>
      <c r="H2209" s="6">
        <v>3</v>
      </c>
    </row>
    <row r="2210" spans="1:8" ht="30" x14ac:dyDescent="0.25">
      <c r="A2210" t="s">
        <v>4972</v>
      </c>
      <c r="B2210" t="s">
        <v>4972</v>
      </c>
      <c r="C2210" s="17" t="s">
        <v>310</v>
      </c>
      <c r="D2210" s="17" t="s">
        <v>308</v>
      </c>
      <c r="E2210" s="17">
        <v>5.3341800000000002E-4</v>
      </c>
      <c r="F2210" s="6" t="s">
        <v>233</v>
      </c>
      <c r="G2210" s="6" t="s">
        <v>234</v>
      </c>
      <c r="H2210" s="6">
        <v>3</v>
      </c>
    </row>
    <row r="2211" spans="1:8" x14ac:dyDescent="0.25">
      <c r="A2211" t="s">
        <v>4973</v>
      </c>
      <c r="B2211" t="s">
        <v>4973</v>
      </c>
      <c r="C2211" t="s">
        <v>280</v>
      </c>
      <c r="D2211" t="s">
        <v>278</v>
      </c>
      <c r="E2211">
        <v>6.2829699999999999E-4</v>
      </c>
      <c r="F2211" t="s">
        <v>233</v>
      </c>
      <c r="G2211" t="s">
        <v>234</v>
      </c>
      <c r="H2211">
        <v>3</v>
      </c>
    </row>
    <row r="2212" spans="1:8" x14ac:dyDescent="0.25">
      <c r="A2212" t="s">
        <v>4974</v>
      </c>
      <c r="B2212" t="s">
        <v>4974</v>
      </c>
      <c r="C2212" t="s">
        <v>413</v>
      </c>
      <c r="D2212" t="s">
        <v>414</v>
      </c>
      <c r="E2212">
        <v>3.1322199999999999E-4</v>
      </c>
      <c r="F2212" t="s">
        <v>233</v>
      </c>
      <c r="G2212" t="s">
        <v>234</v>
      </c>
      <c r="H2212">
        <v>3</v>
      </c>
    </row>
    <row r="2213" spans="1:8" x14ac:dyDescent="0.25">
      <c r="A2213" t="s">
        <v>4975</v>
      </c>
      <c r="B2213" t="s">
        <v>4975</v>
      </c>
      <c r="C2213" t="s">
        <v>346</v>
      </c>
      <c r="D2213" t="s">
        <v>347</v>
      </c>
      <c r="E2213">
        <v>2.10657E-4</v>
      </c>
      <c r="F2213" t="s">
        <v>233</v>
      </c>
      <c r="G2213" t="s">
        <v>234</v>
      </c>
      <c r="H2213">
        <v>3</v>
      </c>
    </row>
    <row r="2214" spans="1:8" x14ac:dyDescent="0.25">
      <c r="A2214" t="s">
        <v>4976</v>
      </c>
      <c r="B2214" t="s">
        <v>4976</v>
      </c>
      <c r="C2214" t="s">
        <v>413</v>
      </c>
      <c r="D2214" t="s">
        <v>414</v>
      </c>
      <c r="E2214">
        <v>3.1322199999999999E-4</v>
      </c>
      <c r="F2214" t="s">
        <v>233</v>
      </c>
      <c r="G2214" t="s">
        <v>234</v>
      </c>
      <c r="H2214">
        <v>3</v>
      </c>
    </row>
    <row r="2215" spans="1:8" x14ac:dyDescent="0.25">
      <c r="A2215" t="s">
        <v>4977</v>
      </c>
      <c r="B2215" t="s">
        <v>4977</v>
      </c>
      <c r="C2215" t="s">
        <v>301</v>
      </c>
      <c r="D2215" t="s">
        <v>299</v>
      </c>
      <c r="E2215">
        <v>6.3590900000000004E-4</v>
      </c>
      <c r="F2215" t="s">
        <v>233</v>
      </c>
      <c r="G2215" t="s">
        <v>234</v>
      </c>
      <c r="H2215">
        <v>3</v>
      </c>
    </row>
    <row r="2216" spans="1:8" x14ac:dyDescent="0.25">
      <c r="A2216" t="s">
        <v>4978</v>
      </c>
      <c r="B2216" t="s">
        <v>4978</v>
      </c>
      <c r="C2216" t="s">
        <v>346</v>
      </c>
      <c r="D2216" t="s">
        <v>347</v>
      </c>
      <c r="E2216">
        <v>2.10657E-4</v>
      </c>
      <c r="F2216" t="s">
        <v>233</v>
      </c>
      <c r="G2216" t="s">
        <v>234</v>
      </c>
      <c r="H2216">
        <v>3</v>
      </c>
    </row>
    <row r="2217" spans="1:8" x14ac:dyDescent="0.25">
      <c r="A2217" t="s">
        <v>4979</v>
      </c>
      <c r="B2217" t="s">
        <v>4979</v>
      </c>
      <c r="C2217" t="s">
        <v>265</v>
      </c>
      <c r="D2217" t="s">
        <v>263</v>
      </c>
      <c r="E2217">
        <v>3.0449399999999999E-4</v>
      </c>
      <c r="F2217" t="s">
        <v>233</v>
      </c>
      <c r="G2217" t="s">
        <v>234</v>
      </c>
      <c r="H2217">
        <v>3</v>
      </c>
    </row>
    <row r="2218" spans="1:8" x14ac:dyDescent="0.25">
      <c r="A2218" t="s">
        <v>4980</v>
      </c>
      <c r="B2218" t="s">
        <v>4980</v>
      </c>
      <c r="C2218" t="s">
        <v>250</v>
      </c>
      <c r="D2218" t="s">
        <v>248</v>
      </c>
      <c r="E2218">
        <v>4.3868599999999998E-4</v>
      </c>
      <c r="F2218" t="s">
        <v>233</v>
      </c>
      <c r="G2218" t="s">
        <v>234</v>
      </c>
      <c r="H2218">
        <v>3</v>
      </c>
    </row>
    <row r="2219" spans="1:8" x14ac:dyDescent="0.25">
      <c r="A2219" t="s">
        <v>4981</v>
      </c>
      <c r="B2219" t="s">
        <v>4981</v>
      </c>
      <c r="C2219" t="s">
        <v>250</v>
      </c>
      <c r="D2219" t="s">
        <v>248</v>
      </c>
      <c r="E2219">
        <v>4.3868599999999998E-4</v>
      </c>
      <c r="F2219" t="s">
        <v>233</v>
      </c>
      <c r="G2219" t="s">
        <v>234</v>
      </c>
      <c r="H2219">
        <v>3</v>
      </c>
    </row>
    <row r="2220" spans="1:8" x14ac:dyDescent="0.25">
      <c r="A2220" t="s">
        <v>4982</v>
      </c>
      <c r="B2220" t="s">
        <v>4982</v>
      </c>
      <c r="C2220" t="s">
        <v>280</v>
      </c>
      <c r="D2220" t="s">
        <v>278</v>
      </c>
      <c r="E2220">
        <v>6.2829699999999999E-4</v>
      </c>
      <c r="F2220" t="s">
        <v>233</v>
      </c>
      <c r="G2220" t="s">
        <v>234</v>
      </c>
      <c r="H2220">
        <v>3</v>
      </c>
    </row>
    <row r="2221" spans="1:8" x14ac:dyDescent="0.25">
      <c r="A2221" t="s">
        <v>4983</v>
      </c>
      <c r="B2221" t="s">
        <v>4983</v>
      </c>
      <c r="C2221" t="s">
        <v>256</v>
      </c>
      <c r="D2221" t="s">
        <v>254</v>
      </c>
      <c r="E2221">
        <v>8.1312799999999998E-4</v>
      </c>
      <c r="F2221" t="s">
        <v>233</v>
      </c>
      <c r="G2221" t="s">
        <v>234</v>
      </c>
      <c r="H2221">
        <v>3</v>
      </c>
    </row>
    <row r="2222" spans="1:8" x14ac:dyDescent="0.25">
      <c r="A2222" t="s">
        <v>4984</v>
      </c>
      <c r="B2222" t="s">
        <v>4984</v>
      </c>
      <c r="C2222" t="s">
        <v>256</v>
      </c>
      <c r="D2222" t="s">
        <v>254</v>
      </c>
      <c r="E2222">
        <v>8.1312799999999998E-4</v>
      </c>
      <c r="F2222" t="s">
        <v>233</v>
      </c>
      <c r="G2222" t="s">
        <v>234</v>
      </c>
      <c r="H2222">
        <v>3</v>
      </c>
    </row>
    <row r="2223" spans="1:8" x14ac:dyDescent="0.25">
      <c r="A2223" t="s">
        <v>4985</v>
      </c>
      <c r="B2223" t="s">
        <v>4985</v>
      </c>
      <c r="C2223" t="s">
        <v>250</v>
      </c>
      <c r="D2223" t="s">
        <v>248</v>
      </c>
      <c r="E2223">
        <v>4.3868599999999998E-4</v>
      </c>
      <c r="F2223" t="s">
        <v>233</v>
      </c>
      <c r="G2223" t="s">
        <v>234</v>
      </c>
      <c r="H2223">
        <v>3</v>
      </c>
    </row>
    <row r="2224" spans="1:8" x14ac:dyDescent="0.25">
      <c r="A2224" t="s">
        <v>4986</v>
      </c>
      <c r="B2224" t="s">
        <v>4986</v>
      </c>
      <c r="C2224" t="s">
        <v>271</v>
      </c>
      <c r="D2224" t="s">
        <v>269</v>
      </c>
      <c r="E2224">
        <v>5.2359699999999999E-4</v>
      </c>
      <c r="F2224" t="s">
        <v>233</v>
      </c>
      <c r="G2224" t="s">
        <v>234</v>
      </c>
      <c r="H2224">
        <v>3</v>
      </c>
    </row>
    <row r="2225" spans="1:8" x14ac:dyDescent="0.25">
      <c r="A2225" t="s">
        <v>4987</v>
      </c>
      <c r="B2225" t="s">
        <v>4987</v>
      </c>
      <c r="C2225" t="s">
        <v>250</v>
      </c>
      <c r="D2225" t="s">
        <v>248</v>
      </c>
      <c r="E2225">
        <v>4.3868599999999998E-4</v>
      </c>
      <c r="F2225" t="s">
        <v>233</v>
      </c>
      <c r="G2225" t="s">
        <v>234</v>
      </c>
      <c r="H2225">
        <v>3</v>
      </c>
    </row>
    <row r="2226" spans="1:8" x14ac:dyDescent="0.25">
      <c r="A2226" t="s">
        <v>4988</v>
      </c>
      <c r="B2226" t="s">
        <v>4988</v>
      </c>
      <c r="C2226" t="s">
        <v>256</v>
      </c>
      <c r="D2226" t="s">
        <v>254</v>
      </c>
      <c r="E2226">
        <v>8.1312799999999998E-4</v>
      </c>
      <c r="F2226" t="s">
        <v>233</v>
      </c>
      <c r="G2226" t="s">
        <v>234</v>
      </c>
      <c r="H2226">
        <v>3</v>
      </c>
    </row>
    <row r="2227" spans="1:8" x14ac:dyDescent="0.25">
      <c r="A2227" t="s">
        <v>4989</v>
      </c>
      <c r="B2227" t="s">
        <v>4989</v>
      </c>
      <c r="C2227" t="s">
        <v>726</v>
      </c>
      <c r="D2227" t="s">
        <v>727</v>
      </c>
      <c r="E2227">
        <v>1.3494000000000001E-4</v>
      </c>
      <c r="F2227" t="s">
        <v>233</v>
      </c>
      <c r="G2227" t="s">
        <v>234</v>
      </c>
      <c r="H2227">
        <v>3</v>
      </c>
    </row>
    <row r="2228" spans="1:8" x14ac:dyDescent="0.25">
      <c r="A2228" t="s">
        <v>4990</v>
      </c>
      <c r="B2228" t="s">
        <v>4990</v>
      </c>
      <c r="C2228" t="s">
        <v>465</v>
      </c>
      <c r="D2228" t="s">
        <v>466</v>
      </c>
      <c r="E2228">
        <v>2.2128299999999999E-4</v>
      </c>
      <c r="F2228" t="s">
        <v>233</v>
      </c>
      <c r="G2228" t="s">
        <v>234</v>
      </c>
      <c r="H2228">
        <v>3</v>
      </c>
    </row>
    <row r="2229" spans="1:8" x14ac:dyDescent="0.25">
      <c r="A2229" t="s">
        <v>4803</v>
      </c>
      <c r="B2229" t="s">
        <v>4803</v>
      </c>
      <c r="C2229" t="s">
        <v>274</v>
      </c>
      <c r="D2229" t="s">
        <v>272</v>
      </c>
      <c r="E2229">
        <v>6.1713999999999996E-4</v>
      </c>
      <c r="F2229" t="s">
        <v>233</v>
      </c>
      <c r="G2229" t="s">
        <v>234</v>
      </c>
      <c r="H2229">
        <v>3</v>
      </c>
    </row>
    <row r="2230" spans="1:8" x14ac:dyDescent="0.25">
      <c r="A2230" t="s">
        <v>5070</v>
      </c>
      <c r="B2230" t="s">
        <v>5070</v>
      </c>
      <c r="C2230" t="s">
        <v>271</v>
      </c>
      <c r="D2230" t="s">
        <v>269</v>
      </c>
      <c r="E2230">
        <v>5.2359699999999999E-4</v>
      </c>
      <c r="F2230" t="s">
        <v>233</v>
      </c>
      <c r="G2230" t="s">
        <v>234</v>
      </c>
      <c r="H2230">
        <v>3</v>
      </c>
    </row>
    <row r="2231" spans="1:8" x14ac:dyDescent="0.25">
      <c r="A2231" t="s">
        <v>5071</v>
      </c>
      <c r="B2231" t="s">
        <v>5071</v>
      </c>
      <c r="C2231" t="s">
        <v>271</v>
      </c>
      <c r="D2231" t="s">
        <v>269</v>
      </c>
      <c r="E2231">
        <v>5.2359699999999999E-4</v>
      </c>
      <c r="F2231" t="s">
        <v>233</v>
      </c>
      <c r="G2231" t="s">
        <v>234</v>
      </c>
      <c r="H2231">
        <v>3</v>
      </c>
    </row>
    <row r="2232" spans="1:8" x14ac:dyDescent="0.25">
      <c r="A2232" t="s">
        <v>5072</v>
      </c>
      <c r="B2232" t="s">
        <v>5072</v>
      </c>
      <c r="C2232" t="s">
        <v>271</v>
      </c>
      <c r="D2232" t="s">
        <v>269</v>
      </c>
      <c r="E2232">
        <v>5.2359699999999999E-4</v>
      </c>
      <c r="F2232" t="s">
        <v>233</v>
      </c>
      <c r="G2232" t="s">
        <v>234</v>
      </c>
      <c r="H2232">
        <v>3</v>
      </c>
    </row>
    <row r="2233" spans="1:8" x14ac:dyDescent="0.25">
      <c r="A2233" t="s">
        <v>5073</v>
      </c>
      <c r="B2233" t="s">
        <v>5073</v>
      </c>
      <c r="C2233" t="s">
        <v>280</v>
      </c>
      <c r="D2233" t="s">
        <v>278</v>
      </c>
      <c r="E2233">
        <v>6.2829699999999999E-4</v>
      </c>
      <c r="F2233" t="s">
        <v>233</v>
      </c>
      <c r="G2233" t="s">
        <v>234</v>
      </c>
      <c r="H2233">
        <v>3</v>
      </c>
    </row>
    <row r="2234" spans="1:8" x14ac:dyDescent="0.25">
      <c r="A2234" t="s">
        <v>5074</v>
      </c>
      <c r="B2234" t="s">
        <v>5074</v>
      </c>
      <c r="C2234" t="s">
        <v>244</v>
      </c>
      <c r="D2234" t="s">
        <v>242</v>
      </c>
      <c r="E2234">
        <v>5.4284299999999999E-4</v>
      </c>
      <c r="F2234" t="s">
        <v>233</v>
      </c>
      <c r="G2234" t="s">
        <v>234</v>
      </c>
      <c r="H2234">
        <v>3</v>
      </c>
    </row>
    <row r="2235" spans="1:8" x14ac:dyDescent="0.25">
      <c r="A2235" t="s">
        <v>5075</v>
      </c>
      <c r="B2235" t="s">
        <v>5075</v>
      </c>
      <c r="C2235" t="s">
        <v>256</v>
      </c>
      <c r="D2235" t="s">
        <v>254</v>
      </c>
      <c r="E2235">
        <v>8.1312799999999998E-4</v>
      </c>
      <c r="F2235" t="s">
        <v>233</v>
      </c>
      <c r="G2235" t="s">
        <v>234</v>
      </c>
      <c r="H2235">
        <v>3</v>
      </c>
    </row>
    <row r="2236" spans="1:8" x14ac:dyDescent="0.25">
      <c r="A2236" t="s">
        <v>5076</v>
      </c>
      <c r="B2236" t="s">
        <v>5076</v>
      </c>
      <c r="C2236" t="s">
        <v>301</v>
      </c>
      <c r="D2236" t="s">
        <v>299</v>
      </c>
      <c r="E2236">
        <v>6.3590900000000004E-4</v>
      </c>
      <c r="F2236" t="s">
        <v>233</v>
      </c>
      <c r="G2236" t="s">
        <v>234</v>
      </c>
      <c r="H2236">
        <v>3</v>
      </c>
    </row>
    <row r="2237" spans="1:8" x14ac:dyDescent="0.25">
      <c r="A2237" t="s">
        <v>5077</v>
      </c>
      <c r="B2237" t="s">
        <v>5077</v>
      </c>
      <c r="C2237" t="s">
        <v>256</v>
      </c>
      <c r="D2237" t="s">
        <v>254</v>
      </c>
      <c r="E2237">
        <v>8.1312799999999998E-4</v>
      </c>
      <c r="F2237" t="s">
        <v>233</v>
      </c>
      <c r="G2237" t="s">
        <v>234</v>
      </c>
      <c r="H2237">
        <v>3</v>
      </c>
    </row>
    <row r="2238" spans="1:8" x14ac:dyDescent="0.25">
      <c r="A2238" t="s">
        <v>5078</v>
      </c>
      <c r="B2238" t="s">
        <v>5078</v>
      </c>
      <c r="C2238" t="s">
        <v>247</v>
      </c>
      <c r="D2238" t="s">
        <v>245</v>
      </c>
      <c r="E2238">
        <v>1.0475809999999999E-3</v>
      </c>
      <c r="F2238" t="s">
        <v>233</v>
      </c>
      <c r="G2238" t="s">
        <v>234</v>
      </c>
      <c r="H2238">
        <v>3</v>
      </c>
    </row>
    <row r="2239" spans="1:8" x14ac:dyDescent="0.25">
      <c r="A2239" t="s">
        <v>5079</v>
      </c>
      <c r="B2239" t="s">
        <v>5079</v>
      </c>
      <c r="C2239" t="s">
        <v>256</v>
      </c>
      <c r="D2239" t="s">
        <v>254</v>
      </c>
      <c r="E2239">
        <v>8.1312799999999998E-4</v>
      </c>
      <c r="F2239" t="s">
        <v>233</v>
      </c>
      <c r="G2239" t="s">
        <v>234</v>
      </c>
      <c r="H2239">
        <v>3</v>
      </c>
    </row>
    <row r="2240" spans="1:8" x14ac:dyDescent="0.25">
      <c r="A2240" t="s">
        <v>5080</v>
      </c>
      <c r="B2240" t="s">
        <v>5080</v>
      </c>
      <c r="C2240" t="s">
        <v>256</v>
      </c>
      <c r="D2240" t="s">
        <v>254</v>
      </c>
      <c r="E2240">
        <v>8.1312799999999998E-4</v>
      </c>
      <c r="F2240" t="s">
        <v>233</v>
      </c>
      <c r="G2240" t="s">
        <v>234</v>
      </c>
      <c r="H2240">
        <v>3</v>
      </c>
    </row>
    <row r="2241" spans="1:8" x14ac:dyDescent="0.25">
      <c r="A2241" t="s">
        <v>5081</v>
      </c>
      <c r="B2241" t="s">
        <v>5081</v>
      </c>
      <c r="C2241" t="s">
        <v>295</v>
      </c>
      <c r="D2241" t="s">
        <v>293</v>
      </c>
      <c r="E2241">
        <v>4.8170899999999998E-4</v>
      </c>
      <c r="F2241" t="s">
        <v>233</v>
      </c>
      <c r="G2241" t="s">
        <v>234</v>
      </c>
      <c r="H2241">
        <v>3</v>
      </c>
    </row>
    <row r="2242" spans="1:8" x14ac:dyDescent="0.25">
      <c r="A2242" t="s">
        <v>5082</v>
      </c>
      <c r="B2242" t="s">
        <v>5082</v>
      </c>
      <c r="C2242" t="s">
        <v>250</v>
      </c>
      <c r="D2242" t="s">
        <v>248</v>
      </c>
      <c r="E2242">
        <v>4.3868599999999998E-4</v>
      </c>
      <c r="F2242" t="s">
        <v>233</v>
      </c>
      <c r="G2242" t="s">
        <v>234</v>
      </c>
      <c r="H2242">
        <v>3</v>
      </c>
    </row>
    <row r="2243" spans="1:8" x14ac:dyDescent="0.25">
      <c r="A2243" t="s">
        <v>5083</v>
      </c>
      <c r="B2243" t="s">
        <v>5083</v>
      </c>
      <c r="C2243" t="s">
        <v>250</v>
      </c>
      <c r="D2243" t="s">
        <v>248</v>
      </c>
      <c r="E2243">
        <v>4.3868599999999998E-4</v>
      </c>
      <c r="F2243" t="s">
        <v>233</v>
      </c>
      <c r="G2243" t="s">
        <v>234</v>
      </c>
      <c r="H2243">
        <v>3</v>
      </c>
    </row>
    <row r="2244" spans="1:8" x14ac:dyDescent="0.25">
      <c r="A2244" t="s">
        <v>5084</v>
      </c>
      <c r="B2244" t="s">
        <v>5084</v>
      </c>
      <c r="C2244" t="s">
        <v>407</v>
      </c>
      <c r="D2244" t="s">
        <v>408</v>
      </c>
      <c r="E2244">
        <v>1.6713599999999999E-4</v>
      </c>
      <c r="F2244" t="s">
        <v>233</v>
      </c>
      <c r="G2244" t="s">
        <v>234</v>
      </c>
      <c r="H2244">
        <v>3</v>
      </c>
    </row>
    <row r="2245" spans="1:8" x14ac:dyDescent="0.25">
      <c r="A2245" t="s">
        <v>5085</v>
      </c>
      <c r="B2245" t="s">
        <v>5085</v>
      </c>
      <c r="C2245" t="s">
        <v>265</v>
      </c>
      <c r="D2245" t="s">
        <v>263</v>
      </c>
      <c r="E2245">
        <v>3.0449399999999999E-4</v>
      </c>
      <c r="F2245" t="s">
        <v>233</v>
      </c>
      <c r="G2245" t="s">
        <v>234</v>
      </c>
      <c r="H2245">
        <v>3</v>
      </c>
    </row>
    <row r="2246" spans="1:8" x14ac:dyDescent="0.25">
      <c r="A2246" t="s">
        <v>5086</v>
      </c>
      <c r="B2246" t="s">
        <v>5086</v>
      </c>
      <c r="C2246" t="s">
        <v>247</v>
      </c>
      <c r="D2246" t="s">
        <v>245</v>
      </c>
      <c r="E2246">
        <v>1.0475809999999999E-3</v>
      </c>
      <c r="F2246" t="s">
        <v>233</v>
      </c>
      <c r="G2246" t="s">
        <v>234</v>
      </c>
      <c r="H2246">
        <v>3</v>
      </c>
    </row>
    <row r="2247" spans="1:8" x14ac:dyDescent="0.25">
      <c r="A2247" t="s">
        <v>5087</v>
      </c>
      <c r="B2247" t="s">
        <v>5087</v>
      </c>
      <c r="C2247" t="s">
        <v>407</v>
      </c>
      <c r="D2247" t="s">
        <v>408</v>
      </c>
      <c r="E2247">
        <v>1.6713599999999999E-4</v>
      </c>
      <c r="F2247" t="s">
        <v>233</v>
      </c>
      <c r="G2247" t="s">
        <v>234</v>
      </c>
      <c r="H2247">
        <v>3</v>
      </c>
    </row>
    <row r="2248" spans="1:8" x14ac:dyDescent="0.25">
      <c r="A2248" t="s">
        <v>5088</v>
      </c>
      <c r="B2248" t="s">
        <v>5088</v>
      </c>
      <c r="C2248" t="s">
        <v>743</v>
      </c>
      <c r="D2248" t="s">
        <v>744</v>
      </c>
      <c r="E2248">
        <v>3.813E-4</v>
      </c>
      <c r="F2248" t="s">
        <v>233</v>
      </c>
      <c r="G2248" t="s">
        <v>316</v>
      </c>
      <c r="H2248">
        <v>3</v>
      </c>
    </row>
    <row r="2249" spans="1:8" x14ac:dyDescent="0.25">
      <c r="A2249" t="s">
        <v>5089</v>
      </c>
      <c r="B2249" t="s">
        <v>5089</v>
      </c>
      <c r="C2249" t="s">
        <v>247</v>
      </c>
      <c r="D2249" t="s">
        <v>245</v>
      </c>
      <c r="E2249">
        <v>1.0475809999999999E-3</v>
      </c>
      <c r="F2249" t="s">
        <v>233</v>
      </c>
      <c r="G2249" t="s">
        <v>234</v>
      </c>
      <c r="H2249">
        <v>3</v>
      </c>
    </row>
    <row r="2250" spans="1:8" x14ac:dyDescent="0.25">
      <c r="A2250" t="s">
        <v>5090</v>
      </c>
      <c r="B2250" t="s">
        <v>5090</v>
      </c>
      <c r="C2250" t="s">
        <v>721</v>
      </c>
      <c r="D2250" t="s">
        <v>722</v>
      </c>
      <c r="E2250">
        <v>1.24993E-4</v>
      </c>
      <c r="F2250" t="s">
        <v>233</v>
      </c>
      <c r="G2250" t="s">
        <v>234</v>
      </c>
      <c r="H2250">
        <v>3</v>
      </c>
    </row>
    <row r="2251" spans="1:8" x14ac:dyDescent="0.25">
      <c r="A2251" t="s">
        <v>5091</v>
      </c>
      <c r="B2251" t="s">
        <v>5091</v>
      </c>
      <c r="C2251" t="s">
        <v>295</v>
      </c>
      <c r="D2251" t="s">
        <v>293</v>
      </c>
      <c r="E2251">
        <v>4.8170899999999998E-4</v>
      </c>
      <c r="F2251" t="s">
        <v>233</v>
      </c>
      <c r="G2251" t="s">
        <v>234</v>
      </c>
      <c r="H2251">
        <v>3</v>
      </c>
    </row>
    <row r="2252" spans="1:8" x14ac:dyDescent="0.25">
      <c r="A2252" t="s">
        <v>5092</v>
      </c>
      <c r="B2252" t="s">
        <v>5092</v>
      </c>
      <c r="C2252" t="s">
        <v>256</v>
      </c>
      <c r="D2252" t="s">
        <v>254</v>
      </c>
      <c r="E2252">
        <v>8.1312799999999998E-4</v>
      </c>
      <c r="F2252" t="s">
        <v>233</v>
      </c>
      <c r="G2252" t="s">
        <v>234</v>
      </c>
      <c r="H2252">
        <v>3</v>
      </c>
    </row>
    <row r="2253" spans="1:8" x14ac:dyDescent="0.25">
      <c r="A2253" t="s">
        <v>5093</v>
      </c>
      <c r="B2253" t="s">
        <v>5093</v>
      </c>
      <c r="C2253" t="s">
        <v>256</v>
      </c>
      <c r="D2253" t="s">
        <v>254</v>
      </c>
      <c r="E2253">
        <v>8.1312799999999998E-4</v>
      </c>
      <c r="F2253" t="s">
        <v>233</v>
      </c>
      <c r="G2253" t="s">
        <v>234</v>
      </c>
      <c r="H2253">
        <v>3</v>
      </c>
    </row>
    <row r="2254" spans="1:8" x14ac:dyDescent="0.25">
      <c r="A2254" t="s">
        <v>5094</v>
      </c>
      <c r="B2254" t="s">
        <v>5094</v>
      </c>
      <c r="C2254" t="s">
        <v>256</v>
      </c>
      <c r="D2254" t="s">
        <v>254</v>
      </c>
      <c r="E2254">
        <v>8.1312799999999998E-4</v>
      </c>
      <c r="F2254" t="s">
        <v>233</v>
      </c>
      <c r="G2254" t="s">
        <v>234</v>
      </c>
      <c r="H2254">
        <v>3</v>
      </c>
    </row>
    <row r="2255" spans="1:8" x14ac:dyDescent="0.25">
      <c r="A2255" t="s">
        <v>5095</v>
      </c>
      <c r="B2255" t="s">
        <v>5095</v>
      </c>
      <c r="C2255" t="s">
        <v>247</v>
      </c>
      <c r="D2255" t="s">
        <v>245</v>
      </c>
      <c r="E2255">
        <v>1.0475809999999999E-3</v>
      </c>
      <c r="F2255" t="s">
        <v>233</v>
      </c>
      <c r="G2255" t="s">
        <v>234</v>
      </c>
      <c r="H2255">
        <v>3</v>
      </c>
    </row>
    <row r="2256" spans="1:8" x14ac:dyDescent="0.25">
      <c r="A2256" t="s">
        <v>5096</v>
      </c>
      <c r="B2256" t="s">
        <v>5096</v>
      </c>
      <c r="C2256" t="s">
        <v>465</v>
      </c>
      <c r="D2256" t="s">
        <v>466</v>
      </c>
      <c r="E2256">
        <v>2.2128299999999999E-4</v>
      </c>
      <c r="F2256" t="s">
        <v>233</v>
      </c>
      <c r="G2256" t="s">
        <v>234</v>
      </c>
      <c r="H2256">
        <v>3</v>
      </c>
    </row>
    <row r="2257" spans="1:8" x14ac:dyDescent="0.25">
      <c r="A2257" t="s">
        <v>5097</v>
      </c>
      <c r="B2257" t="s">
        <v>5097</v>
      </c>
      <c r="C2257" t="s">
        <v>250</v>
      </c>
      <c r="D2257" t="s">
        <v>248</v>
      </c>
      <c r="E2257">
        <v>4.3868599999999998E-4</v>
      </c>
      <c r="F2257" t="s">
        <v>233</v>
      </c>
      <c r="G2257" t="s">
        <v>234</v>
      </c>
      <c r="H2257">
        <v>3</v>
      </c>
    </row>
    <row r="2258" spans="1:8" x14ac:dyDescent="0.25">
      <c r="A2258" t="s">
        <v>5098</v>
      </c>
      <c r="B2258" t="s">
        <v>5098</v>
      </c>
      <c r="C2258" t="s">
        <v>265</v>
      </c>
      <c r="D2258" t="s">
        <v>263</v>
      </c>
      <c r="E2258">
        <v>3.0449399999999999E-4</v>
      </c>
      <c r="F2258" t="s">
        <v>233</v>
      </c>
      <c r="G2258" t="s">
        <v>234</v>
      </c>
      <c r="H2258">
        <v>3</v>
      </c>
    </row>
    <row r="2259" spans="1:8" x14ac:dyDescent="0.25">
      <c r="A2259" t="s">
        <v>5099</v>
      </c>
      <c r="B2259" t="s">
        <v>5099</v>
      </c>
      <c r="C2259" t="s">
        <v>271</v>
      </c>
      <c r="D2259" t="s">
        <v>269</v>
      </c>
      <c r="E2259">
        <v>5.2359699999999999E-4</v>
      </c>
      <c r="F2259" t="s">
        <v>233</v>
      </c>
      <c r="G2259" t="s">
        <v>234</v>
      </c>
      <c r="H2259">
        <v>3</v>
      </c>
    </row>
    <row r="2260" spans="1:8" x14ac:dyDescent="0.25">
      <c r="A2260" t="s">
        <v>5100</v>
      </c>
      <c r="B2260" t="s">
        <v>5100</v>
      </c>
      <c r="C2260" t="s">
        <v>346</v>
      </c>
      <c r="D2260" t="s">
        <v>347</v>
      </c>
      <c r="E2260">
        <v>2.10657E-4</v>
      </c>
      <c r="F2260" t="s">
        <v>233</v>
      </c>
      <c r="G2260" t="s">
        <v>234</v>
      </c>
      <c r="H2260">
        <v>3</v>
      </c>
    </row>
    <row r="2261" spans="1:8" x14ac:dyDescent="0.25">
      <c r="A2261" t="s">
        <v>5101</v>
      </c>
      <c r="B2261" t="s">
        <v>5101</v>
      </c>
      <c r="C2261" t="s">
        <v>271</v>
      </c>
      <c r="D2261" t="s">
        <v>269</v>
      </c>
      <c r="E2261">
        <v>5.2359699999999999E-4</v>
      </c>
      <c r="F2261" t="s">
        <v>233</v>
      </c>
      <c r="G2261" t="s">
        <v>234</v>
      </c>
      <c r="H2261">
        <v>3</v>
      </c>
    </row>
    <row r="2262" spans="1:8" x14ac:dyDescent="0.25">
      <c r="A2262" t="s">
        <v>5102</v>
      </c>
      <c r="B2262" t="s">
        <v>5102</v>
      </c>
      <c r="C2262" t="s">
        <v>346</v>
      </c>
      <c r="D2262" t="s">
        <v>347</v>
      </c>
      <c r="E2262">
        <v>2.10657E-4</v>
      </c>
      <c r="F2262" t="s">
        <v>233</v>
      </c>
      <c r="G2262" t="s">
        <v>234</v>
      </c>
      <c r="H2262">
        <v>3</v>
      </c>
    </row>
    <row r="2263" spans="1:8" x14ac:dyDescent="0.25">
      <c r="A2263" t="s">
        <v>5103</v>
      </c>
      <c r="B2263" t="s">
        <v>5103</v>
      </c>
      <c r="C2263" t="s">
        <v>280</v>
      </c>
      <c r="D2263" t="s">
        <v>278</v>
      </c>
      <c r="E2263">
        <v>6.2829699999999999E-4</v>
      </c>
      <c r="F2263" t="s">
        <v>233</v>
      </c>
      <c r="G2263" t="s">
        <v>234</v>
      </c>
      <c r="H2263">
        <v>3</v>
      </c>
    </row>
    <row r="2264" spans="1:8" x14ac:dyDescent="0.25">
      <c r="A2264" t="s">
        <v>5104</v>
      </c>
      <c r="B2264" t="s">
        <v>5104</v>
      </c>
      <c r="C2264" t="s">
        <v>743</v>
      </c>
      <c r="D2264" t="s">
        <v>744</v>
      </c>
      <c r="E2264">
        <v>3.813E-4</v>
      </c>
      <c r="F2264" t="s">
        <v>233</v>
      </c>
      <c r="G2264" t="s">
        <v>316</v>
      </c>
      <c r="H2264">
        <v>3</v>
      </c>
    </row>
    <row r="2265" spans="1:8" x14ac:dyDescent="0.25">
      <c r="A2265" t="s">
        <v>5105</v>
      </c>
      <c r="B2265" t="s">
        <v>5105</v>
      </c>
      <c r="C2265" t="s">
        <v>247</v>
      </c>
      <c r="D2265" t="s">
        <v>245</v>
      </c>
      <c r="E2265">
        <v>1.0475809999999999E-3</v>
      </c>
      <c r="F2265" t="s">
        <v>233</v>
      </c>
      <c r="G2265" t="s">
        <v>234</v>
      </c>
      <c r="H2265">
        <v>3</v>
      </c>
    </row>
    <row r="2266" spans="1:8" x14ac:dyDescent="0.25">
      <c r="A2266" t="s">
        <v>5106</v>
      </c>
      <c r="B2266" t="s">
        <v>5106</v>
      </c>
      <c r="C2266" t="s">
        <v>407</v>
      </c>
      <c r="D2266" t="s">
        <v>408</v>
      </c>
      <c r="E2266">
        <v>1.6713599999999999E-4</v>
      </c>
      <c r="F2266" t="s">
        <v>233</v>
      </c>
      <c r="G2266" t="s">
        <v>234</v>
      </c>
      <c r="H2266">
        <v>3</v>
      </c>
    </row>
    <row r="2267" spans="1:8" x14ac:dyDescent="0.25">
      <c r="A2267" t="s">
        <v>5107</v>
      </c>
      <c r="B2267" t="s">
        <v>5107</v>
      </c>
      <c r="C2267" t="s">
        <v>250</v>
      </c>
      <c r="D2267" t="s">
        <v>248</v>
      </c>
      <c r="E2267">
        <v>4.3868599999999998E-4</v>
      </c>
      <c r="F2267" t="s">
        <v>233</v>
      </c>
      <c r="G2267" t="s">
        <v>234</v>
      </c>
      <c r="H2267">
        <v>3</v>
      </c>
    </row>
    <row r="2268" spans="1:8" x14ac:dyDescent="0.25">
      <c r="A2268" t="s">
        <v>5108</v>
      </c>
      <c r="B2268" t="s">
        <v>5108</v>
      </c>
      <c r="C2268" t="s">
        <v>256</v>
      </c>
      <c r="D2268" t="s">
        <v>254</v>
      </c>
      <c r="E2268">
        <v>8.1312799999999998E-4</v>
      </c>
      <c r="F2268" t="s">
        <v>233</v>
      </c>
      <c r="G2268" t="s">
        <v>234</v>
      </c>
      <c r="H2268">
        <v>3</v>
      </c>
    </row>
    <row r="2269" spans="1:8" x14ac:dyDescent="0.25">
      <c r="A2269" t="s">
        <v>5109</v>
      </c>
      <c r="B2269" t="s">
        <v>5109</v>
      </c>
      <c r="C2269" t="s">
        <v>346</v>
      </c>
      <c r="D2269" t="s">
        <v>347</v>
      </c>
      <c r="E2269">
        <v>2.10657E-4</v>
      </c>
      <c r="F2269" t="s">
        <v>233</v>
      </c>
      <c r="G2269" t="s">
        <v>234</v>
      </c>
      <c r="H2269">
        <v>3</v>
      </c>
    </row>
    <row r="2270" spans="1:8" x14ac:dyDescent="0.25">
      <c r="A2270" t="s">
        <v>5110</v>
      </c>
      <c r="B2270" t="s">
        <v>5110</v>
      </c>
      <c r="C2270" t="s">
        <v>256</v>
      </c>
      <c r="D2270" t="s">
        <v>254</v>
      </c>
      <c r="E2270">
        <v>8.1312799999999998E-4</v>
      </c>
      <c r="F2270" t="s">
        <v>233</v>
      </c>
      <c r="G2270" t="s">
        <v>234</v>
      </c>
      <c r="H2270">
        <v>3</v>
      </c>
    </row>
    <row r="2271" spans="1:8" x14ac:dyDescent="0.25">
      <c r="A2271" t="s">
        <v>5111</v>
      </c>
      <c r="B2271" t="s">
        <v>5111</v>
      </c>
      <c r="C2271" t="s">
        <v>465</v>
      </c>
      <c r="D2271" t="s">
        <v>466</v>
      </c>
      <c r="E2271">
        <v>2.2128299999999999E-4</v>
      </c>
      <c r="F2271" t="s">
        <v>233</v>
      </c>
      <c r="G2271" t="s">
        <v>234</v>
      </c>
      <c r="H2271">
        <v>3</v>
      </c>
    </row>
    <row r="2272" spans="1:8" x14ac:dyDescent="0.25">
      <c r="A2272" t="s">
        <v>5112</v>
      </c>
      <c r="B2272" t="s">
        <v>5112</v>
      </c>
      <c r="C2272" t="s">
        <v>256</v>
      </c>
      <c r="D2272" t="s">
        <v>254</v>
      </c>
      <c r="E2272">
        <v>8.1312799999999998E-4</v>
      </c>
      <c r="F2272" t="s">
        <v>233</v>
      </c>
      <c r="G2272" t="s">
        <v>234</v>
      </c>
      <c r="H2272">
        <v>3</v>
      </c>
    </row>
    <row r="2273" spans="1:8" x14ac:dyDescent="0.25">
      <c r="A2273" t="s">
        <v>5113</v>
      </c>
      <c r="B2273" t="s">
        <v>5113</v>
      </c>
      <c r="C2273" t="s">
        <v>407</v>
      </c>
      <c r="D2273" t="s">
        <v>408</v>
      </c>
      <c r="E2273">
        <v>1.6713599999999999E-4</v>
      </c>
      <c r="F2273" t="s">
        <v>233</v>
      </c>
      <c r="G2273" t="s">
        <v>234</v>
      </c>
      <c r="H2273">
        <v>3</v>
      </c>
    </row>
    <row r="2274" spans="1:8" x14ac:dyDescent="0.25">
      <c r="A2274" t="s">
        <v>5114</v>
      </c>
      <c r="B2274" t="s">
        <v>5114</v>
      </c>
      <c r="C2274" t="s">
        <v>407</v>
      </c>
      <c r="D2274" t="s">
        <v>408</v>
      </c>
      <c r="E2274">
        <v>1.6713599999999999E-4</v>
      </c>
      <c r="F2274" t="s">
        <v>233</v>
      </c>
      <c r="G2274" t="s">
        <v>234</v>
      </c>
      <c r="H2274">
        <v>3</v>
      </c>
    </row>
    <row r="2275" spans="1:8" x14ac:dyDescent="0.25">
      <c r="A2275" t="s">
        <v>5115</v>
      </c>
      <c r="B2275" t="s">
        <v>5115</v>
      </c>
      <c r="C2275" t="s">
        <v>346</v>
      </c>
      <c r="D2275" t="s">
        <v>347</v>
      </c>
      <c r="E2275">
        <v>2.10657E-4</v>
      </c>
      <c r="F2275" t="s">
        <v>233</v>
      </c>
      <c r="G2275" t="s">
        <v>234</v>
      </c>
      <c r="H2275">
        <v>3</v>
      </c>
    </row>
    <row r="2276" spans="1:8" x14ac:dyDescent="0.25">
      <c r="A2276" t="s">
        <v>5116</v>
      </c>
      <c r="B2276" t="s">
        <v>5116</v>
      </c>
      <c r="C2276" t="s">
        <v>346</v>
      </c>
      <c r="D2276" t="s">
        <v>347</v>
      </c>
      <c r="E2276">
        <v>2.10657E-4</v>
      </c>
      <c r="F2276" t="s">
        <v>233</v>
      </c>
      <c r="G2276" t="s">
        <v>234</v>
      </c>
      <c r="H2276">
        <v>3</v>
      </c>
    </row>
    <row r="2277" spans="1:8" x14ac:dyDescent="0.25">
      <c r="A2277" t="s">
        <v>5117</v>
      </c>
      <c r="B2277" t="s">
        <v>5117</v>
      </c>
      <c r="C2277" t="s">
        <v>346</v>
      </c>
      <c r="D2277" t="s">
        <v>347</v>
      </c>
      <c r="E2277">
        <v>2.10657E-4</v>
      </c>
      <c r="F2277" t="s">
        <v>233</v>
      </c>
      <c r="G2277" t="s">
        <v>234</v>
      </c>
      <c r="H2277">
        <v>3</v>
      </c>
    </row>
    <row r="2278" spans="1:8" x14ac:dyDescent="0.25">
      <c r="A2278" t="s">
        <v>5118</v>
      </c>
      <c r="B2278" t="s">
        <v>5118</v>
      </c>
      <c r="C2278" t="s">
        <v>465</v>
      </c>
      <c r="D2278" t="s">
        <v>466</v>
      </c>
      <c r="E2278">
        <v>2.2128299999999999E-4</v>
      </c>
      <c r="F2278" t="s">
        <v>233</v>
      </c>
      <c r="G2278" t="s">
        <v>234</v>
      </c>
      <c r="H2278">
        <v>3</v>
      </c>
    </row>
    <row r="2279" spans="1:8" x14ac:dyDescent="0.25">
      <c r="A2279" t="s">
        <v>5119</v>
      </c>
      <c r="B2279" t="s">
        <v>5119</v>
      </c>
      <c r="C2279" t="s">
        <v>346</v>
      </c>
      <c r="D2279" t="s">
        <v>347</v>
      </c>
      <c r="E2279">
        <v>2.10657E-4</v>
      </c>
      <c r="F2279" t="s">
        <v>233</v>
      </c>
      <c r="G2279" t="s">
        <v>234</v>
      </c>
      <c r="H2279">
        <v>3</v>
      </c>
    </row>
    <row r="2280" spans="1:8" x14ac:dyDescent="0.25">
      <c r="A2280" t="s">
        <v>5120</v>
      </c>
      <c r="B2280" t="s">
        <v>5120</v>
      </c>
      <c r="C2280" t="s">
        <v>346</v>
      </c>
      <c r="D2280" t="s">
        <v>347</v>
      </c>
      <c r="E2280">
        <v>2.10657E-4</v>
      </c>
      <c r="F2280" t="s">
        <v>233</v>
      </c>
      <c r="G2280" t="s">
        <v>234</v>
      </c>
      <c r="H2280">
        <v>3</v>
      </c>
    </row>
    <row r="2281" spans="1:8" x14ac:dyDescent="0.25">
      <c r="A2281" t="s">
        <v>5121</v>
      </c>
      <c r="B2281" t="s">
        <v>5121</v>
      </c>
      <c r="C2281" t="s">
        <v>346</v>
      </c>
      <c r="D2281" t="s">
        <v>347</v>
      </c>
      <c r="E2281">
        <v>2.10657E-4</v>
      </c>
      <c r="F2281" t="s">
        <v>233</v>
      </c>
      <c r="G2281" t="s">
        <v>234</v>
      </c>
      <c r="H2281">
        <v>3</v>
      </c>
    </row>
    <row r="2282" spans="1:8" x14ac:dyDescent="0.25">
      <c r="A2282" t="s">
        <v>5122</v>
      </c>
      <c r="B2282" t="s">
        <v>5122</v>
      </c>
      <c r="C2282" t="s">
        <v>346</v>
      </c>
      <c r="D2282" t="s">
        <v>347</v>
      </c>
      <c r="E2282">
        <v>2.10657E-4</v>
      </c>
      <c r="F2282" t="s">
        <v>233</v>
      </c>
      <c r="G2282" t="s">
        <v>234</v>
      </c>
      <c r="H2282">
        <v>3</v>
      </c>
    </row>
    <row r="2283" spans="1:8" x14ac:dyDescent="0.25">
      <c r="A2283" t="s">
        <v>5123</v>
      </c>
      <c r="B2283" t="s">
        <v>5123</v>
      </c>
      <c r="C2283" t="s">
        <v>407</v>
      </c>
      <c r="D2283" t="s">
        <v>408</v>
      </c>
      <c r="E2283">
        <v>1.6713599999999999E-4</v>
      </c>
      <c r="F2283" t="s">
        <v>233</v>
      </c>
      <c r="G2283" t="s">
        <v>234</v>
      </c>
      <c r="H2283">
        <v>3</v>
      </c>
    </row>
    <row r="2284" spans="1:8" x14ac:dyDescent="0.25">
      <c r="A2284" t="s">
        <v>5124</v>
      </c>
      <c r="B2284" t="s">
        <v>5124</v>
      </c>
      <c r="C2284" t="s">
        <v>407</v>
      </c>
      <c r="D2284" t="s">
        <v>408</v>
      </c>
      <c r="E2284">
        <v>1.6713599999999999E-4</v>
      </c>
      <c r="F2284" t="s">
        <v>233</v>
      </c>
      <c r="G2284" t="s">
        <v>234</v>
      </c>
      <c r="H2284">
        <v>3</v>
      </c>
    </row>
    <row r="2285" spans="1:8" x14ac:dyDescent="0.25">
      <c r="A2285" t="s">
        <v>5125</v>
      </c>
      <c r="B2285" t="s">
        <v>5125</v>
      </c>
      <c r="C2285" t="s">
        <v>407</v>
      </c>
      <c r="D2285" t="s">
        <v>408</v>
      </c>
      <c r="E2285">
        <v>1.6713599999999999E-4</v>
      </c>
      <c r="F2285" t="s">
        <v>233</v>
      </c>
      <c r="G2285" t="s">
        <v>234</v>
      </c>
      <c r="H2285">
        <v>3</v>
      </c>
    </row>
    <row r="2286" spans="1:8" x14ac:dyDescent="0.25">
      <c r="A2286" t="s">
        <v>5126</v>
      </c>
      <c r="B2286" t="s">
        <v>5126</v>
      </c>
      <c r="C2286" t="s">
        <v>407</v>
      </c>
      <c r="D2286" t="s">
        <v>408</v>
      </c>
      <c r="E2286">
        <v>1.6713599999999999E-4</v>
      </c>
      <c r="F2286" t="s">
        <v>233</v>
      </c>
      <c r="G2286" t="s">
        <v>234</v>
      </c>
      <c r="H2286">
        <v>3</v>
      </c>
    </row>
    <row r="2287" spans="1:8" x14ac:dyDescent="0.25">
      <c r="A2287" t="s">
        <v>5127</v>
      </c>
      <c r="B2287" t="s">
        <v>5127</v>
      </c>
      <c r="C2287" t="s">
        <v>465</v>
      </c>
      <c r="D2287" t="s">
        <v>466</v>
      </c>
      <c r="E2287">
        <v>2.2128299999999999E-4</v>
      </c>
      <c r="F2287" t="s">
        <v>233</v>
      </c>
      <c r="G2287" t="s">
        <v>234</v>
      </c>
      <c r="H2287">
        <v>3</v>
      </c>
    </row>
    <row r="2288" spans="1:8" x14ac:dyDescent="0.25">
      <c r="A2288" t="s">
        <v>5128</v>
      </c>
      <c r="B2288" t="s">
        <v>5128</v>
      </c>
      <c r="C2288" t="s">
        <v>346</v>
      </c>
      <c r="D2288" t="s">
        <v>347</v>
      </c>
      <c r="E2288">
        <v>2.10657E-4</v>
      </c>
      <c r="F2288" t="s">
        <v>233</v>
      </c>
      <c r="G2288" t="s">
        <v>234</v>
      </c>
      <c r="H2288">
        <v>3</v>
      </c>
    </row>
    <row r="2289" spans="1:8" x14ac:dyDescent="0.25">
      <c r="A2289" t="s">
        <v>5129</v>
      </c>
      <c r="B2289" t="s">
        <v>5129</v>
      </c>
      <c r="C2289" t="s">
        <v>413</v>
      </c>
      <c r="D2289" t="s">
        <v>414</v>
      </c>
      <c r="E2289">
        <v>3.1322199999999999E-4</v>
      </c>
      <c r="F2289" t="s">
        <v>233</v>
      </c>
      <c r="G2289" t="s">
        <v>234</v>
      </c>
      <c r="H2289">
        <v>3</v>
      </c>
    </row>
    <row r="2290" spans="1:8" x14ac:dyDescent="0.25">
      <c r="A2290" t="s">
        <v>5130</v>
      </c>
      <c r="B2290" t="s">
        <v>5130</v>
      </c>
      <c r="C2290" t="s">
        <v>2877</v>
      </c>
      <c r="D2290" t="s">
        <v>229</v>
      </c>
      <c r="E2290" s="42">
        <v>8.8070000000000002E-5</v>
      </c>
      <c r="F2290" t="s">
        <v>233</v>
      </c>
      <c r="G2290" t="s">
        <v>234</v>
      </c>
      <c r="H2290">
        <v>3</v>
      </c>
    </row>
    <row r="2291" spans="1:8" x14ac:dyDescent="0.25">
      <c r="A2291" t="s">
        <v>5131</v>
      </c>
      <c r="B2291" t="s">
        <v>5131</v>
      </c>
      <c r="C2291" t="s">
        <v>346</v>
      </c>
      <c r="D2291" t="s">
        <v>347</v>
      </c>
      <c r="E2291">
        <v>2.10657E-4</v>
      </c>
      <c r="F2291" t="s">
        <v>233</v>
      </c>
      <c r="G2291" t="s">
        <v>234</v>
      </c>
      <c r="H2291">
        <v>3</v>
      </c>
    </row>
    <row r="2292" spans="1:8" x14ac:dyDescent="0.25">
      <c r="A2292" t="s">
        <v>5132</v>
      </c>
      <c r="B2292" t="s">
        <v>5132</v>
      </c>
      <c r="C2292" t="s">
        <v>346</v>
      </c>
      <c r="D2292" t="s">
        <v>347</v>
      </c>
      <c r="E2292">
        <v>2.10657E-4</v>
      </c>
      <c r="F2292" t="s">
        <v>233</v>
      </c>
      <c r="G2292" t="s">
        <v>234</v>
      </c>
      <c r="H2292">
        <v>3</v>
      </c>
    </row>
    <row r="2293" spans="1:8" x14ac:dyDescent="0.25">
      <c r="A2293" t="s">
        <v>3843</v>
      </c>
      <c r="B2293" t="s">
        <v>3843</v>
      </c>
      <c r="C2293" t="s">
        <v>271</v>
      </c>
      <c r="D2293" t="s">
        <v>269</v>
      </c>
      <c r="E2293">
        <v>5.2359699999999999E-4</v>
      </c>
      <c r="F2293" t="s">
        <v>233</v>
      </c>
      <c r="G2293" t="s">
        <v>234</v>
      </c>
      <c r="H2293">
        <v>3</v>
      </c>
    </row>
    <row r="2294" spans="1:8" x14ac:dyDescent="0.25">
      <c r="A2294" t="s">
        <v>5133</v>
      </c>
      <c r="B2294" t="s">
        <v>5133</v>
      </c>
      <c r="C2294" t="s">
        <v>271</v>
      </c>
      <c r="D2294" t="s">
        <v>269</v>
      </c>
      <c r="E2294">
        <v>5.2359699999999999E-4</v>
      </c>
      <c r="F2294" t="s">
        <v>233</v>
      </c>
      <c r="G2294" t="s">
        <v>234</v>
      </c>
      <c r="H2294">
        <v>3</v>
      </c>
    </row>
    <row r="2295" spans="1:8" x14ac:dyDescent="0.25">
      <c r="A2295" t="s">
        <v>5134</v>
      </c>
      <c r="B2295" t="s">
        <v>5134</v>
      </c>
      <c r="C2295" t="s">
        <v>271</v>
      </c>
      <c r="D2295" t="s">
        <v>269</v>
      </c>
      <c r="E2295">
        <v>5.2359699999999999E-4</v>
      </c>
      <c r="F2295" t="s">
        <v>233</v>
      </c>
      <c r="G2295" t="s">
        <v>234</v>
      </c>
      <c r="H2295">
        <v>3</v>
      </c>
    </row>
    <row r="2296" spans="1:8" x14ac:dyDescent="0.25">
      <c r="A2296" t="s">
        <v>5135</v>
      </c>
      <c r="B2296" t="s">
        <v>5135</v>
      </c>
      <c r="C2296" t="s">
        <v>271</v>
      </c>
      <c r="D2296" t="s">
        <v>269</v>
      </c>
      <c r="E2296">
        <v>5.2359699999999999E-4</v>
      </c>
      <c r="F2296" t="s">
        <v>233</v>
      </c>
      <c r="G2296" t="s">
        <v>234</v>
      </c>
      <c r="H2296">
        <v>3</v>
      </c>
    </row>
    <row r="2297" spans="1:8" x14ac:dyDescent="0.25">
      <c r="A2297" t="s">
        <v>5136</v>
      </c>
      <c r="B2297" t="s">
        <v>5136</v>
      </c>
      <c r="C2297" t="s">
        <v>271</v>
      </c>
      <c r="D2297" t="s">
        <v>269</v>
      </c>
      <c r="E2297">
        <v>5.2359699999999999E-4</v>
      </c>
      <c r="F2297" t="s">
        <v>233</v>
      </c>
      <c r="G2297" t="s">
        <v>234</v>
      </c>
      <c r="H2297">
        <v>3</v>
      </c>
    </row>
    <row r="2298" spans="1:8" x14ac:dyDescent="0.25">
      <c r="A2298" t="s">
        <v>5137</v>
      </c>
      <c r="B2298" t="s">
        <v>5137</v>
      </c>
      <c r="C2298" t="s">
        <v>271</v>
      </c>
      <c r="D2298" t="s">
        <v>269</v>
      </c>
      <c r="E2298">
        <v>5.2359699999999999E-4</v>
      </c>
      <c r="F2298" t="s">
        <v>233</v>
      </c>
      <c r="G2298" t="s">
        <v>234</v>
      </c>
      <c r="H2298">
        <v>3</v>
      </c>
    </row>
    <row r="2299" spans="1:8" x14ac:dyDescent="0.25">
      <c r="A2299" t="s">
        <v>5138</v>
      </c>
      <c r="B2299" t="s">
        <v>5138</v>
      </c>
      <c r="C2299" t="s">
        <v>271</v>
      </c>
      <c r="D2299" t="s">
        <v>269</v>
      </c>
      <c r="E2299">
        <v>5.2359699999999999E-4</v>
      </c>
      <c r="F2299" t="s">
        <v>233</v>
      </c>
      <c r="G2299" t="s">
        <v>234</v>
      </c>
      <c r="H2299">
        <v>3</v>
      </c>
    </row>
    <row r="2300" spans="1:8" x14ac:dyDescent="0.25">
      <c r="A2300" t="s">
        <v>5139</v>
      </c>
      <c r="B2300" t="s">
        <v>5139</v>
      </c>
      <c r="C2300" t="s">
        <v>271</v>
      </c>
      <c r="D2300" t="s">
        <v>269</v>
      </c>
      <c r="E2300">
        <v>5.2359699999999999E-4</v>
      </c>
      <c r="F2300" t="s">
        <v>233</v>
      </c>
      <c r="G2300" t="s">
        <v>234</v>
      </c>
      <c r="H2300">
        <v>3</v>
      </c>
    </row>
    <row r="2301" spans="1:8" x14ac:dyDescent="0.25">
      <c r="A2301" t="s">
        <v>5140</v>
      </c>
      <c r="B2301" t="s">
        <v>5140</v>
      </c>
      <c r="C2301" t="s">
        <v>271</v>
      </c>
      <c r="D2301" t="s">
        <v>269</v>
      </c>
      <c r="E2301">
        <v>5.2359699999999999E-4</v>
      </c>
      <c r="F2301" t="s">
        <v>233</v>
      </c>
      <c r="G2301" t="s">
        <v>234</v>
      </c>
      <c r="H2301">
        <v>3</v>
      </c>
    </row>
    <row r="2302" spans="1:8" x14ac:dyDescent="0.25">
      <c r="A2302" t="s">
        <v>5141</v>
      </c>
      <c r="B2302" t="s">
        <v>5141</v>
      </c>
      <c r="C2302" t="s">
        <v>271</v>
      </c>
      <c r="D2302" t="s">
        <v>269</v>
      </c>
      <c r="E2302">
        <v>5.2359699999999999E-4</v>
      </c>
      <c r="F2302" t="s">
        <v>233</v>
      </c>
      <c r="G2302" t="s">
        <v>234</v>
      </c>
      <c r="H2302">
        <v>3</v>
      </c>
    </row>
    <row r="2303" spans="1:8" x14ac:dyDescent="0.25">
      <c r="A2303" t="s">
        <v>5142</v>
      </c>
      <c r="B2303" t="s">
        <v>5142</v>
      </c>
      <c r="C2303" t="s">
        <v>271</v>
      </c>
      <c r="D2303" t="s">
        <v>269</v>
      </c>
      <c r="E2303">
        <v>5.2359699999999999E-4</v>
      </c>
      <c r="F2303" t="s">
        <v>233</v>
      </c>
      <c r="G2303" t="s">
        <v>234</v>
      </c>
      <c r="H2303">
        <v>3</v>
      </c>
    </row>
    <row r="2304" spans="1:8" x14ac:dyDescent="0.25">
      <c r="A2304" t="s">
        <v>5143</v>
      </c>
      <c r="B2304" t="s">
        <v>5143</v>
      </c>
      <c r="C2304" t="s">
        <v>271</v>
      </c>
      <c r="D2304" t="s">
        <v>269</v>
      </c>
      <c r="E2304">
        <v>5.2359699999999999E-4</v>
      </c>
      <c r="F2304" t="s">
        <v>233</v>
      </c>
      <c r="G2304" t="s">
        <v>234</v>
      </c>
      <c r="H2304">
        <v>3</v>
      </c>
    </row>
    <row r="2305" spans="1:8" x14ac:dyDescent="0.25">
      <c r="A2305" t="s">
        <v>5144</v>
      </c>
      <c r="B2305" t="s">
        <v>5144</v>
      </c>
      <c r="C2305" t="s">
        <v>268</v>
      </c>
      <c r="D2305" t="s">
        <v>266</v>
      </c>
      <c r="E2305">
        <v>5.4511299999999996E-4</v>
      </c>
      <c r="F2305" t="s">
        <v>233</v>
      </c>
      <c r="G2305" t="s">
        <v>234</v>
      </c>
      <c r="H2305">
        <v>3</v>
      </c>
    </row>
    <row r="2306" spans="1:8" x14ac:dyDescent="0.25">
      <c r="A2306" t="s">
        <v>5145</v>
      </c>
      <c r="B2306" t="s">
        <v>5145</v>
      </c>
      <c r="C2306" t="s">
        <v>271</v>
      </c>
      <c r="D2306" t="s">
        <v>269</v>
      </c>
      <c r="E2306">
        <v>5.2359699999999999E-4</v>
      </c>
      <c r="F2306" t="s">
        <v>233</v>
      </c>
      <c r="G2306" t="s">
        <v>234</v>
      </c>
      <c r="H2306">
        <v>3</v>
      </c>
    </row>
    <row r="2307" spans="1:8" x14ac:dyDescent="0.25">
      <c r="A2307" t="s">
        <v>5146</v>
      </c>
      <c r="B2307" t="s">
        <v>5146</v>
      </c>
      <c r="C2307" t="s">
        <v>268</v>
      </c>
      <c r="D2307" t="s">
        <v>266</v>
      </c>
      <c r="E2307">
        <v>5.4511299999999996E-4</v>
      </c>
      <c r="F2307" t="s">
        <v>233</v>
      </c>
      <c r="G2307" t="s">
        <v>234</v>
      </c>
      <c r="H2307">
        <v>3</v>
      </c>
    </row>
    <row r="2308" spans="1:8" x14ac:dyDescent="0.25">
      <c r="A2308" t="s">
        <v>3844</v>
      </c>
      <c r="B2308" t="s">
        <v>3844</v>
      </c>
      <c r="C2308" t="s">
        <v>244</v>
      </c>
      <c r="D2308" t="s">
        <v>242</v>
      </c>
      <c r="E2308">
        <v>5.4284299999999999E-4</v>
      </c>
      <c r="F2308" t="s">
        <v>233</v>
      </c>
      <c r="G2308" t="s">
        <v>234</v>
      </c>
      <c r="H2308">
        <v>3</v>
      </c>
    </row>
    <row r="2309" spans="1:8" x14ac:dyDescent="0.25">
      <c r="A2309" t="s">
        <v>5147</v>
      </c>
      <c r="B2309" t="s">
        <v>5147</v>
      </c>
      <c r="C2309" t="s">
        <v>265</v>
      </c>
      <c r="D2309" t="s">
        <v>263</v>
      </c>
      <c r="E2309">
        <v>3.0449399999999999E-4</v>
      </c>
      <c r="F2309" t="s">
        <v>233</v>
      </c>
      <c r="G2309" t="s">
        <v>234</v>
      </c>
      <c r="H2309">
        <v>3</v>
      </c>
    </row>
    <row r="2310" spans="1:8" x14ac:dyDescent="0.25">
      <c r="A2310" t="s">
        <v>1214</v>
      </c>
      <c r="B2310" t="s">
        <v>1214</v>
      </c>
      <c r="C2310" t="s">
        <v>244</v>
      </c>
      <c r="D2310" t="s">
        <v>242</v>
      </c>
      <c r="E2310">
        <v>5.4284299999999999E-4</v>
      </c>
      <c r="F2310" t="s">
        <v>233</v>
      </c>
      <c r="G2310" t="s">
        <v>234</v>
      </c>
      <c r="H2310">
        <v>3</v>
      </c>
    </row>
    <row r="2311" spans="1:8" x14ac:dyDescent="0.25">
      <c r="A2311" t="s">
        <v>793</v>
      </c>
      <c r="B2311" t="s">
        <v>793</v>
      </c>
      <c r="C2311" t="s">
        <v>271</v>
      </c>
      <c r="D2311" t="s">
        <v>269</v>
      </c>
      <c r="E2311">
        <v>5.2359699999999999E-4</v>
      </c>
      <c r="F2311" t="s">
        <v>233</v>
      </c>
      <c r="G2311" t="s">
        <v>234</v>
      </c>
      <c r="H2311">
        <v>3</v>
      </c>
    </row>
    <row r="2312" spans="1:8" x14ac:dyDescent="0.25">
      <c r="A2312" t="s">
        <v>5148</v>
      </c>
      <c r="B2312" t="s">
        <v>5148</v>
      </c>
      <c r="C2312" t="s">
        <v>271</v>
      </c>
      <c r="D2312" t="s">
        <v>269</v>
      </c>
      <c r="E2312">
        <v>5.2359699999999999E-4</v>
      </c>
      <c r="F2312" t="s">
        <v>233</v>
      </c>
      <c r="G2312" t="s">
        <v>234</v>
      </c>
      <c r="H2312">
        <v>3</v>
      </c>
    </row>
    <row r="2313" spans="1:8" x14ac:dyDescent="0.25">
      <c r="A2313" t="s">
        <v>5149</v>
      </c>
      <c r="B2313" t="s">
        <v>5149</v>
      </c>
      <c r="C2313" t="s">
        <v>271</v>
      </c>
      <c r="D2313" t="s">
        <v>269</v>
      </c>
      <c r="E2313">
        <v>5.2359699999999999E-4</v>
      </c>
      <c r="F2313" t="s">
        <v>233</v>
      </c>
      <c r="G2313" t="s">
        <v>234</v>
      </c>
      <c r="H2313">
        <v>3</v>
      </c>
    </row>
    <row r="2314" spans="1:8" x14ac:dyDescent="0.25">
      <c r="A2314" t="s">
        <v>5150</v>
      </c>
      <c r="B2314" t="s">
        <v>5150</v>
      </c>
      <c r="C2314" t="s">
        <v>301</v>
      </c>
      <c r="D2314" t="s">
        <v>299</v>
      </c>
      <c r="E2314">
        <v>6.3590900000000004E-4</v>
      </c>
      <c r="F2314" t="s">
        <v>233</v>
      </c>
      <c r="G2314" t="s">
        <v>234</v>
      </c>
      <c r="H2314">
        <v>3</v>
      </c>
    </row>
    <row r="2315" spans="1:8" x14ac:dyDescent="0.25">
      <c r="A2315" t="s">
        <v>5151</v>
      </c>
      <c r="B2315" t="s">
        <v>5151</v>
      </c>
      <c r="C2315" t="s">
        <v>271</v>
      </c>
      <c r="D2315" t="s">
        <v>269</v>
      </c>
      <c r="E2315">
        <v>5.2359699999999999E-4</v>
      </c>
      <c r="F2315" t="s">
        <v>233</v>
      </c>
      <c r="G2315" t="s">
        <v>234</v>
      </c>
      <c r="H2315">
        <v>3</v>
      </c>
    </row>
    <row r="2316" spans="1:8" x14ac:dyDescent="0.25">
      <c r="A2316" t="s">
        <v>5152</v>
      </c>
      <c r="B2316" t="s">
        <v>5152</v>
      </c>
      <c r="C2316" t="s">
        <v>271</v>
      </c>
      <c r="D2316" t="s">
        <v>269</v>
      </c>
      <c r="E2316">
        <v>5.2359699999999999E-4</v>
      </c>
      <c r="F2316" t="s">
        <v>233</v>
      </c>
      <c r="G2316" t="s">
        <v>234</v>
      </c>
      <c r="H2316">
        <v>3</v>
      </c>
    </row>
    <row r="2317" spans="1:8" x14ac:dyDescent="0.25">
      <c r="A2317" t="s">
        <v>5153</v>
      </c>
      <c r="B2317" t="s">
        <v>5153</v>
      </c>
      <c r="C2317" t="s">
        <v>271</v>
      </c>
      <c r="D2317" t="s">
        <v>269</v>
      </c>
      <c r="E2317">
        <v>5.2359699999999999E-4</v>
      </c>
      <c r="F2317" t="s">
        <v>233</v>
      </c>
      <c r="G2317" t="s">
        <v>234</v>
      </c>
      <c r="H2317">
        <v>3</v>
      </c>
    </row>
    <row r="2318" spans="1:8" x14ac:dyDescent="0.25">
      <c r="A2318" t="s">
        <v>5154</v>
      </c>
      <c r="B2318" t="s">
        <v>5154</v>
      </c>
      <c r="C2318" t="s">
        <v>301</v>
      </c>
      <c r="D2318" t="s">
        <v>299</v>
      </c>
      <c r="E2318">
        <v>6.3590900000000004E-4</v>
      </c>
      <c r="F2318" t="s">
        <v>233</v>
      </c>
      <c r="G2318" t="s">
        <v>234</v>
      </c>
      <c r="H2318">
        <v>3</v>
      </c>
    </row>
    <row r="2319" spans="1:8" x14ac:dyDescent="0.25">
      <c r="A2319" t="s">
        <v>5155</v>
      </c>
      <c r="B2319" t="s">
        <v>5155</v>
      </c>
      <c r="C2319" t="s">
        <v>271</v>
      </c>
      <c r="D2319" t="s">
        <v>269</v>
      </c>
      <c r="E2319">
        <v>5.2359699999999999E-4</v>
      </c>
      <c r="F2319" t="s">
        <v>233</v>
      </c>
      <c r="G2319" t="s">
        <v>234</v>
      </c>
      <c r="H2319">
        <v>3</v>
      </c>
    </row>
    <row r="2320" spans="1:8" x14ac:dyDescent="0.25">
      <c r="A2320" t="s">
        <v>5156</v>
      </c>
      <c r="B2320" t="s">
        <v>5156</v>
      </c>
      <c r="C2320" t="s">
        <v>271</v>
      </c>
      <c r="D2320" t="s">
        <v>269</v>
      </c>
      <c r="E2320">
        <v>5.2359699999999999E-4</v>
      </c>
      <c r="F2320" t="s">
        <v>233</v>
      </c>
      <c r="G2320" t="s">
        <v>234</v>
      </c>
      <c r="H2320">
        <v>3</v>
      </c>
    </row>
    <row r="2321" spans="1:8" x14ac:dyDescent="0.25">
      <c r="A2321" t="s">
        <v>5157</v>
      </c>
      <c r="B2321" t="s">
        <v>5157</v>
      </c>
      <c r="C2321" t="s">
        <v>271</v>
      </c>
      <c r="D2321" t="s">
        <v>269</v>
      </c>
      <c r="E2321">
        <v>5.2359699999999999E-4</v>
      </c>
      <c r="F2321" t="s">
        <v>233</v>
      </c>
      <c r="G2321" t="s">
        <v>234</v>
      </c>
      <c r="H2321">
        <v>3</v>
      </c>
    </row>
    <row r="2322" spans="1:8" x14ac:dyDescent="0.25">
      <c r="A2322" t="s">
        <v>5158</v>
      </c>
      <c r="B2322" t="s">
        <v>5158</v>
      </c>
      <c r="C2322" t="s">
        <v>271</v>
      </c>
      <c r="D2322" t="s">
        <v>269</v>
      </c>
      <c r="E2322">
        <v>5.2359699999999999E-4</v>
      </c>
      <c r="F2322" t="s">
        <v>233</v>
      </c>
      <c r="G2322" t="s">
        <v>234</v>
      </c>
      <c r="H2322">
        <v>3</v>
      </c>
    </row>
    <row r="2323" spans="1:8" x14ac:dyDescent="0.25">
      <c r="A2323" t="s">
        <v>5159</v>
      </c>
      <c r="B2323" t="s">
        <v>5159</v>
      </c>
      <c r="C2323" t="s">
        <v>265</v>
      </c>
      <c r="D2323" t="s">
        <v>263</v>
      </c>
      <c r="E2323">
        <v>3.0449399999999999E-4</v>
      </c>
      <c r="F2323" t="s">
        <v>233</v>
      </c>
      <c r="G2323" t="s">
        <v>234</v>
      </c>
      <c r="H2323">
        <v>3</v>
      </c>
    </row>
    <row r="2324" spans="1:8" x14ac:dyDescent="0.25">
      <c r="A2324" t="s">
        <v>5160</v>
      </c>
      <c r="B2324" t="s">
        <v>5160</v>
      </c>
      <c r="C2324" t="s">
        <v>271</v>
      </c>
      <c r="D2324" t="s">
        <v>269</v>
      </c>
      <c r="E2324">
        <v>5.2359699999999999E-4</v>
      </c>
      <c r="F2324" t="s">
        <v>233</v>
      </c>
      <c r="G2324" t="s">
        <v>234</v>
      </c>
      <c r="H2324">
        <v>3</v>
      </c>
    </row>
    <row r="2325" spans="1:8" x14ac:dyDescent="0.25">
      <c r="A2325" t="s">
        <v>5161</v>
      </c>
      <c r="B2325" t="s">
        <v>5161</v>
      </c>
      <c r="C2325" t="s">
        <v>271</v>
      </c>
      <c r="D2325" t="s">
        <v>269</v>
      </c>
      <c r="E2325">
        <v>5.2359699999999999E-4</v>
      </c>
      <c r="F2325" t="s">
        <v>233</v>
      </c>
      <c r="G2325" t="s">
        <v>234</v>
      </c>
      <c r="H2325">
        <v>3</v>
      </c>
    </row>
    <row r="2326" spans="1:8" x14ac:dyDescent="0.25">
      <c r="A2326" t="s">
        <v>5162</v>
      </c>
      <c r="B2326" t="s">
        <v>5162</v>
      </c>
      <c r="C2326" t="s">
        <v>271</v>
      </c>
      <c r="D2326" t="s">
        <v>269</v>
      </c>
      <c r="E2326">
        <v>5.2359699999999999E-4</v>
      </c>
      <c r="F2326" t="s">
        <v>233</v>
      </c>
      <c r="G2326" t="s">
        <v>234</v>
      </c>
      <c r="H2326">
        <v>3</v>
      </c>
    </row>
    <row r="2327" spans="1:8" x14ac:dyDescent="0.25">
      <c r="A2327" t="s">
        <v>5163</v>
      </c>
      <c r="B2327" t="s">
        <v>5163</v>
      </c>
      <c r="C2327" t="s">
        <v>271</v>
      </c>
      <c r="D2327" t="s">
        <v>269</v>
      </c>
      <c r="E2327">
        <v>5.2359699999999999E-4</v>
      </c>
      <c r="F2327" t="s">
        <v>233</v>
      </c>
      <c r="G2327" t="s">
        <v>234</v>
      </c>
      <c r="H2327">
        <v>3</v>
      </c>
    </row>
    <row r="2328" spans="1:8" x14ac:dyDescent="0.25">
      <c r="A2328" t="s">
        <v>5164</v>
      </c>
      <c r="B2328" t="s">
        <v>5164</v>
      </c>
      <c r="C2328" t="s">
        <v>271</v>
      </c>
      <c r="D2328" t="s">
        <v>269</v>
      </c>
      <c r="E2328">
        <v>5.2359699999999999E-4</v>
      </c>
      <c r="F2328" t="s">
        <v>233</v>
      </c>
      <c r="G2328" t="s">
        <v>234</v>
      </c>
      <c r="H2328">
        <v>3</v>
      </c>
    </row>
    <row r="2329" spans="1:8" x14ac:dyDescent="0.25">
      <c r="A2329" t="s">
        <v>5165</v>
      </c>
      <c r="B2329" t="s">
        <v>5165</v>
      </c>
      <c r="C2329" t="s">
        <v>271</v>
      </c>
      <c r="D2329" t="s">
        <v>269</v>
      </c>
      <c r="E2329">
        <v>5.2359699999999999E-4</v>
      </c>
      <c r="F2329" t="s">
        <v>233</v>
      </c>
      <c r="G2329" t="s">
        <v>234</v>
      </c>
      <c r="H2329">
        <v>3</v>
      </c>
    </row>
    <row r="2330" spans="1:8" x14ac:dyDescent="0.25">
      <c r="A2330" t="s">
        <v>5166</v>
      </c>
      <c r="B2330" t="s">
        <v>5166</v>
      </c>
      <c r="C2330" t="s">
        <v>271</v>
      </c>
      <c r="D2330" t="s">
        <v>269</v>
      </c>
      <c r="E2330">
        <v>5.2359699999999999E-4</v>
      </c>
      <c r="F2330" t="s">
        <v>233</v>
      </c>
      <c r="G2330" t="s">
        <v>234</v>
      </c>
      <c r="H2330">
        <v>3</v>
      </c>
    </row>
    <row r="2331" spans="1:8" x14ac:dyDescent="0.25">
      <c r="A2331" t="s">
        <v>5167</v>
      </c>
      <c r="B2331" t="s">
        <v>5167</v>
      </c>
      <c r="C2331" t="s">
        <v>271</v>
      </c>
      <c r="D2331" t="s">
        <v>269</v>
      </c>
      <c r="E2331">
        <v>5.2359699999999999E-4</v>
      </c>
      <c r="F2331" t="s">
        <v>233</v>
      </c>
      <c r="G2331" t="s">
        <v>234</v>
      </c>
      <c r="H2331">
        <v>3</v>
      </c>
    </row>
    <row r="2332" spans="1:8" x14ac:dyDescent="0.25">
      <c r="A2332" t="s">
        <v>5168</v>
      </c>
      <c r="B2332" t="s">
        <v>5168</v>
      </c>
      <c r="C2332" t="s">
        <v>271</v>
      </c>
      <c r="D2332" t="s">
        <v>269</v>
      </c>
      <c r="E2332">
        <v>5.2359699999999999E-4</v>
      </c>
      <c r="F2332" t="s">
        <v>233</v>
      </c>
      <c r="G2332" t="s">
        <v>234</v>
      </c>
      <c r="H2332">
        <v>3</v>
      </c>
    </row>
    <row r="2333" spans="1:8" x14ac:dyDescent="0.25">
      <c r="A2333" t="s">
        <v>5169</v>
      </c>
      <c r="B2333" t="s">
        <v>5169</v>
      </c>
      <c r="C2333" t="s">
        <v>407</v>
      </c>
      <c r="D2333" t="s">
        <v>408</v>
      </c>
      <c r="E2333">
        <v>1.6713599999999999E-4</v>
      </c>
      <c r="F2333" t="s">
        <v>233</v>
      </c>
      <c r="G2333" t="s">
        <v>234</v>
      </c>
      <c r="H2333">
        <v>3</v>
      </c>
    </row>
    <row r="2334" spans="1:8" x14ac:dyDescent="0.25">
      <c r="A2334" t="s">
        <v>5170</v>
      </c>
      <c r="B2334" t="s">
        <v>5170</v>
      </c>
      <c r="C2334" t="s">
        <v>271</v>
      </c>
      <c r="D2334" t="s">
        <v>269</v>
      </c>
      <c r="E2334">
        <v>5.2359699999999999E-4</v>
      </c>
      <c r="F2334" t="s">
        <v>233</v>
      </c>
      <c r="G2334" t="s">
        <v>234</v>
      </c>
      <c r="H2334">
        <v>3</v>
      </c>
    </row>
    <row r="2335" spans="1:8" x14ac:dyDescent="0.25">
      <c r="A2335" t="s">
        <v>5171</v>
      </c>
      <c r="B2335" t="s">
        <v>5171</v>
      </c>
      <c r="C2335" t="s">
        <v>301</v>
      </c>
      <c r="D2335" t="s">
        <v>299</v>
      </c>
      <c r="E2335">
        <v>6.3590900000000004E-4</v>
      </c>
      <c r="F2335" t="s">
        <v>233</v>
      </c>
      <c r="G2335" t="s">
        <v>234</v>
      </c>
      <c r="H2335">
        <v>3</v>
      </c>
    </row>
    <row r="2336" spans="1:8" x14ac:dyDescent="0.25">
      <c r="A2336" t="s">
        <v>5172</v>
      </c>
      <c r="B2336" t="s">
        <v>5172</v>
      </c>
      <c r="C2336" t="s">
        <v>301</v>
      </c>
      <c r="D2336" t="s">
        <v>299</v>
      </c>
      <c r="E2336">
        <v>6.3590900000000004E-4</v>
      </c>
      <c r="F2336" t="s">
        <v>233</v>
      </c>
      <c r="G2336" t="s">
        <v>234</v>
      </c>
      <c r="H2336">
        <v>3</v>
      </c>
    </row>
    <row r="2337" spans="1:8" x14ac:dyDescent="0.25">
      <c r="A2337" t="s">
        <v>5173</v>
      </c>
      <c r="B2337" t="s">
        <v>5173</v>
      </c>
      <c r="C2337" t="s">
        <v>265</v>
      </c>
      <c r="D2337" t="s">
        <v>263</v>
      </c>
      <c r="E2337">
        <v>3.0449399999999999E-4</v>
      </c>
      <c r="F2337" t="s">
        <v>233</v>
      </c>
      <c r="G2337" t="s">
        <v>234</v>
      </c>
      <c r="H2337">
        <v>3</v>
      </c>
    </row>
    <row r="2338" spans="1:8" x14ac:dyDescent="0.25">
      <c r="A2338" t="s">
        <v>5174</v>
      </c>
      <c r="B2338" t="s">
        <v>5174</v>
      </c>
      <c r="C2338" t="s">
        <v>271</v>
      </c>
      <c r="D2338" t="s">
        <v>269</v>
      </c>
      <c r="E2338">
        <v>5.2359699999999999E-4</v>
      </c>
      <c r="F2338" t="s">
        <v>233</v>
      </c>
      <c r="G2338" t="s">
        <v>234</v>
      </c>
      <c r="H2338">
        <v>3</v>
      </c>
    </row>
    <row r="2339" spans="1:8" x14ac:dyDescent="0.25">
      <c r="A2339" t="s">
        <v>5175</v>
      </c>
      <c r="B2339" t="s">
        <v>5175</v>
      </c>
      <c r="C2339" t="s">
        <v>301</v>
      </c>
      <c r="D2339" t="s">
        <v>299</v>
      </c>
      <c r="E2339">
        <v>6.3590900000000004E-4</v>
      </c>
      <c r="F2339" t="s">
        <v>233</v>
      </c>
      <c r="G2339" t="s">
        <v>234</v>
      </c>
      <c r="H2339">
        <v>3</v>
      </c>
    </row>
    <row r="2340" spans="1:8" x14ac:dyDescent="0.25">
      <c r="A2340" t="s">
        <v>5176</v>
      </c>
      <c r="B2340" t="s">
        <v>5176</v>
      </c>
      <c r="C2340" t="s">
        <v>265</v>
      </c>
      <c r="D2340" t="s">
        <v>263</v>
      </c>
      <c r="E2340">
        <v>3.0449399999999999E-4</v>
      </c>
      <c r="F2340" t="s">
        <v>233</v>
      </c>
      <c r="G2340" t="s">
        <v>234</v>
      </c>
      <c r="H2340">
        <v>3</v>
      </c>
    </row>
    <row r="2341" spans="1:8" x14ac:dyDescent="0.25">
      <c r="A2341" t="s">
        <v>3851</v>
      </c>
      <c r="B2341" t="s">
        <v>3851</v>
      </c>
      <c r="C2341" t="s">
        <v>244</v>
      </c>
      <c r="D2341" t="s">
        <v>242</v>
      </c>
      <c r="E2341">
        <v>5.4284299999999999E-4</v>
      </c>
      <c r="F2341" t="s">
        <v>233</v>
      </c>
      <c r="G2341" t="s">
        <v>234</v>
      </c>
      <c r="H2341">
        <v>3</v>
      </c>
    </row>
    <row r="2342" spans="1:8" x14ac:dyDescent="0.25">
      <c r="A2342" t="s">
        <v>5177</v>
      </c>
      <c r="B2342" t="s">
        <v>5177</v>
      </c>
      <c r="C2342" t="s">
        <v>271</v>
      </c>
      <c r="D2342" t="s">
        <v>269</v>
      </c>
      <c r="E2342">
        <v>5.2359699999999999E-4</v>
      </c>
      <c r="F2342" t="s">
        <v>233</v>
      </c>
      <c r="G2342" t="s">
        <v>234</v>
      </c>
      <c r="H2342">
        <v>3</v>
      </c>
    </row>
    <row r="2343" spans="1:8" x14ac:dyDescent="0.25">
      <c r="A2343" t="s">
        <v>5178</v>
      </c>
      <c r="B2343" t="s">
        <v>5178</v>
      </c>
      <c r="C2343" t="s">
        <v>271</v>
      </c>
      <c r="D2343" t="s">
        <v>269</v>
      </c>
      <c r="E2343">
        <v>5.2359699999999999E-4</v>
      </c>
      <c r="F2343" t="s">
        <v>233</v>
      </c>
      <c r="G2343" t="s">
        <v>234</v>
      </c>
      <c r="H2343">
        <v>3</v>
      </c>
    </row>
    <row r="2344" spans="1:8" x14ac:dyDescent="0.25">
      <c r="A2344" t="s">
        <v>5179</v>
      </c>
      <c r="B2344" t="s">
        <v>5179</v>
      </c>
      <c r="C2344" t="s">
        <v>271</v>
      </c>
      <c r="D2344" t="s">
        <v>269</v>
      </c>
      <c r="E2344">
        <v>5.2359699999999999E-4</v>
      </c>
      <c r="F2344" t="s">
        <v>233</v>
      </c>
      <c r="G2344" t="s">
        <v>234</v>
      </c>
      <c r="H2344">
        <v>3</v>
      </c>
    </row>
    <row r="2345" spans="1:8" x14ac:dyDescent="0.25">
      <c r="A2345" t="s">
        <v>5180</v>
      </c>
      <c r="B2345" t="s">
        <v>5180</v>
      </c>
      <c r="C2345" t="s">
        <v>271</v>
      </c>
      <c r="D2345" t="s">
        <v>269</v>
      </c>
      <c r="E2345">
        <v>5.2359699999999999E-4</v>
      </c>
      <c r="F2345" t="s">
        <v>233</v>
      </c>
      <c r="G2345" t="s">
        <v>234</v>
      </c>
      <c r="H2345">
        <v>3</v>
      </c>
    </row>
    <row r="2346" spans="1:8" x14ac:dyDescent="0.25">
      <c r="A2346" t="s">
        <v>5181</v>
      </c>
      <c r="B2346" t="s">
        <v>5181</v>
      </c>
      <c r="C2346" t="s">
        <v>271</v>
      </c>
      <c r="D2346" t="s">
        <v>269</v>
      </c>
      <c r="E2346">
        <v>5.2359699999999999E-4</v>
      </c>
      <c r="F2346" t="s">
        <v>233</v>
      </c>
      <c r="G2346" t="s">
        <v>234</v>
      </c>
      <c r="H2346">
        <v>3</v>
      </c>
    </row>
    <row r="2347" spans="1:8" x14ac:dyDescent="0.25">
      <c r="A2347" t="s">
        <v>5182</v>
      </c>
      <c r="B2347" t="s">
        <v>5182</v>
      </c>
      <c r="C2347" t="s">
        <v>268</v>
      </c>
      <c r="D2347" t="s">
        <v>266</v>
      </c>
      <c r="E2347">
        <v>5.4511299999999996E-4</v>
      </c>
      <c r="F2347" t="s">
        <v>233</v>
      </c>
      <c r="G2347" t="s">
        <v>234</v>
      </c>
      <c r="H2347">
        <v>3</v>
      </c>
    </row>
    <row r="2348" spans="1:8" x14ac:dyDescent="0.25">
      <c r="A2348" t="s">
        <v>5183</v>
      </c>
      <c r="B2348" t="s">
        <v>5183</v>
      </c>
      <c r="C2348" t="s">
        <v>268</v>
      </c>
      <c r="D2348" t="s">
        <v>266</v>
      </c>
      <c r="E2348">
        <v>5.4511299999999996E-4</v>
      </c>
      <c r="F2348" t="s">
        <v>233</v>
      </c>
      <c r="G2348" t="s">
        <v>234</v>
      </c>
      <c r="H2348">
        <v>3</v>
      </c>
    </row>
    <row r="2349" spans="1:8" x14ac:dyDescent="0.25">
      <c r="A2349" t="s">
        <v>1145</v>
      </c>
      <c r="B2349" t="s">
        <v>1145</v>
      </c>
      <c r="C2349" t="s">
        <v>271</v>
      </c>
      <c r="D2349" t="s">
        <v>269</v>
      </c>
      <c r="E2349">
        <v>5.2359699999999999E-4</v>
      </c>
      <c r="F2349" t="s">
        <v>233</v>
      </c>
      <c r="G2349" t="s">
        <v>234</v>
      </c>
      <c r="H2349">
        <v>3</v>
      </c>
    </row>
    <row r="2350" spans="1:8" x14ac:dyDescent="0.25">
      <c r="A2350" t="s">
        <v>5184</v>
      </c>
      <c r="B2350" t="s">
        <v>5184</v>
      </c>
      <c r="C2350" t="s">
        <v>271</v>
      </c>
      <c r="D2350" t="s">
        <v>269</v>
      </c>
      <c r="E2350">
        <v>5.2359699999999999E-4</v>
      </c>
      <c r="F2350" t="s">
        <v>233</v>
      </c>
      <c r="G2350" t="s">
        <v>234</v>
      </c>
      <c r="H2350">
        <v>3</v>
      </c>
    </row>
    <row r="2351" spans="1:8" x14ac:dyDescent="0.25">
      <c r="A2351" t="s">
        <v>5185</v>
      </c>
      <c r="B2351" t="s">
        <v>5185</v>
      </c>
      <c r="C2351" t="s">
        <v>268</v>
      </c>
      <c r="D2351" t="s">
        <v>266</v>
      </c>
      <c r="E2351">
        <v>5.4511299999999996E-4</v>
      </c>
      <c r="F2351" t="s">
        <v>233</v>
      </c>
      <c r="G2351" t="s">
        <v>234</v>
      </c>
      <c r="H2351">
        <v>3</v>
      </c>
    </row>
    <row r="2352" spans="1:8" x14ac:dyDescent="0.25">
      <c r="A2352" t="s">
        <v>3853</v>
      </c>
      <c r="B2352" t="s">
        <v>3853</v>
      </c>
      <c r="C2352" t="s">
        <v>256</v>
      </c>
      <c r="D2352" t="s">
        <v>254</v>
      </c>
      <c r="E2352">
        <v>8.1312799999999998E-4</v>
      </c>
      <c r="F2352" t="s">
        <v>233</v>
      </c>
      <c r="G2352" t="s">
        <v>234</v>
      </c>
      <c r="H2352">
        <v>3</v>
      </c>
    </row>
    <row r="2353" spans="1:8" x14ac:dyDescent="0.25">
      <c r="A2353" t="s">
        <v>5186</v>
      </c>
      <c r="B2353" t="s">
        <v>5186</v>
      </c>
      <c r="C2353" t="s">
        <v>271</v>
      </c>
      <c r="D2353" t="s">
        <v>269</v>
      </c>
      <c r="E2353">
        <v>5.2359699999999999E-4</v>
      </c>
      <c r="F2353" t="s">
        <v>233</v>
      </c>
      <c r="G2353" t="s">
        <v>234</v>
      </c>
      <c r="H2353">
        <v>3</v>
      </c>
    </row>
    <row r="2354" spans="1:8" x14ac:dyDescent="0.25">
      <c r="A2354" t="s">
        <v>5187</v>
      </c>
      <c r="B2354" t="s">
        <v>5187</v>
      </c>
      <c r="C2354" t="s">
        <v>265</v>
      </c>
      <c r="D2354" t="s">
        <v>263</v>
      </c>
      <c r="E2354">
        <v>3.0449399999999999E-4</v>
      </c>
      <c r="F2354" t="s">
        <v>233</v>
      </c>
      <c r="G2354" t="s">
        <v>234</v>
      </c>
      <c r="H2354">
        <v>3</v>
      </c>
    </row>
    <row r="2355" spans="1:8" x14ac:dyDescent="0.25">
      <c r="A2355" t="s">
        <v>5188</v>
      </c>
      <c r="B2355" t="s">
        <v>5188</v>
      </c>
      <c r="C2355" t="s">
        <v>265</v>
      </c>
      <c r="D2355" t="s">
        <v>263</v>
      </c>
      <c r="E2355">
        <v>3.0449399999999999E-4</v>
      </c>
      <c r="F2355" t="s">
        <v>233</v>
      </c>
      <c r="G2355" t="s">
        <v>234</v>
      </c>
      <c r="H2355">
        <v>3</v>
      </c>
    </row>
    <row r="2356" spans="1:8" x14ac:dyDescent="0.25">
      <c r="A2356" t="s">
        <v>5189</v>
      </c>
      <c r="B2356" t="s">
        <v>5189</v>
      </c>
      <c r="C2356" t="s">
        <v>256</v>
      </c>
      <c r="D2356" t="s">
        <v>254</v>
      </c>
      <c r="E2356">
        <v>8.1312799999999998E-4</v>
      </c>
      <c r="F2356" t="s">
        <v>233</v>
      </c>
      <c r="G2356" t="s">
        <v>234</v>
      </c>
      <c r="H2356">
        <v>3</v>
      </c>
    </row>
    <row r="2357" spans="1:8" x14ac:dyDescent="0.25">
      <c r="A2357" t="s">
        <v>5190</v>
      </c>
      <c r="B2357" t="s">
        <v>5190</v>
      </c>
      <c r="C2357" t="s">
        <v>271</v>
      </c>
      <c r="D2357" t="s">
        <v>269</v>
      </c>
      <c r="E2357">
        <v>5.2359699999999999E-4</v>
      </c>
      <c r="F2357" t="s">
        <v>233</v>
      </c>
      <c r="G2357" t="s">
        <v>234</v>
      </c>
      <c r="H2357">
        <v>3</v>
      </c>
    </row>
    <row r="2358" spans="1:8" x14ac:dyDescent="0.25">
      <c r="A2358" t="s">
        <v>5191</v>
      </c>
      <c r="B2358" t="s">
        <v>5191</v>
      </c>
      <c r="C2358" t="s">
        <v>271</v>
      </c>
      <c r="D2358" t="s">
        <v>269</v>
      </c>
      <c r="E2358">
        <v>5.2359699999999999E-4</v>
      </c>
      <c r="F2358" t="s">
        <v>233</v>
      </c>
      <c r="G2358" t="s">
        <v>234</v>
      </c>
      <c r="H2358">
        <v>3</v>
      </c>
    </row>
    <row r="2359" spans="1:8" x14ac:dyDescent="0.25">
      <c r="A2359" t="s">
        <v>5192</v>
      </c>
      <c r="B2359" t="s">
        <v>5192</v>
      </c>
      <c r="C2359" t="s">
        <v>244</v>
      </c>
      <c r="D2359" t="s">
        <v>242</v>
      </c>
      <c r="E2359">
        <v>5.4284299999999999E-4</v>
      </c>
      <c r="F2359" t="s">
        <v>233</v>
      </c>
      <c r="G2359" t="s">
        <v>234</v>
      </c>
      <c r="H2359">
        <v>3</v>
      </c>
    </row>
    <row r="2360" spans="1:8" x14ac:dyDescent="0.25">
      <c r="A2360" t="s">
        <v>5193</v>
      </c>
      <c r="B2360" t="s">
        <v>5193</v>
      </c>
      <c r="C2360" t="s">
        <v>301</v>
      </c>
      <c r="D2360" t="s">
        <v>299</v>
      </c>
      <c r="E2360">
        <v>6.3590900000000004E-4</v>
      </c>
      <c r="F2360" t="s">
        <v>233</v>
      </c>
      <c r="G2360" t="s">
        <v>234</v>
      </c>
      <c r="H2360">
        <v>3</v>
      </c>
    </row>
    <row r="2361" spans="1:8" x14ac:dyDescent="0.25">
      <c r="A2361" t="s">
        <v>5194</v>
      </c>
      <c r="B2361" t="s">
        <v>5194</v>
      </c>
      <c r="C2361" t="s">
        <v>271</v>
      </c>
      <c r="D2361" t="s">
        <v>269</v>
      </c>
      <c r="E2361">
        <v>5.2359699999999999E-4</v>
      </c>
      <c r="F2361" t="s">
        <v>233</v>
      </c>
      <c r="G2361" t="s">
        <v>234</v>
      </c>
      <c r="H2361">
        <v>3</v>
      </c>
    </row>
    <row r="2362" spans="1:8" x14ac:dyDescent="0.25">
      <c r="A2362" t="s">
        <v>1146</v>
      </c>
      <c r="B2362" t="s">
        <v>1146</v>
      </c>
      <c r="C2362" t="s">
        <v>271</v>
      </c>
      <c r="D2362" t="s">
        <v>269</v>
      </c>
      <c r="E2362">
        <v>5.2359699999999999E-4</v>
      </c>
      <c r="F2362" t="s">
        <v>233</v>
      </c>
      <c r="G2362" t="s">
        <v>234</v>
      </c>
      <c r="H2362">
        <v>3</v>
      </c>
    </row>
    <row r="2363" spans="1:8" x14ac:dyDescent="0.25">
      <c r="A2363" t="s">
        <v>1147</v>
      </c>
      <c r="B2363" t="s">
        <v>1147</v>
      </c>
      <c r="C2363" t="s">
        <v>271</v>
      </c>
      <c r="D2363" t="s">
        <v>269</v>
      </c>
      <c r="E2363">
        <v>5.2359699999999999E-4</v>
      </c>
      <c r="F2363" t="s">
        <v>233</v>
      </c>
      <c r="G2363" t="s">
        <v>234</v>
      </c>
      <c r="H2363">
        <v>3</v>
      </c>
    </row>
    <row r="2364" spans="1:8" x14ac:dyDescent="0.25">
      <c r="A2364" t="s">
        <v>1148</v>
      </c>
      <c r="B2364" t="s">
        <v>1148</v>
      </c>
      <c r="C2364" t="s">
        <v>271</v>
      </c>
      <c r="D2364" t="s">
        <v>269</v>
      </c>
      <c r="E2364">
        <v>5.2359699999999999E-4</v>
      </c>
      <c r="F2364" t="s">
        <v>233</v>
      </c>
      <c r="G2364" t="s">
        <v>234</v>
      </c>
      <c r="H2364">
        <v>3</v>
      </c>
    </row>
    <row r="2365" spans="1:8" x14ac:dyDescent="0.25">
      <c r="A2365" t="s">
        <v>579</v>
      </c>
      <c r="B2365" t="s">
        <v>579</v>
      </c>
      <c r="C2365" t="s">
        <v>271</v>
      </c>
      <c r="D2365" t="s">
        <v>269</v>
      </c>
      <c r="E2365">
        <v>5.2359699999999999E-4</v>
      </c>
      <c r="F2365" t="s">
        <v>233</v>
      </c>
      <c r="G2365" t="s">
        <v>234</v>
      </c>
      <c r="H2365">
        <v>3</v>
      </c>
    </row>
    <row r="2366" spans="1:8" x14ac:dyDescent="0.25">
      <c r="A2366" t="s">
        <v>1139</v>
      </c>
      <c r="B2366" t="s">
        <v>1139</v>
      </c>
      <c r="C2366" t="s">
        <v>271</v>
      </c>
      <c r="D2366" t="s">
        <v>269</v>
      </c>
      <c r="E2366">
        <v>5.2359699999999999E-4</v>
      </c>
      <c r="F2366" t="s">
        <v>233</v>
      </c>
      <c r="G2366" t="s">
        <v>234</v>
      </c>
      <c r="H2366">
        <v>3</v>
      </c>
    </row>
    <row r="2367" spans="1:8" x14ac:dyDescent="0.25">
      <c r="A2367" t="s">
        <v>5195</v>
      </c>
      <c r="B2367" t="s">
        <v>5195</v>
      </c>
      <c r="C2367" t="s">
        <v>271</v>
      </c>
      <c r="D2367" t="s">
        <v>269</v>
      </c>
      <c r="E2367">
        <v>5.2359699999999999E-4</v>
      </c>
      <c r="F2367" t="s">
        <v>233</v>
      </c>
      <c r="G2367" t="s">
        <v>234</v>
      </c>
      <c r="H2367">
        <v>3</v>
      </c>
    </row>
    <row r="2368" spans="1:8" x14ac:dyDescent="0.25">
      <c r="A2368" t="s">
        <v>5196</v>
      </c>
      <c r="B2368" t="s">
        <v>5196</v>
      </c>
      <c r="C2368" t="s">
        <v>271</v>
      </c>
      <c r="D2368" t="s">
        <v>269</v>
      </c>
      <c r="E2368">
        <v>5.2359699999999999E-4</v>
      </c>
      <c r="F2368" t="s">
        <v>233</v>
      </c>
      <c r="G2368" t="s">
        <v>234</v>
      </c>
      <c r="H2368">
        <v>3</v>
      </c>
    </row>
    <row r="2369" spans="1:8" x14ac:dyDescent="0.25">
      <c r="A2369" t="s">
        <v>1152</v>
      </c>
      <c r="B2369" t="s">
        <v>1152</v>
      </c>
      <c r="C2369" t="s">
        <v>271</v>
      </c>
      <c r="D2369" t="s">
        <v>269</v>
      </c>
      <c r="E2369">
        <v>5.2359699999999999E-4</v>
      </c>
      <c r="F2369" t="s">
        <v>233</v>
      </c>
      <c r="G2369" t="s">
        <v>234</v>
      </c>
      <c r="H2369">
        <v>3</v>
      </c>
    </row>
    <row r="2370" spans="1:8" x14ac:dyDescent="0.25">
      <c r="A2370" t="s">
        <v>1153</v>
      </c>
      <c r="B2370" t="s">
        <v>1153</v>
      </c>
      <c r="C2370" t="s">
        <v>271</v>
      </c>
      <c r="D2370" t="s">
        <v>269</v>
      </c>
      <c r="E2370">
        <v>5.2359699999999999E-4</v>
      </c>
      <c r="F2370" t="s">
        <v>233</v>
      </c>
      <c r="G2370" t="s">
        <v>234</v>
      </c>
      <c r="H2370">
        <v>3</v>
      </c>
    </row>
    <row r="2371" spans="1:8" x14ac:dyDescent="0.25">
      <c r="A2371" t="s">
        <v>546</v>
      </c>
      <c r="B2371" t="s">
        <v>546</v>
      </c>
      <c r="C2371" t="s">
        <v>271</v>
      </c>
      <c r="D2371" t="s">
        <v>269</v>
      </c>
      <c r="E2371">
        <v>5.2359699999999999E-4</v>
      </c>
      <c r="F2371" t="s">
        <v>233</v>
      </c>
      <c r="G2371" t="s">
        <v>234</v>
      </c>
      <c r="H2371">
        <v>3</v>
      </c>
    </row>
    <row r="2372" spans="1:8" x14ac:dyDescent="0.25">
      <c r="A2372" t="s">
        <v>5197</v>
      </c>
      <c r="B2372" t="s">
        <v>5197</v>
      </c>
      <c r="C2372" t="s">
        <v>301</v>
      </c>
      <c r="D2372" t="s">
        <v>299</v>
      </c>
      <c r="E2372">
        <v>6.3590900000000004E-4</v>
      </c>
      <c r="F2372" t="s">
        <v>233</v>
      </c>
      <c r="G2372" t="s">
        <v>234</v>
      </c>
      <c r="H2372">
        <v>3</v>
      </c>
    </row>
    <row r="2373" spans="1:8" x14ac:dyDescent="0.25">
      <c r="A2373" t="s">
        <v>5198</v>
      </c>
      <c r="B2373" t="s">
        <v>5198</v>
      </c>
      <c r="C2373" t="s">
        <v>283</v>
      </c>
      <c r="D2373" t="s">
        <v>281</v>
      </c>
      <c r="E2373">
        <v>5.4019300000000001E-4</v>
      </c>
      <c r="F2373" t="s">
        <v>233</v>
      </c>
      <c r="G2373" t="s">
        <v>234</v>
      </c>
      <c r="H2373">
        <v>3</v>
      </c>
    </row>
    <row r="2374" spans="1:8" x14ac:dyDescent="0.25">
      <c r="A2374" t="s">
        <v>5199</v>
      </c>
      <c r="B2374" t="s">
        <v>5199</v>
      </c>
      <c r="C2374" t="s">
        <v>250</v>
      </c>
      <c r="D2374" t="s">
        <v>248</v>
      </c>
      <c r="E2374">
        <v>4.3868599999999998E-4</v>
      </c>
      <c r="F2374" t="s">
        <v>233</v>
      </c>
      <c r="G2374" t="s">
        <v>234</v>
      </c>
      <c r="H2374">
        <v>3</v>
      </c>
    </row>
    <row r="2375" spans="1:8" x14ac:dyDescent="0.25">
      <c r="A2375" t="s">
        <v>1280</v>
      </c>
      <c r="B2375" t="s">
        <v>1280</v>
      </c>
      <c r="C2375" t="s">
        <v>250</v>
      </c>
      <c r="D2375" t="s">
        <v>248</v>
      </c>
      <c r="E2375">
        <v>4.3868599999999998E-4</v>
      </c>
      <c r="F2375" t="s">
        <v>233</v>
      </c>
      <c r="G2375" t="s">
        <v>234</v>
      </c>
      <c r="H2375">
        <v>3</v>
      </c>
    </row>
    <row r="2376" spans="1:8" x14ac:dyDescent="0.25">
      <c r="A2376" t="s">
        <v>3854</v>
      </c>
      <c r="B2376" t="s">
        <v>3854</v>
      </c>
      <c r="C2376" t="s">
        <v>265</v>
      </c>
      <c r="D2376" t="s">
        <v>263</v>
      </c>
      <c r="E2376">
        <v>3.0449399999999999E-4</v>
      </c>
      <c r="F2376" t="s">
        <v>233</v>
      </c>
      <c r="G2376" t="s">
        <v>234</v>
      </c>
      <c r="H2376">
        <v>3</v>
      </c>
    </row>
    <row r="2377" spans="1:8" x14ac:dyDescent="0.25">
      <c r="A2377" t="s">
        <v>3855</v>
      </c>
      <c r="B2377" t="s">
        <v>3855</v>
      </c>
      <c r="C2377" t="s">
        <v>265</v>
      </c>
      <c r="D2377" t="s">
        <v>263</v>
      </c>
      <c r="E2377">
        <v>3.0449399999999999E-4</v>
      </c>
      <c r="F2377" t="s">
        <v>233</v>
      </c>
      <c r="G2377" t="s">
        <v>234</v>
      </c>
      <c r="H2377">
        <v>3</v>
      </c>
    </row>
    <row r="2378" spans="1:8" x14ac:dyDescent="0.25">
      <c r="A2378" t="s">
        <v>5200</v>
      </c>
      <c r="B2378" t="s">
        <v>5200</v>
      </c>
      <c r="C2378" t="s">
        <v>265</v>
      </c>
      <c r="D2378" t="s">
        <v>263</v>
      </c>
      <c r="E2378">
        <v>3.0449399999999999E-4</v>
      </c>
      <c r="F2378" t="s">
        <v>233</v>
      </c>
      <c r="G2378" t="s">
        <v>234</v>
      </c>
      <c r="H2378">
        <v>3</v>
      </c>
    </row>
    <row r="2379" spans="1:8" x14ac:dyDescent="0.25">
      <c r="A2379" t="s">
        <v>5201</v>
      </c>
      <c r="B2379" t="s">
        <v>5201</v>
      </c>
      <c r="C2379" t="s">
        <v>265</v>
      </c>
      <c r="D2379" t="s">
        <v>263</v>
      </c>
      <c r="E2379">
        <v>3.0449399999999999E-4</v>
      </c>
      <c r="F2379" t="s">
        <v>233</v>
      </c>
      <c r="G2379" t="s">
        <v>234</v>
      </c>
      <c r="H2379">
        <v>3</v>
      </c>
    </row>
    <row r="2380" spans="1:8" x14ac:dyDescent="0.25">
      <c r="A2380" t="s">
        <v>5202</v>
      </c>
      <c r="B2380" t="s">
        <v>5202</v>
      </c>
      <c r="C2380" t="s">
        <v>265</v>
      </c>
      <c r="D2380" t="s">
        <v>263</v>
      </c>
      <c r="E2380">
        <v>3.0449399999999999E-4</v>
      </c>
      <c r="F2380" t="s">
        <v>233</v>
      </c>
      <c r="G2380" t="s">
        <v>234</v>
      </c>
      <c r="H2380">
        <v>3</v>
      </c>
    </row>
    <row r="2381" spans="1:8" x14ac:dyDescent="0.25">
      <c r="A2381" t="s">
        <v>1155</v>
      </c>
      <c r="B2381" t="s">
        <v>1155</v>
      </c>
      <c r="C2381" t="s">
        <v>244</v>
      </c>
      <c r="D2381" t="s">
        <v>242</v>
      </c>
      <c r="E2381">
        <v>5.4284299999999999E-4</v>
      </c>
      <c r="F2381" t="s">
        <v>233</v>
      </c>
      <c r="G2381" t="s">
        <v>234</v>
      </c>
      <c r="H2381">
        <v>3</v>
      </c>
    </row>
    <row r="2382" spans="1:8" x14ac:dyDescent="0.25">
      <c r="A2382" t="s">
        <v>1156</v>
      </c>
      <c r="B2382" t="s">
        <v>1156</v>
      </c>
      <c r="C2382" t="s">
        <v>244</v>
      </c>
      <c r="D2382" t="s">
        <v>242</v>
      </c>
      <c r="E2382">
        <v>5.4284299999999999E-4</v>
      </c>
      <c r="F2382" t="s">
        <v>233</v>
      </c>
      <c r="G2382" t="s">
        <v>234</v>
      </c>
      <c r="H2382">
        <v>3</v>
      </c>
    </row>
    <row r="2383" spans="1:8" x14ac:dyDescent="0.25">
      <c r="A2383" t="s">
        <v>5203</v>
      </c>
      <c r="B2383" t="s">
        <v>5203</v>
      </c>
      <c r="C2383" t="s">
        <v>265</v>
      </c>
      <c r="D2383" t="s">
        <v>263</v>
      </c>
      <c r="E2383">
        <v>3.0449399999999999E-4</v>
      </c>
      <c r="F2383" t="s">
        <v>233</v>
      </c>
      <c r="G2383" t="s">
        <v>234</v>
      </c>
      <c r="H2383">
        <v>3</v>
      </c>
    </row>
    <row r="2384" spans="1:8" x14ac:dyDescent="0.25">
      <c r="A2384" t="s">
        <v>5204</v>
      </c>
      <c r="B2384" t="s">
        <v>5204</v>
      </c>
      <c r="C2384" t="s">
        <v>295</v>
      </c>
      <c r="D2384" t="s">
        <v>293</v>
      </c>
      <c r="E2384">
        <v>4.8170899999999998E-4</v>
      </c>
      <c r="F2384" t="s">
        <v>233</v>
      </c>
      <c r="G2384" t="s">
        <v>234</v>
      </c>
      <c r="H2384">
        <v>3</v>
      </c>
    </row>
    <row r="2385" spans="1:8" x14ac:dyDescent="0.25">
      <c r="A2385" t="s">
        <v>5205</v>
      </c>
      <c r="B2385" t="s">
        <v>5205</v>
      </c>
      <c r="C2385" t="s">
        <v>271</v>
      </c>
      <c r="D2385" t="s">
        <v>269</v>
      </c>
      <c r="E2385">
        <v>5.2359699999999999E-4</v>
      </c>
      <c r="F2385" t="s">
        <v>233</v>
      </c>
      <c r="G2385" t="s">
        <v>234</v>
      </c>
      <c r="H2385">
        <v>3</v>
      </c>
    </row>
    <row r="2386" spans="1:8" x14ac:dyDescent="0.25">
      <c r="A2386" t="s">
        <v>5206</v>
      </c>
      <c r="B2386" t="s">
        <v>5206</v>
      </c>
      <c r="C2386" t="s">
        <v>301</v>
      </c>
      <c r="D2386" t="s">
        <v>299</v>
      </c>
      <c r="E2386">
        <v>6.3590900000000004E-4</v>
      </c>
      <c r="F2386" t="s">
        <v>233</v>
      </c>
      <c r="G2386" t="s">
        <v>234</v>
      </c>
      <c r="H2386">
        <v>3</v>
      </c>
    </row>
    <row r="2387" spans="1:8" x14ac:dyDescent="0.25">
      <c r="A2387" t="s">
        <v>5207</v>
      </c>
      <c r="B2387" t="s">
        <v>5207</v>
      </c>
      <c r="C2387" t="s">
        <v>301</v>
      </c>
      <c r="D2387" t="s">
        <v>299</v>
      </c>
      <c r="E2387">
        <v>6.3590900000000004E-4</v>
      </c>
      <c r="F2387" t="s">
        <v>233</v>
      </c>
      <c r="G2387" t="s">
        <v>234</v>
      </c>
      <c r="H2387">
        <v>3</v>
      </c>
    </row>
    <row r="2388" spans="1:8" x14ac:dyDescent="0.25">
      <c r="A2388" t="s">
        <v>5208</v>
      </c>
      <c r="B2388" t="s">
        <v>5208</v>
      </c>
      <c r="C2388" t="s">
        <v>271</v>
      </c>
      <c r="D2388" t="s">
        <v>269</v>
      </c>
      <c r="E2388">
        <v>5.2359699999999999E-4</v>
      </c>
      <c r="F2388" t="s">
        <v>233</v>
      </c>
      <c r="G2388" t="s">
        <v>234</v>
      </c>
      <c r="H2388">
        <v>3</v>
      </c>
    </row>
    <row r="2389" spans="1:8" x14ac:dyDescent="0.25">
      <c r="A2389" t="s">
        <v>5209</v>
      </c>
      <c r="B2389" t="s">
        <v>5209</v>
      </c>
      <c r="C2389" t="s">
        <v>265</v>
      </c>
      <c r="D2389" t="s">
        <v>263</v>
      </c>
      <c r="E2389">
        <v>3.0449399999999999E-4</v>
      </c>
      <c r="F2389" t="s">
        <v>233</v>
      </c>
      <c r="G2389" t="s">
        <v>234</v>
      </c>
      <c r="H2389">
        <v>3</v>
      </c>
    </row>
    <row r="2390" spans="1:8" x14ac:dyDescent="0.25">
      <c r="A2390" t="s">
        <v>1171</v>
      </c>
      <c r="B2390" t="s">
        <v>1171</v>
      </c>
      <c r="C2390" t="s">
        <v>271</v>
      </c>
      <c r="D2390" t="s">
        <v>269</v>
      </c>
      <c r="E2390">
        <v>5.2359699999999999E-4</v>
      </c>
      <c r="F2390" t="s">
        <v>233</v>
      </c>
      <c r="G2390" t="s">
        <v>234</v>
      </c>
      <c r="H2390">
        <v>3</v>
      </c>
    </row>
    <row r="2391" spans="1:8" x14ac:dyDescent="0.25">
      <c r="A2391" t="s">
        <v>1230</v>
      </c>
      <c r="B2391" t="s">
        <v>1230</v>
      </c>
      <c r="C2391" t="s">
        <v>271</v>
      </c>
      <c r="D2391" t="s">
        <v>269</v>
      </c>
      <c r="E2391">
        <v>5.2359699999999999E-4</v>
      </c>
      <c r="F2391" t="s">
        <v>233</v>
      </c>
      <c r="G2391" t="s">
        <v>234</v>
      </c>
      <c r="H2391">
        <v>3</v>
      </c>
    </row>
    <row r="2392" spans="1:8" x14ac:dyDescent="0.25">
      <c r="A2392" t="s">
        <v>1158</v>
      </c>
      <c r="B2392" t="s">
        <v>1158</v>
      </c>
      <c r="C2392" t="s">
        <v>271</v>
      </c>
      <c r="D2392" t="s">
        <v>269</v>
      </c>
      <c r="E2392">
        <v>5.2359699999999999E-4</v>
      </c>
      <c r="F2392" t="s">
        <v>233</v>
      </c>
      <c r="G2392" t="s">
        <v>234</v>
      </c>
      <c r="H2392">
        <v>3</v>
      </c>
    </row>
    <row r="2393" spans="1:8" x14ac:dyDescent="0.25">
      <c r="A2393" t="s">
        <v>1185</v>
      </c>
      <c r="B2393" t="s">
        <v>1185</v>
      </c>
      <c r="C2393" t="s">
        <v>271</v>
      </c>
      <c r="D2393" t="s">
        <v>269</v>
      </c>
      <c r="E2393">
        <v>5.2359699999999999E-4</v>
      </c>
      <c r="F2393" t="s">
        <v>233</v>
      </c>
      <c r="G2393" t="s">
        <v>234</v>
      </c>
      <c r="H2393">
        <v>3</v>
      </c>
    </row>
    <row r="2394" spans="1:8" x14ac:dyDescent="0.25">
      <c r="A2394" t="s">
        <v>1174</v>
      </c>
      <c r="B2394" t="s">
        <v>1174</v>
      </c>
      <c r="C2394" t="s">
        <v>271</v>
      </c>
      <c r="D2394" t="s">
        <v>269</v>
      </c>
      <c r="E2394">
        <v>5.2359699999999999E-4</v>
      </c>
      <c r="F2394" t="s">
        <v>233</v>
      </c>
      <c r="G2394" t="s">
        <v>234</v>
      </c>
      <c r="H2394">
        <v>3</v>
      </c>
    </row>
    <row r="2395" spans="1:8" x14ac:dyDescent="0.25">
      <c r="A2395" t="s">
        <v>581</v>
      </c>
      <c r="B2395" t="s">
        <v>581</v>
      </c>
      <c r="C2395" t="s">
        <v>271</v>
      </c>
      <c r="D2395" t="s">
        <v>269</v>
      </c>
      <c r="E2395">
        <v>5.2359699999999999E-4</v>
      </c>
      <c r="F2395" t="s">
        <v>233</v>
      </c>
      <c r="G2395" t="s">
        <v>234</v>
      </c>
      <c r="H2395">
        <v>3</v>
      </c>
    </row>
    <row r="2396" spans="1:8" x14ac:dyDescent="0.25">
      <c r="A2396" t="s">
        <v>1176</v>
      </c>
      <c r="B2396" t="s">
        <v>1176</v>
      </c>
      <c r="C2396" t="s">
        <v>271</v>
      </c>
      <c r="D2396" t="s">
        <v>269</v>
      </c>
      <c r="E2396">
        <v>5.2359699999999999E-4</v>
      </c>
      <c r="F2396" t="s">
        <v>233</v>
      </c>
      <c r="G2396" t="s">
        <v>234</v>
      </c>
      <c r="H2396">
        <v>3</v>
      </c>
    </row>
    <row r="2397" spans="1:8" x14ac:dyDescent="0.25">
      <c r="A2397" t="s">
        <v>557</v>
      </c>
      <c r="B2397" t="s">
        <v>557</v>
      </c>
      <c r="C2397" t="s">
        <v>271</v>
      </c>
      <c r="D2397" t="s">
        <v>269</v>
      </c>
      <c r="E2397">
        <v>5.2359699999999999E-4</v>
      </c>
      <c r="F2397" t="s">
        <v>233</v>
      </c>
      <c r="G2397" t="s">
        <v>234</v>
      </c>
      <c r="H2397">
        <v>3</v>
      </c>
    </row>
    <row r="2398" spans="1:8" x14ac:dyDescent="0.25">
      <c r="A2398" t="s">
        <v>1126</v>
      </c>
      <c r="B2398" t="s">
        <v>1126</v>
      </c>
      <c r="C2398" t="s">
        <v>271</v>
      </c>
      <c r="D2398" t="s">
        <v>269</v>
      </c>
      <c r="E2398">
        <v>5.2359699999999999E-4</v>
      </c>
      <c r="F2398" t="s">
        <v>233</v>
      </c>
      <c r="G2398" t="s">
        <v>234</v>
      </c>
      <c r="H2398">
        <v>3</v>
      </c>
    </row>
    <row r="2399" spans="1:8" x14ac:dyDescent="0.25">
      <c r="A2399" t="s">
        <v>534</v>
      </c>
      <c r="B2399" t="s">
        <v>534</v>
      </c>
      <c r="C2399" t="s">
        <v>271</v>
      </c>
      <c r="D2399" t="s">
        <v>269</v>
      </c>
      <c r="E2399">
        <v>5.2359699999999999E-4</v>
      </c>
      <c r="F2399" t="s">
        <v>233</v>
      </c>
      <c r="G2399" t="s">
        <v>234</v>
      </c>
      <c r="H2399">
        <v>3</v>
      </c>
    </row>
    <row r="2400" spans="1:8" x14ac:dyDescent="0.25">
      <c r="A2400" t="s">
        <v>5210</v>
      </c>
      <c r="B2400" t="s">
        <v>5210</v>
      </c>
      <c r="C2400" t="s">
        <v>271</v>
      </c>
      <c r="D2400" t="s">
        <v>269</v>
      </c>
      <c r="E2400">
        <v>5.2359699999999999E-4</v>
      </c>
      <c r="F2400" t="s">
        <v>233</v>
      </c>
      <c r="G2400" t="s">
        <v>234</v>
      </c>
      <c r="H2400">
        <v>3</v>
      </c>
    </row>
    <row r="2401" spans="1:8" x14ac:dyDescent="0.25">
      <c r="A2401" t="s">
        <v>1167</v>
      </c>
      <c r="B2401" t="s">
        <v>1167</v>
      </c>
      <c r="C2401" t="s">
        <v>271</v>
      </c>
      <c r="D2401" t="s">
        <v>269</v>
      </c>
      <c r="E2401">
        <v>5.2359699999999999E-4</v>
      </c>
      <c r="F2401" t="s">
        <v>233</v>
      </c>
      <c r="G2401" t="s">
        <v>234</v>
      </c>
      <c r="H2401">
        <v>3</v>
      </c>
    </row>
    <row r="2402" spans="1:8" x14ac:dyDescent="0.25">
      <c r="A2402" t="s">
        <v>1162</v>
      </c>
      <c r="B2402" t="s">
        <v>1162</v>
      </c>
      <c r="C2402" t="s">
        <v>271</v>
      </c>
      <c r="D2402" t="s">
        <v>269</v>
      </c>
      <c r="E2402">
        <v>5.2359699999999999E-4</v>
      </c>
      <c r="F2402" t="s">
        <v>233</v>
      </c>
      <c r="G2402" t="s">
        <v>234</v>
      </c>
      <c r="H2402">
        <v>3</v>
      </c>
    </row>
    <row r="2403" spans="1:8" x14ac:dyDescent="0.25">
      <c r="A2403" t="s">
        <v>1168</v>
      </c>
      <c r="B2403" t="s">
        <v>1168</v>
      </c>
      <c r="C2403" t="s">
        <v>271</v>
      </c>
      <c r="D2403" t="s">
        <v>269</v>
      </c>
      <c r="E2403">
        <v>5.2359699999999999E-4</v>
      </c>
      <c r="F2403" t="s">
        <v>233</v>
      </c>
      <c r="G2403" t="s">
        <v>234</v>
      </c>
      <c r="H2403">
        <v>3</v>
      </c>
    </row>
    <row r="2404" spans="1:8" x14ac:dyDescent="0.25">
      <c r="A2404" t="s">
        <v>1170</v>
      </c>
      <c r="B2404" t="s">
        <v>1170</v>
      </c>
      <c r="C2404" t="s">
        <v>271</v>
      </c>
      <c r="D2404" t="s">
        <v>269</v>
      </c>
      <c r="E2404">
        <v>5.2359699999999999E-4</v>
      </c>
      <c r="F2404" t="s">
        <v>233</v>
      </c>
      <c r="G2404" t="s">
        <v>234</v>
      </c>
      <c r="H2404">
        <v>3</v>
      </c>
    </row>
    <row r="2405" spans="1:8" x14ac:dyDescent="0.25">
      <c r="A2405" t="s">
        <v>578</v>
      </c>
      <c r="B2405" t="s">
        <v>578</v>
      </c>
      <c r="C2405" t="s">
        <v>271</v>
      </c>
      <c r="D2405" t="s">
        <v>269</v>
      </c>
      <c r="E2405">
        <v>5.2359699999999999E-4</v>
      </c>
      <c r="F2405" t="s">
        <v>233</v>
      </c>
      <c r="G2405" t="s">
        <v>234</v>
      </c>
      <c r="H2405">
        <v>3</v>
      </c>
    </row>
    <row r="2406" spans="1:8" x14ac:dyDescent="0.25">
      <c r="A2406" t="s">
        <v>1169</v>
      </c>
      <c r="B2406" t="s">
        <v>1169</v>
      </c>
      <c r="C2406" t="s">
        <v>271</v>
      </c>
      <c r="D2406" t="s">
        <v>269</v>
      </c>
      <c r="E2406">
        <v>5.2359699999999999E-4</v>
      </c>
      <c r="F2406" t="s">
        <v>233</v>
      </c>
      <c r="G2406" t="s">
        <v>234</v>
      </c>
      <c r="H2406">
        <v>3</v>
      </c>
    </row>
    <row r="2407" spans="1:8" x14ac:dyDescent="0.25">
      <c r="A2407" t="s">
        <v>1172</v>
      </c>
      <c r="B2407" t="s">
        <v>1172</v>
      </c>
      <c r="C2407" t="s">
        <v>271</v>
      </c>
      <c r="D2407" t="s">
        <v>269</v>
      </c>
      <c r="E2407">
        <v>5.2359699999999999E-4</v>
      </c>
      <c r="F2407" t="s">
        <v>233</v>
      </c>
      <c r="G2407" t="s">
        <v>234</v>
      </c>
      <c r="H2407">
        <v>3</v>
      </c>
    </row>
    <row r="2408" spans="1:8" x14ac:dyDescent="0.25">
      <c r="A2408" t="s">
        <v>5211</v>
      </c>
      <c r="B2408" t="s">
        <v>5211</v>
      </c>
      <c r="C2408" t="s">
        <v>301</v>
      </c>
      <c r="D2408" t="s">
        <v>299</v>
      </c>
      <c r="E2408">
        <v>6.3590900000000004E-4</v>
      </c>
      <c r="F2408" t="s">
        <v>233</v>
      </c>
      <c r="G2408" t="s">
        <v>234</v>
      </c>
      <c r="H2408">
        <v>3</v>
      </c>
    </row>
    <row r="2409" spans="1:8" x14ac:dyDescent="0.25">
      <c r="A2409" t="s">
        <v>5212</v>
      </c>
      <c r="B2409" t="s">
        <v>5212</v>
      </c>
      <c r="C2409" t="s">
        <v>301</v>
      </c>
      <c r="D2409" t="s">
        <v>299</v>
      </c>
      <c r="E2409">
        <v>6.3590900000000004E-4</v>
      </c>
      <c r="F2409" t="s">
        <v>233</v>
      </c>
      <c r="G2409" t="s">
        <v>234</v>
      </c>
      <c r="H2409">
        <v>3</v>
      </c>
    </row>
    <row r="2410" spans="1:8" x14ac:dyDescent="0.25">
      <c r="A2410" t="s">
        <v>5213</v>
      </c>
      <c r="B2410" t="s">
        <v>5213</v>
      </c>
      <c r="C2410" t="s">
        <v>268</v>
      </c>
      <c r="D2410" t="s">
        <v>266</v>
      </c>
      <c r="E2410">
        <v>5.4511299999999996E-4</v>
      </c>
      <c r="F2410" t="s">
        <v>233</v>
      </c>
      <c r="G2410" t="s">
        <v>234</v>
      </c>
      <c r="H2410">
        <v>3</v>
      </c>
    </row>
    <row r="2411" spans="1:8" x14ac:dyDescent="0.25">
      <c r="A2411" t="s">
        <v>3862</v>
      </c>
      <c r="B2411" t="s">
        <v>3862</v>
      </c>
      <c r="C2411" t="s">
        <v>256</v>
      </c>
      <c r="D2411" t="s">
        <v>254</v>
      </c>
      <c r="E2411">
        <v>8.1312799999999998E-4</v>
      </c>
      <c r="F2411" t="s">
        <v>233</v>
      </c>
      <c r="G2411" t="s">
        <v>234</v>
      </c>
      <c r="H2411">
        <v>3</v>
      </c>
    </row>
    <row r="2412" spans="1:8" x14ac:dyDescent="0.25">
      <c r="A2412" t="s">
        <v>5214</v>
      </c>
      <c r="B2412" t="s">
        <v>5214</v>
      </c>
      <c r="C2412" t="s">
        <v>295</v>
      </c>
      <c r="D2412" t="s">
        <v>293</v>
      </c>
      <c r="E2412">
        <v>4.8170899999999998E-4</v>
      </c>
      <c r="F2412" t="s">
        <v>233</v>
      </c>
      <c r="G2412" t="s">
        <v>234</v>
      </c>
      <c r="H2412">
        <v>3</v>
      </c>
    </row>
    <row r="2413" spans="1:8" x14ac:dyDescent="0.25">
      <c r="A2413" t="s">
        <v>5215</v>
      </c>
      <c r="B2413" t="s">
        <v>5215</v>
      </c>
      <c r="C2413" t="s">
        <v>265</v>
      </c>
      <c r="D2413" t="s">
        <v>263</v>
      </c>
      <c r="E2413">
        <v>3.0449399999999999E-4</v>
      </c>
      <c r="F2413" t="s">
        <v>233</v>
      </c>
      <c r="G2413" t="s">
        <v>234</v>
      </c>
      <c r="H2413">
        <v>3</v>
      </c>
    </row>
    <row r="2414" spans="1:8" x14ac:dyDescent="0.25">
      <c r="A2414" t="s">
        <v>1173</v>
      </c>
      <c r="B2414" t="s">
        <v>1173</v>
      </c>
      <c r="C2414" t="s">
        <v>271</v>
      </c>
      <c r="D2414" t="s">
        <v>269</v>
      </c>
      <c r="E2414">
        <v>5.2359699999999999E-4</v>
      </c>
      <c r="F2414" t="s">
        <v>233</v>
      </c>
      <c r="G2414" t="s">
        <v>234</v>
      </c>
      <c r="H2414">
        <v>3</v>
      </c>
    </row>
    <row r="2415" spans="1:8" x14ac:dyDescent="0.25">
      <c r="A2415" t="s">
        <v>5216</v>
      </c>
      <c r="B2415" t="s">
        <v>5216</v>
      </c>
      <c r="C2415" t="s">
        <v>256</v>
      </c>
      <c r="D2415" t="s">
        <v>254</v>
      </c>
      <c r="E2415">
        <v>8.1312799999999998E-4</v>
      </c>
      <c r="F2415" t="s">
        <v>233</v>
      </c>
      <c r="G2415" t="s">
        <v>234</v>
      </c>
      <c r="H2415">
        <v>3</v>
      </c>
    </row>
    <row r="2416" spans="1:8" x14ac:dyDescent="0.25">
      <c r="A2416" t="s">
        <v>5217</v>
      </c>
      <c r="B2416" t="s">
        <v>5217</v>
      </c>
      <c r="C2416" t="s">
        <v>271</v>
      </c>
      <c r="D2416" t="s">
        <v>269</v>
      </c>
      <c r="E2416">
        <v>5.2359699999999999E-4</v>
      </c>
      <c r="F2416" t="s">
        <v>233</v>
      </c>
      <c r="G2416" t="s">
        <v>234</v>
      </c>
      <c r="H2416">
        <v>3</v>
      </c>
    </row>
    <row r="2417" spans="1:8" x14ac:dyDescent="0.25">
      <c r="A2417" t="s">
        <v>5218</v>
      </c>
      <c r="B2417" t="s">
        <v>5218</v>
      </c>
      <c r="C2417" t="s">
        <v>271</v>
      </c>
      <c r="D2417" t="s">
        <v>269</v>
      </c>
      <c r="E2417">
        <v>5.2359699999999999E-4</v>
      </c>
      <c r="F2417" t="s">
        <v>233</v>
      </c>
      <c r="G2417" t="s">
        <v>234</v>
      </c>
      <c r="H2417">
        <v>3</v>
      </c>
    </row>
    <row r="2418" spans="1:8" x14ac:dyDescent="0.25">
      <c r="A2418" t="s">
        <v>5219</v>
      </c>
      <c r="B2418" t="s">
        <v>5219</v>
      </c>
      <c r="C2418" t="s">
        <v>271</v>
      </c>
      <c r="D2418" t="s">
        <v>269</v>
      </c>
      <c r="E2418">
        <v>5.2359699999999999E-4</v>
      </c>
      <c r="F2418" t="s">
        <v>233</v>
      </c>
      <c r="G2418" t="s">
        <v>234</v>
      </c>
      <c r="H2418">
        <v>3</v>
      </c>
    </row>
    <row r="2419" spans="1:8" x14ac:dyDescent="0.25">
      <c r="A2419" t="s">
        <v>1175</v>
      </c>
      <c r="B2419" t="s">
        <v>1175</v>
      </c>
      <c r="C2419" t="s">
        <v>271</v>
      </c>
      <c r="D2419" t="s">
        <v>269</v>
      </c>
      <c r="E2419">
        <v>5.2359699999999999E-4</v>
      </c>
      <c r="F2419" t="s">
        <v>233</v>
      </c>
      <c r="G2419" t="s">
        <v>234</v>
      </c>
      <c r="H2419">
        <v>3</v>
      </c>
    </row>
    <row r="2420" spans="1:8" x14ac:dyDescent="0.25">
      <c r="A2420" t="s">
        <v>1177</v>
      </c>
      <c r="B2420" t="s">
        <v>1177</v>
      </c>
      <c r="C2420" t="s">
        <v>271</v>
      </c>
      <c r="D2420" t="s">
        <v>269</v>
      </c>
      <c r="E2420">
        <v>5.2359699999999999E-4</v>
      </c>
      <c r="F2420" t="s">
        <v>233</v>
      </c>
      <c r="G2420" t="s">
        <v>234</v>
      </c>
      <c r="H2420">
        <v>3</v>
      </c>
    </row>
    <row r="2421" spans="1:8" x14ac:dyDescent="0.25">
      <c r="A2421" t="s">
        <v>547</v>
      </c>
      <c r="B2421" t="s">
        <v>547</v>
      </c>
      <c r="C2421" t="s">
        <v>271</v>
      </c>
      <c r="D2421" t="s">
        <v>269</v>
      </c>
      <c r="E2421">
        <v>5.2359699999999999E-4</v>
      </c>
      <c r="F2421" t="s">
        <v>233</v>
      </c>
      <c r="G2421" t="s">
        <v>234</v>
      </c>
      <c r="H2421">
        <v>3</v>
      </c>
    </row>
    <row r="2422" spans="1:8" x14ac:dyDescent="0.25">
      <c r="A2422" t="s">
        <v>1127</v>
      </c>
      <c r="B2422" t="s">
        <v>1127</v>
      </c>
      <c r="C2422" t="s">
        <v>271</v>
      </c>
      <c r="D2422" t="s">
        <v>269</v>
      </c>
      <c r="E2422">
        <v>5.2359699999999999E-4</v>
      </c>
      <c r="F2422" t="s">
        <v>233</v>
      </c>
      <c r="G2422" t="s">
        <v>234</v>
      </c>
      <c r="H2422">
        <v>3</v>
      </c>
    </row>
    <row r="2423" spans="1:8" x14ac:dyDescent="0.25">
      <c r="A2423" t="s">
        <v>1178</v>
      </c>
      <c r="B2423" t="s">
        <v>1178</v>
      </c>
      <c r="C2423" t="s">
        <v>271</v>
      </c>
      <c r="D2423" t="s">
        <v>269</v>
      </c>
      <c r="E2423">
        <v>5.2359699999999999E-4</v>
      </c>
      <c r="F2423" t="s">
        <v>233</v>
      </c>
      <c r="G2423" t="s">
        <v>234</v>
      </c>
      <c r="H2423">
        <v>3</v>
      </c>
    </row>
    <row r="2424" spans="1:8" x14ac:dyDescent="0.25">
      <c r="A2424" t="s">
        <v>1179</v>
      </c>
      <c r="B2424" t="s">
        <v>1179</v>
      </c>
      <c r="C2424" t="s">
        <v>271</v>
      </c>
      <c r="D2424" t="s">
        <v>269</v>
      </c>
      <c r="E2424">
        <v>5.2359699999999999E-4</v>
      </c>
      <c r="F2424" t="s">
        <v>233</v>
      </c>
      <c r="G2424" t="s">
        <v>234</v>
      </c>
      <c r="H2424">
        <v>3</v>
      </c>
    </row>
    <row r="2425" spans="1:8" x14ac:dyDescent="0.25">
      <c r="A2425" t="s">
        <v>1180</v>
      </c>
      <c r="B2425" t="s">
        <v>1180</v>
      </c>
      <c r="C2425" t="s">
        <v>271</v>
      </c>
      <c r="D2425" t="s">
        <v>269</v>
      </c>
      <c r="E2425">
        <v>5.2359699999999999E-4</v>
      </c>
      <c r="F2425" t="s">
        <v>233</v>
      </c>
      <c r="G2425" t="s">
        <v>234</v>
      </c>
      <c r="H2425">
        <v>3</v>
      </c>
    </row>
    <row r="2426" spans="1:8" x14ac:dyDescent="0.25">
      <c r="A2426" t="s">
        <v>5220</v>
      </c>
      <c r="B2426" t="s">
        <v>5220</v>
      </c>
      <c r="C2426" t="s">
        <v>271</v>
      </c>
      <c r="D2426" t="s">
        <v>269</v>
      </c>
      <c r="E2426">
        <v>5.2359699999999999E-4</v>
      </c>
      <c r="F2426" t="s">
        <v>233</v>
      </c>
      <c r="G2426" t="s">
        <v>234</v>
      </c>
      <c r="H2426">
        <v>3</v>
      </c>
    </row>
    <row r="2427" spans="1:8" x14ac:dyDescent="0.25">
      <c r="A2427" t="s">
        <v>1182</v>
      </c>
      <c r="B2427" t="s">
        <v>1182</v>
      </c>
      <c r="C2427" t="s">
        <v>271</v>
      </c>
      <c r="D2427" t="s">
        <v>269</v>
      </c>
      <c r="E2427">
        <v>5.2359699999999999E-4</v>
      </c>
      <c r="F2427" t="s">
        <v>233</v>
      </c>
      <c r="G2427" t="s">
        <v>234</v>
      </c>
      <c r="H2427">
        <v>3</v>
      </c>
    </row>
    <row r="2428" spans="1:8" x14ac:dyDescent="0.25">
      <c r="A2428" t="s">
        <v>1183</v>
      </c>
      <c r="B2428" t="s">
        <v>1183</v>
      </c>
      <c r="C2428" t="s">
        <v>271</v>
      </c>
      <c r="D2428" t="s">
        <v>269</v>
      </c>
      <c r="E2428">
        <v>5.2359699999999999E-4</v>
      </c>
      <c r="F2428" t="s">
        <v>233</v>
      </c>
      <c r="G2428" t="s">
        <v>234</v>
      </c>
      <c r="H2428">
        <v>3</v>
      </c>
    </row>
    <row r="2429" spans="1:8" x14ac:dyDescent="0.25">
      <c r="A2429" t="s">
        <v>1184</v>
      </c>
      <c r="B2429" t="s">
        <v>1184</v>
      </c>
      <c r="C2429" t="s">
        <v>271</v>
      </c>
      <c r="D2429" t="s">
        <v>269</v>
      </c>
      <c r="E2429">
        <v>5.2359699999999999E-4</v>
      </c>
      <c r="F2429" t="s">
        <v>233</v>
      </c>
      <c r="G2429" t="s">
        <v>234</v>
      </c>
      <c r="H2429">
        <v>3</v>
      </c>
    </row>
    <row r="2430" spans="1:8" x14ac:dyDescent="0.25">
      <c r="A2430" t="s">
        <v>1186</v>
      </c>
      <c r="B2430" t="s">
        <v>1186</v>
      </c>
      <c r="C2430" t="s">
        <v>271</v>
      </c>
      <c r="D2430" t="s">
        <v>269</v>
      </c>
      <c r="E2430">
        <v>5.2359699999999999E-4</v>
      </c>
      <c r="F2430" t="s">
        <v>233</v>
      </c>
      <c r="G2430" t="s">
        <v>234</v>
      </c>
      <c r="H2430">
        <v>3</v>
      </c>
    </row>
    <row r="2431" spans="1:8" x14ac:dyDescent="0.25">
      <c r="A2431" t="s">
        <v>1187</v>
      </c>
      <c r="B2431" t="s">
        <v>1187</v>
      </c>
      <c r="C2431" t="s">
        <v>271</v>
      </c>
      <c r="D2431" t="s">
        <v>269</v>
      </c>
      <c r="E2431">
        <v>5.2359699999999999E-4</v>
      </c>
      <c r="F2431" t="s">
        <v>233</v>
      </c>
      <c r="G2431" t="s">
        <v>234</v>
      </c>
      <c r="H2431">
        <v>3</v>
      </c>
    </row>
    <row r="2432" spans="1:8" x14ac:dyDescent="0.25">
      <c r="A2432" t="s">
        <v>1188</v>
      </c>
      <c r="B2432" t="s">
        <v>1188</v>
      </c>
      <c r="C2432" t="s">
        <v>271</v>
      </c>
      <c r="D2432" t="s">
        <v>269</v>
      </c>
      <c r="E2432">
        <v>5.2359699999999999E-4</v>
      </c>
      <c r="F2432" t="s">
        <v>233</v>
      </c>
      <c r="G2432" t="s">
        <v>234</v>
      </c>
      <c r="H2432">
        <v>3</v>
      </c>
    </row>
    <row r="2433" spans="1:8" x14ac:dyDescent="0.25">
      <c r="A2433" t="s">
        <v>1189</v>
      </c>
      <c r="B2433" t="s">
        <v>1189</v>
      </c>
      <c r="C2433" t="s">
        <v>271</v>
      </c>
      <c r="D2433" t="s">
        <v>269</v>
      </c>
      <c r="E2433">
        <v>5.2359699999999999E-4</v>
      </c>
      <c r="F2433" t="s">
        <v>233</v>
      </c>
      <c r="G2433" t="s">
        <v>234</v>
      </c>
      <c r="H2433">
        <v>3</v>
      </c>
    </row>
    <row r="2434" spans="1:8" x14ac:dyDescent="0.25">
      <c r="A2434" t="s">
        <v>1190</v>
      </c>
      <c r="B2434" t="s">
        <v>1190</v>
      </c>
      <c r="C2434" t="s">
        <v>271</v>
      </c>
      <c r="D2434" t="s">
        <v>269</v>
      </c>
      <c r="E2434">
        <v>5.2359699999999999E-4</v>
      </c>
      <c r="F2434" t="s">
        <v>233</v>
      </c>
      <c r="G2434" t="s">
        <v>234</v>
      </c>
      <c r="H2434">
        <v>3</v>
      </c>
    </row>
    <row r="2435" spans="1:8" x14ac:dyDescent="0.25">
      <c r="A2435" t="s">
        <v>1191</v>
      </c>
      <c r="B2435" t="s">
        <v>1191</v>
      </c>
      <c r="C2435" t="s">
        <v>271</v>
      </c>
      <c r="D2435" t="s">
        <v>269</v>
      </c>
      <c r="E2435">
        <v>5.2359699999999999E-4</v>
      </c>
      <c r="F2435" t="s">
        <v>233</v>
      </c>
      <c r="G2435" t="s">
        <v>234</v>
      </c>
      <c r="H2435">
        <v>3</v>
      </c>
    </row>
    <row r="2436" spans="1:8" x14ac:dyDescent="0.25">
      <c r="A2436" t="s">
        <v>1192</v>
      </c>
      <c r="B2436" t="s">
        <v>1192</v>
      </c>
      <c r="C2436" t="s">
        <v>271</v>
      </c>
      <c r="D2436" t="s">
        <v>269</v>
      </c>
      <c r="E2436">
        <v>5.2359699999999999E-4</v>
      </c>
      <c r="F2436" t="s">
        <v>233</v>
      </c>
      <c r="G2436" t="s">
        <v>234</v>
      </c>
      <c r="H2436">
        <v>3</v>
      </c>
    </row>
    <row r="2437" spans="1:8" x14ac:dyDescent="0.25">
      <c r="A2437" t="s">
        <v>5221</v>
      </c>
      <c r="B2437" t="s">
        <v>5221</v>
      </c>
      <c r="C2437" t="s">
        <v>271</v>
      </c>
      <c r="D2437" t="s">
        <v>269</v>
      </c>
      <c r="E2437">
        <v>5.2359699999999999E-4</v>
      </c>
      <c r="F2437" t="s">
        <v>233</v>
      </c>
      <c r="G2437" t="s">
        <v>234</v>
      </c>
      <c r="H2437">
        <v>3</v>
      </c>
    </row>
    <row r="2438" spans="1:8" x14ac:dyDescent="0.25">
      <c r="A2438" t="s">
        <v>1194</v>
      </c>
      <c r="B2438" t="s">
        <v>1194</v>
      </c>
      <c r="C2438" t="s">
        <v>271</v>
      </c>
      <c r="D2438" t="s">
        <v>269</v>
      </c>
      <c r="E2438">
        <v>5.2359699999999999E-4</v>
      </c>
      <c r="F2438" t="s">
        <v>233</v>
      </c>
      <c r="G2438" t="s">
        <v>234</v>
      </c>
      <c r="H2438">
        <v>3</v>
      </c>
    </row>
    <row r="2439" spans="1:8" x14ac:dyDescent="0.25">
      <c r="A2439" t="s">
        <v>1195</v>
      </c>
      <c r="B2439" t="s">
        <v>1195</v>
      </c>
      <c r="C2439" t="s">
        <v>271</v>
      </c>
      <c r="D2439" t="s">
        <v>269</v>
      </c>
      <c r="E2439">
        <v>5.2359699999999999E-4</v>
      </c>
      <c r="F2439" t="s">
        <v>233</v>
      </c>
      <c r="G2439" t="s">
        <v>234</v>
      </c>
      <c r="H2439">
        <v>3</v>
      </c>
    </row>
    <row r="2440" spans="1:8" x14ac:dyDescent="0.25">
      <c r="A2440" t="s">
        <v>1196</v>
      </c>
      <c r="B2440" t="s">
        <v>1196</v>
      </c>
      <c r="C2440" t="s">
        <v>271</v>
      </c>
      <c r="D2440" t="s">
        <v>269</v>
      </c>
      <c r="E2440">
        <v>5.2359699999999999E-4</v>
      </c>
      <c r="F2440" t="s">
        <v>233</v>
      </c>
      <c r="G2440" t="s">
        <v>234</v>
      </c>
      <c r="H2440">
        <v>3</v>
      </c>
    </row>
    <row r="2441" spans="1:8" x14ac:dyDescent="0.25">
      <c r="A2441" t="s">
        <v>1197</v>
      </c>
      <c r="B2441" t="s">
        <v>1197</v>
      </c>
      <c r="C2441" t="s">
        <v>271</v>
      </c>
      <c r="D2441" t="s">
        <v>269</v>
      </c>
      <c r="E2441">
        <v>5.2359699999999999E-4</v>
      </c>
      <c r="F2441" t="s">
        <v>233</v>
      </c>
      <c r="G2441" t="s">
        <v>234</v>
      </c>
      <c r="H2441">
        <v>3</v>
      </c>
    </row>
    <row r="2442" spans="1:8" x14ac:dyDescent="0.25">
      <c r="A2442" t="s">
        <v>1198</v>
      </c>
      <c r="B2442" t="s">
        <v>1198</v>
      </c>
      <c r="C2442" t="s">
        <v>271</v>
      </c>
      <c r="D2442" t="s">
        <v>269</v>
      </c>
      <c r="E2442">
        <v>5.2359699999999999E-4</v>
      </c>
      <c r="F2442" t="s">
        <v>233</v>
      </c>
      <c r="G2442" t="s">
        <v>234</v>
      </c>
      <c r="H2442">
        <v>3</v>
      </c>
    </row>
    <row r="2443" spans="1:8" x14ac:dyDescent="0.25">
      <c r="A2443" t="s">
        <v>1125</v>
      </c>
      <c r="B2443" t="s">
        <v>1125</v>
      </c>
      <c r="C2443" t="s">
        <v>271</v>
      </c>
      <c r="D2443" t="s">
        <v>269</v>
      </c>
      <c r="E2443">
        <v>5.2359699999999999E-4</v>
      </c>
      <c r="F2443" t="s">
        <v>233</v>
      </c>
      <c r="G2443" t="s">
        <v>234</v>
      </c>
      <c r="H2443">
        <v>3</v>
      </c>
    </row>
    <row r="2444" spans="1:8" x14ac:dyDescent="0.25">
      <c r="A2444" t="s">
        <v>1199</v>
      </c>
      <c r="B2444" t="s">
        <v>1199</v>
      </c>
      <c r="C2444" t="s">
        <v>271</v>
      </c>
      <c r="D2444" t="s">
        <v>269</v>
      </c>
      <c r="E2444">
        <v>5.2359699999999999E-4</v>
      </c>
      <c r="F2444" t="s">
        <v>233</v>
      </c>
      <c r="G2444" t="s">
        <v>234</v>
      </c>
      <c r="H2444">
        <v>3</v>
      </c>
    </row>
    <row r="2445" spans="1:8" x14ac:dyDescent="0.25">
      <c r="A2445" t="s">
        <v>1200</v>
      </c>
      <c r="B2445" t="s">
        <v>1200</v>
      </c>
      <c r="C2445" t="s">
        <v>271</v>
      </c>
      <c r="D2445" t="s">
        <v>269</v>
      </c>
      <c r="E2445">
        <v>5.2359699999999999E-4</v>
      </c>
      <c r="F2445" t="s">
        <v>233</v>
      </c>
      <c r="G2445" t="s">
        <v>234</v>
      </c>
      <c r="H2445">
        <v>3</v>
      </c>
    </row>
    <row r="2446" spans="1:8" x14ac:dyDescent="0.25">
      <c r="A2446" t="s">
        <v>1201</v>
      </c>
      <c r="B2446" t="s">
        <v>1201</v>
      </c>
      <c r="C2446" t="s">
        <v>271</v>
      </c>
      <c r="D2446" t="s">
        <v>269</v>
      </c>
      <c r="E2446">
        <v>5.2359699999999999E-4</v>
      </c>
      <c r="F2446" t="s">
        <v>233</v>
      </c>
      <c r="G2446" t="s">
        <v>234</v>
      </c>
      <c r="H2446">
        <v>3</v>
      </c>
    </row>
    <row r="2447" spans="1:8" x14ac:dyDescent="0.25">
      <c r="A2447" t="s">
        <v>1202</v>
      </c>
      <c r="B2447" t="s">
        <v>1202</v>
      </c>
      <c r="C2447" t="s">
        <v>271</v>
      </c>
      <c r="D2447" t="s">
        <v>269</v>
      </c>
      <c r="E2447">
        <v>5.2359699999999999E-4</v>
      </c>
      <c r="F2447" t="s">
        <v>233</v>
      </c>
      <c r="G2447" t="s">
        <v>234</v>
      </c>
      <c r="H2447">
        <v>3</v>
      </c>
    </row>
    <row r="2448" spans="1:8" x14ac:dyDescent="0.25">
      <c r="A2448" t="s">
        <v>1203</v>
      </c>
      <c r="B2448" t="s">
        <v>1203</v>
      </c>
      <c r="C2448" t="s">
        <v>271</v>
      </c>
      <c r="D2448" t="s">
        <v>269</v>
      </c>
      <c r="E2448">
        <v>5.2359699999999999E-4</v>
      </c>
      <c r="F2448" t="s">
        <v>233</v>
      </c>
      <c r="G2448" t="s">
        <v>234</v>
      </c>
      <c r="H2448">
        <v>3</v>
      </c>
    </row>
    <row r="2449" spans="1:8" x14ac:dyDescent="0.25">
      <c r="A2449" t="s">
        <v>1204</v>
      </c>
      <c r="B2449" t="s">
        <v>1204</v>
      </c>
      <c r="C2449" t="s">
        <v>271</v>
      </c>
      <c r="D2449" t="s">
        <v>269</v>
      </c>
      <c r="E2449">
        <v>5.2359699999999999E-4</v>
      </c>
      <c r="F2449" t="s">
        <v>233</v>
      </c>
      <c r="G2449" t="s">
        <v>234</v>
      </c>
      <c r="H2449">
        <v>3</v>
      </c>
    </row>
    <row r="2450" spans="1:8" x14ac:dyDescent="0.25">
      <c r="A2450" t="s">
        <v>1205</v>
      </c>
      <c r="B2450" t="s">
        <v>1205</v>
      </c>
      <c r="C2450" t="s">
        <v>271</v>
      </c>
      <c r="D2450" t="s">
        <v>269</v>
      </c>
      <c r="E2450">
        <v>5.2359699999999999E-4</v>
      </c>
      <c r="F2450" t="s">
        <v>233</v>
      </c>
      <c r="G2450" t="s">
        <v>234</v>
      </c>
      <c r="H2450">
        <v>3</v>
      </c>
    </row>
    <row r="2451" spans="1:8" x14ac:dyDescent="0.25">
      <c r="A2451" t="s">
        <v>1206</v>
      </c>
      <c r="B2451" t="s">
        <v>1206</v>
      </c>
      <c r="C2451" t="s">
        <v>271</v>
      </c>
      <c r="D2451" t="s">
        <v>269</v>
      </c>
      <c r="E2451">
        <v>5.2359699999999999E-4</v>
      </c>
      <c r="F2451" t="s">
        <v>233</v>
      </c>
      <c r="G2451" t="s">
        <v>234</v>
      </c>
      <c r="H2451">
        <v>3</v>
      </c>
    </row>
    <row r="2452" spans="1:8" x14ac:dyDescent="0.25">
      <c r="A2452" t="s">
        <v>1208</v>
      </c>
      <c r="B2452" t="s">
        <v>1208</v>
      </c>
      <c r="C2452" t="s">
        <v>271</v>
      </c>
      <c r="D2452" t="s">
        <v>269</v>
      </c>
      <c r="E2452">
        <v>5.2359699999999999E-4</v>
      </c>
      <c r="F2452" t="s">
        <v>233</v>
      </c>
      <c r="G2452" t="s">
        <v>234</v>
      </c>
      <c r="H2452">
        <v>3</v>
      </c>
    </row>
    <row r="2453" spans="1:8" x14ac:dyDescent="0.25">
      <c r="A2453" t="s">
        <v>1209</v>
      </c>
      <c r="B2453" t="s">
        <v>1209</v>
      </c>
      <c r="C2453" t="s">
        <v>271</v>
      </c>
      <c r="D2453" t="s">
        <v>269</v>
      </c>
      <c r="E2453">
        <v>5.2359699999999999E-4</v>
      </c>
      <c r="F2453" t="s">
        <v>233</v>
      </c>
      <c r="G2453" t="s">
        <v>234</v>
      </c>
      <c r="H2453">
        <v>3</v>
      </c>
    </row>
    <row r="2454" spans="1:8" x14ac:dyDescent="0.25">
      <c r="A2454" t="s">
        <v>1210</v>
      </c>
      <c r="B2454" t="s">
        <v>1210</v>
      </c>
      <c r="C2454" t="s">
        <v>271</v>
      </c>
      <c r="D2454" t="s">
        <v>269</v>
      </c>
      <c r="E2454">
        <v>5.2359699999999999E-4</v>
      </c>
      <c r="F2454" t="s">
        <v>233</v>
      </c>
      <c r="G2454" t="s">
        <v>234</v>
      </c>
      <c r="H2454">
        <v>3</v>
      </c>
    </row>
    <row r="2455" spans="1:8" x14ac:dyDescent="0.25">
      <c r="A2455" t="s">
        <v>1211</v>
      </c>
      <c r="B2455" t="s">
        <v>1211</v>
      </c>
      <c r="C2455" t="s">
        <v>271</v>
      </c>
      <c r="D2455" t="s">
        <v>269</v>
      </c>
      <c r="E2455">
        <v>5.2359699999999999E-4</v>
      </c>
      <c r="F2455" t="s">
        <v>233</v>
      </c>
      <c r="G2455" t="s">
        <v>234</v>
      </c>
      <c r="H2455">
        <v>3</v>
      </c>
    </row>
    <row r="2456" spans="1:8" x14ac:dyDescent="0.25">
      <c r="A2456" t="s">
        <v>1212</v>
      </c>
      <c r="B2456" t="s">
        <v>1212</v>
      </c>
      <c r="C2456" t="s">
        <v>271</v>
      </c>
      <c r="D2456" t="s">
        <v>269</v>
      </c>
      <c r="E2456">
        <v>5.2359699999999999E-4</v>
      </c>
      <c r="F2456" t="s">
        <v>233</v>
      </c>
      <c r="G2456" t="s">
        <v>234</v>
      </c>
      <c r="H2456">
        <v>3</v>
      </c>
    </row>
    <row r="2457" spans="1:8" x14ac:dyDescent="0.25">
      <c r="A2457" t="s">
        <v>1213</v>
      </c>
      <c r="B2457" t="s">
        <v>1213</v>
      </c>
      <c r="C2457" t="s">
        <v>271</v>
      </c>
      <c r="D2457" t="s">
        <v>269</v>
      </c>
      <c r="E2457">
        <v>5.2359699999999999E-4</v>
      </c>
      <c r="F2457" t="s">
        <v>233</v>
      </c>
      <c r="G2457" t="s">
        <v>234</v>
      </c>
      <c r="H2457">
        <v>3</v>
      </c>
    </row>
    <row r="2458" spans="1:8" x14ac:dyDescent="0.25">
      <c r="A2458" t="s">
        <v>5222</v>
      </c>
      <c r="B2458" t="s">
        <v>5222</v>
      </c>
      <c r="C2458" t="s">
        <v>271</v>
      </c>
      <c r="D2458" t="s">
        <v>269</v>
      </c>
      <c r="E2458">
        <v>5.2359699999999999E-4</v>
      </c>
      <c r="F2458" t="s">
        <v>233</v>
      </c>
      <c r="G2458" t="s">
        <v>234</v>
      </c>
      <c r="H2458">
        <v>3</v>
      </c>
    </row>
    <row r="2459" spans="1:8" x14ac:dyDescent="0.25">
      <c r="A2459" t="s">
        <v>5223</v>
      </c>
      <c r="B2459" t="s">
        <v>5223</v>
      </c>
      <c r="C2459" t="s">
        <v>265</v>
      </c>
      <c r="D2459" t="s">
        <v>263</v>
      </c>
      <c r="E2459">
        <v>3.0449399999999999E-4</v>
      </c>
      <c r="F2459" t="s">
        <v>233</v>
      </c>
      <c r="G2459" t="s">
        <v>234</v>
      </c>
      <c r="H2459">
        <v>3</v>
      </c>
    </row>
    <row r="2460" spans="1:8" x14ac:dyDescent="0.25">
      <c r="A2460" t="s">
        <v>5224</v>
      </c>
      <c r="B2460" t="s">
        <v>5224</v>
      </c>
      <c r="C2460" t="s">
        <v>244</v>
      </c>
      <c r="D2460" t="s">
        <v>242</v>
      </c>
      <c r="E2460">
        <v>5.4284299999999999E-4</v>
      </c>
      <c r="F2460" t="s">
        <v>233</v>
      </c>
      <c r="G2460" t="s">
        <v>234</v>
      </c>
      <c r="H2460">
        <v>3</v>
      </c>
    </row>
    <row r="2461" spans="1:8" x14ac:dyDescent="0.25">
      <c r="A2461" t="s">
        <v>1215</v>
      </c>
      <c r="B2461" t="s">
        <v>1215</v>
      </c>
      <c r="C2461" t="s">
        <v>271</v>
      </c>
      <c r="D2461" t="s">
        <v>269</v>
      </c>
      <c r="E2461">
        <v>5.2359699999999999E-4</v>
      </c>
      <c r="F2461" t="s">
        <v>233</v>
      </c>
      <c r="G2461" t="s">
        <v>234</v>
      </c>
      <c r="H2461">
        <v>3</v>
      </c>
    </row>
    <row r="2462" spans="1:8" x14ac:dyDescent="0.25">
      <c r="A2462" t="s">
        <v>540</v>
      </c>
      <c r="B2462" t="s">
        <v>540</v>
      </c>
      <c r="C2462" t="s">
        <v>271</v>
      </c>
      <c r="D2462" t="s">
        <v>269</v>
      </c>
      <c r="E2462">
        <v>5.2359699999999999E-4</v>
      </c>
      <c r="F2462" t="s">
        <v>233</v>
      </c>
      <c r="G2462" t="s">
        <v>234</v>
      </c>
      <c r="H2462">
        <v>3</v>
      </c>
    </row>
    <row r="2463" spans="1:8" x14ac:dyDescent="0.25">
      <c r="A2463" t="s">
        <v>5225</v>
      </c>
      <c r="B2463" t="s">
        <v>5225</v>
      </c>
      <c r="C2463" t="s">
        <v>244</v>
      </c>
      <c r="D2463" t="s">
        <v>242</v>
      </c>
      <c r="E2463">
        <v>5.4284299999999999E-4</v>
      </c>
      <c r="F2463" t="s">
        <v>233</v>
      </c>
      <c r="G2463" t="s">
        <v>234</v>
      </c>
      <c r="H2463">
        <v>3</v>
      </c>
    </row>
    <row r="2464" spans="1:8" x14ac:dyDescent="0.25">
      <c r="A2464" t="s">
        <v>5226</v>
      </c>
      <c r="B2464" t="s">
        <v>5226</v>
      </c>
      <c r="C2464" t="s">
        <v>271</v>
      </c>
      <c r="D2464" t="s">
        <v>269</v>
      </c>
      <c r="E2464">
        <v>5.2359699999999999E-4</v>
      </c>
      <c r="F2464" t="s">
        <v>233</v>
      </c>
      <c r="G2464" t="s">
        <v>234</v>
      </c>
      <c r="H2464">
        <v>3</v>
      </c>
    </row>
    <row r="2465" spans="1:8" x14ac:dyDescent="0.25">
      <c r="A2465" t="s">
        <v>5227</v>
      </c>
      <c r="B2465" t="s">
        <v>5227</v>
      </c>
      <c r="C2465" t="s">
        <v>271</v>
      </c>
      <c r="D2465" t="s">
        <v>269</v>
      </c>
      <c r="E2465">
        <v>5.2359699999999999E-4</v>
      </c>
      <c r="F2465" t="s">
        <v>233</v>
      </c>
      <c r="G2465" t="s">
        <v>234</v>
      </c>
      <c r="H2465">
        <v>3</v>
      </c>
    </row>
    <row r="2466" spans="1:8" x14ac:dyDescent="0.25">
      <c r="A2466" t="s">
        <v>1216</v>
      </c>
      <c r="B2466" t="s">
        <v>1216</v>
      </c>
      <c r="C2466" t="s">
        <v>271</v>
      </c>
      <c r="D2466" t="s">
        <v>269</v>
      </c>
      <c r="E2466">
        <v>5.2359699999999999E-4</v>
      </c>
      <c r="F2466" t="s">
        <v>233</v>
      </c>
      <c r="G2466" t="s">
        <v>234</v>
      </c>
      <c r="H2466">
        <v>3</v>
      </c>
    </row>
    <row r="2467" spans="1:8" x14ac:dyDescent="0.25">
      <c r="A2467" t="s">
        <v>1217</v>
      </c>
      <c r="B2467" t="s">
        <v>1217</v>
      </c>
      <c r="C2467" t="s">
        <v>271</v>
      </c>
      <c r="D2467" t="s">
        <v>269</v>
      </c>
      <c r="E2467">
        <v>5.2359699999999999E-4</v>
      </c>
      <c r="F2467" t="s">
        <v>233</v>
      </c>
      <c r="G2467" t="s">
        <v>234</v>
      </c>
      <c r="H2467">
        <v>3</v>
      </c>
    </row>
    <row r="2468" spans="1:8" x14ac:dyDescent="0.25">
      <c r="A2468" t="s">
        <v>1218</v>
      </c>
      <c r="B2468" t="s">
        <v>1218</v>
      </c>
      <c r="C2468" t="s">
        <v>271</v>
      </c>
      <c r="D2468" t="s">
        <v>269</v>
      </c>
      <c r="E2468">
        <v>5.2359699999999999E-4</v>
      </c>
      <c r="F2468" t="s">
        <v>233</v>
      </c>
      <c r="G2468" t="s">
        <v>234</v>
      </c>
      <c r="H2468">
        <v>3</v>
      </c>
    </row>
    <row r="2469" spans="1:8" x14ac:dyDescent="0.25">
      <c r="A2469" t="s">
        <v>1219</v>
      </c>
      <c r="B2469" t="s">
        <v>1219</v>
      </c>
      <c r="C2469" t="s">
        <v>271</v>
      </c>
      <c r="D2469" t="s">
        <v>269</v>
      </c>
      <c r="E2469">
        <v>5.2359699999999999E-4</v>
      </c>
      <c r="F2469" t="s">
        <v>233</v>
      </c>
      <c r="G2469" t="s">
        <v>234</v>
      </c>
      <c r="H2469">
        <v>3</v>
      </c>
    </row>
    <row r="2470" spans="1:8" x14ac:dyDescent="0.25">
      <c r="A2470" t="s">
        <v>1220</v>
      </c>
      <c r="B2470" t="s">
        <v>1220</v>
      </c>
      <c r="C2470" t="s">
        <v>271</v>
      </c>
      <c r="D2470" t="s">
        <v>269</v>
      </c>
      <c r="E2470">
        <v>5.2359699999999999E-4</v>
      </c>
      <c r="F2470" t="s">
        <v>233</v>
      </c>
      <c r="G2470" t="s">
        <v>234</v>
      </c>
      <c r="H2470">
        <v>3</v>
      </c>
    </row>
    <row r="2471" spans="1:8" x14ac:dyDescent="0.25">
      <c r="A2471" t="s">
        <v>1221</v>
      </c>
      <c r="B2471" t="s">
        <v>1221</v>
      </c>
      <c r="C2471" t="s">
        <v>271</v>
      </c>
      <c r="D2471" t="s">
        <v>269</v>
      </c>
      <c r="E2471">
        <v>5.2359699999999999E-4</v>
      </c>
      <c r="F2471" t="s">
        <v>233</v>
      </c>
      <c r="G2471" t="s">
        <v>234</v>
      </c>
      <c r="H2471">
        <v>3</v>
      </c>
    </row>
    <row r="2472" spans="1:8" x14ac:dyDescent="0.25">
      <c r="A2472" t="s">
        <v>1222</v>
      </c>
      <c r="B2472" t="s">
        <v>1222</v>
      </c>
      <c r="C2472" t="s">
        <v>271</v>
      </c>
      <c r="D2472" t="s">
        <v>269</v>
      </c>
      <c r="E2472">
        <v>5.2359699999999999E-4</v>
      </c>
      <c r="F2472" t="s">
        <v>233</v>
      </c>
      <c r="G2472" t="s">
        <v>234</v>
      </c>
      <c r="H2472">
        <v>3</v>
      </c>
    </row>
    <row r="2473" spans="1:8" x14ac:dyDescent="0.25">
      <c r="A2473" t="s">
        <v>1223</v>
      </c>
      <c r="B2473" t="s">
        <v>1223</v>
      </c>
      <c r="C2473" t="s">
        <v>271</v>
      </c>
      <c r="D2473" t="s">
        <v>269</v>
      </c>
      <c r="E2473">
        <v>5.2359699999999999E-4</v>
      </c>
      <c r="F2473" t="s">
        <v>233</v>
      </c>
      <c r="G2473" t="s">
        <v>234</v>
      </c>
      <c r="H2473">
        <v>3</v>
      </c>
    </row>
    <row r="2474" spans="1:8" x14ac:dyDescent="0.25">
      <c r="A2474" t="s">
        <v>1224</v>
      </c>
      <c r="B2474" t="s">
        <v>1224</v>
      </c>
      <c r="C2474" t="s">
        <v>271</v>
      </c>
      <c r="D2474" t="s">
        <v>269</v>
      </c>
      <c r="E2474">
        <v>5.2359699999999999E-4</v>
      </c>
      <c r="F2474" t="s">
        <v>233</v>
      </c>
      <c r="G2474" t="s">
        <v>234</v>
      </c>
      <c r="H2474">
        <v>3</v>
      </c>
    </row>
    <row r="2475" spans="1:8" x14ac:dyDescent="0.25">
      <c r="A2475" t="s">
        <v>1225</v>
      </c>
      <c r="B2475" t="s">
        <v>1225</v>
      </c>
      <c r="C2475" t="s">
        <v>271</v>
      </c>
      <c r="D2475" t="s">
        <v>269</v>
      </c>
      <c r="E2475">
        <v>5.2359699999999999E-4</v>
      </c>
      <c r="F2475" t="s">
        <v>233</v>
      </c>
      <c r="G2475" t="s">
        <v>234</v>
      </c>
      <c r="H2475">
        <v>3</v>
      </c>
    </row>
    <row r="2476" spans="1:8" x14ac:dyDescent="0.25">
      <c r="A2476" t="s">
        <v>1226</v>
      </c>
      <c r="B2476" t="s">
        <v>1226</v>
      </c>
      <c r="C2476" t="s">
        <v>271</v>
      </c>
      <c r="D2476" t="s">
        <v>269</v>
      </c>
      <c r="E2476">
        <v>5.2359699999999999E-4</v>
      </c>
      <c r="F2476" t="s">
        <v>233</v>
      </c>
      <c r="G2476" t="s">
        <v>234</v>
      </c>
      <c r="H2476">
        <v>3</v>
      </c>
    </row>
    <row r="2477" spans="1:8" x14ac:dyDescent="0.25">
      <c r="A2477" t="s">
        <v>1227</v>
      </c>
      <c r="B2477" t="s">
        <v>1227</v>
      </c>
      <c r="C2477" t="s">
        <v>271</v>
      </c>
      <c r="D2477" t="s">
        <v>269</v>
      </c>
      <c r="E2477">
        <v>5.2359699999999999E-4</v>
      </c>
      <c r="F2477" t="s">
        <v>233</v>
      </c>
      <c r="G2477" t="s">
        <v>234</v>
      </c>
      <c r="H2477">
        <v>3</v>
      </c>
    </row>
    <row r="2478" spans="1:8" x14ac:dyDescent="0.25">
      <c r="A2478" t="s">
        <v>1228</v>
      </c>
      <c r="B2478" t="s">
        <v>1228</v>
      </c>
      <c r="C2478" t="s">
        <v>271</v>
      </c>
      <c r="D2478" t="s">
        <v>269</v>
      </c>
      <c r="E2478">
        <v>5.2359699999999999E-4</v>
      </c>
      <c r="F2478" t="s">
        <v>233</v>
      </c>
      <c r="G2478" t="s">
        <v>234</v>
      </c>
      <c r="H2478">
        <v>3</v>
      </c>
    </row>
    <row r="2479" spans="1:8" x14ac:dyDescent="0.25">
      <c r="A2479" t="s">
        <v>1229</v>
      </c>
      <c r="B2479" t="s">
        <v>1229</v>
      </c>
      <c r="C2479" t="s">
        <v>271</v>
      </c>
      <c r="D2479" t="s">
        <v>269</v>
      </c>
      <c r="E2479">
        <v>5.2359699999999999E-4</v>
      </c>
      <c r="F2479" t="s">
        <v>233</v>
      </c>
      <c r="G2479" t="s">
        <v>234</v>
      </c>
      <c r="H2479">
        <v>3</v>
      </c>
    </row>
    <row r="2480" spans="1:8" x14ac:dyDescent="0.25">
      <c r="A2480" t="s">
        <v>1142</v>
      </c>
      <c r="B2480" t="s">
        <v>1142</v>
      </c>
      <c r="C2480" t="s">
        <v>271</v>
      </c>
      <c r="D2480" t="s">
        <v>269</v>
      </c>
      <c r="E2480">
        <v>5.2359699999999999E-4</v>
      </c>
      <c r="F2480" t="s">
        <v>233</v>
      </c>
      <c r="G2480" t="s">
        <v>234</v>
      </c>
      <c r="H2480">
        <v>3</v>
      </c>
    </row>
    <row r="2481" spans="1:8" x14ac:dyDescent="0.25">
      <c r="A2481" t="s">
        <v>5228</v>
      </c>
      <c r="B2481" t="s">
        <v>5228</v>
      </c>
      <c r="C2481" t="s">
        <v>301</v>
      </c>
      <c r="D2481" t="s">
        <v>299</v>
      </c>
      <c r="E2481">
        <v>6.3590900000000004E-4</v>
      </c>
      <c r="F2481" t="s">
        <v>233</v>
      </c>
      <c r="G2481" t="s">
        <v>234</v>
      </c>
      <c r="H2481">
        <v>3</v>
      </c>
    </row>
    <row r="2482" spans="1:8" x14ac:dyDescent="0.25">
      <c r="A2482" t="s">
        <v>1231</v>
      </c>
      <c r="B2482" t="s">
        <v>1231</v>
      </c>
      <c r="C2482" t="s">
        <v>271</v>
      </c>
      <c r="D2482" t="s">
        <v>269</v>
      </c>
      <c r="E2482">
        <v>5.2359699999999999E-4</v>
      </c>
      <c r="F2482" t="s">
        <v>233</v>
      </c>
      <c r="G2482" t="s">
        <v>234</v>
      </c>
      <c r="H2482">
        <v>3</v>
      </c>
    </row>
    <row r="2483" spans="1:8" x14ac:dyDescent="0.25">
      <c r="A2483" t="s">
        <v>1232</v>
      </c>
      <c r="B2483" t="s">
        <v>1232</v>
      </c>
      <c r="C2483" t="s">
        <v>271</v>
      </c>
      <c r="D2483" t="s">
        <v>269</v>
      </c>
      <c r="E2483">
        <v>5.2359699999999999E-4</v>
      </c>
      <c r="F2483" t="s">
        <v>233</v>
      </c>
      <c r="G2483" t="s">
        <v>234</v>
      </c>
      <c r="H2483">
        <v>3</v>
      </c>
    </row>
    <row r="2484" spans="1:8" x14ac:dyDescent="0.25">
      <c r="A2484" t="s">
        <v>561</v>
      </c>
      <c r="B2484" t="s">
        <v>561</v>
      </c>
      <c r="C2484" t="s">
        <v>271</v>
      </c>
      <c r="D2484" t="s">
        <v>269</v>
      </c>
      <c r="E2484">
        <v>5.2359699999999999E-4</v>
      </c>
      <c r="F2484" t="s">
        <v>233</v>
      </c>
      <c r="G2484" t="s">
        <v>234</v>
      </c>
      <c r="H2484">
        <v>3</v>
      </c>
    </row>
    <row r="2485" spans="1:8" x14ac:dyDescent="0.25">
      <c r="A2485" t="s">
        <v>1233</v>
      </c>
      <c r="B2485" t="s">
        <v>1233</v>
      </c>
      <c r="C2485" t="s">
        <v>271</v>
      </c>
      <c r="D2485" t="s">
        <v>269</v>
      </c>
      <c r="E2485">
        <v>5.2359699999999999E-4</v>
      </c>
      <c r="F2485" t="s">
        <v>233</v>
      </c>
      <c r="G2485" t="s">
        <v>234</v>
      </c>
      <c r="H2485">
        <v>3</v>
      </c>
    </row>
    <row r="2486" spans="1:8" x14ac:dyDescent="0.25">
      <c r="A2486" t="s">
        <v>1234</v>
      </c>
      <c r="B2486" t="s">
        <v>1234</v>
      </c>
      <c r="C2486" t="s">
        <v>271</v>
      </c>
      <c r="D2486" t="s">
        <v>269</v>
      </c>
      <c r="E2486">
        <v>5.2359699999999999E-4</v>
      </c>
      <c r="F2486" t="s">
        <v>233</v>
      </c>
      <c r="G2486" t="s">
        <v>234</v>
      </c>
      <c r="H2486">
        <v>3</v>
      </c>
    </row>
    <row r="2487" spans="1:8" x14ac:dyDescent="0.25">
      <c r="A2487" t="s">
        <v>1235</v>
      </c>
      <c r="B2487" t="s">
        <v>1235</v>
      </c>
      <c r="C2487" t="s">
        <v>271</v>
      </c>
      <c r="D2487" t="s">
        <v>269</v>
      </c>
      <c r="E2487">
        <v>5.2359699999999999E-4</v>
      </c>
      <c r="F2487" t="s">
        <v>233</v>
      </c>
      <c r="G2487" t="s">
        <v>234</v>
      </c>
      <c r="H2487">
        <v>3</v>
      </c>
    </row>
    <row r="2488" spans="1:8" x14ac:dyDescent="0.25">
      <c r="A2488" t="s">
        <v>1236</v>
      </c>
      <c r="B2488" t="s">
        <v>1236</v>
      </c>
      <c r="C2488" t="s">
        <v>271</v>
      </c>
      <c r="D2488" t="s">
        <v>269</v>
      </c>
      <c r="E2488">
        <v>5.2359699999999999E-4</v>
      </c>
      <c r="F2488" t="s">
        <v>233</v>
      </c>
      <c r="G2488" t="s">
        <v>234</v>
      </c>
      <c r="H2488">
        <v>3</v>
      </c>
    </row>
    <row r="2489" spans="1:8" x14ac:dyDescent="0.25">
      <c r="A2489" t="s">
        <v>1237</v>
      </c>
      <c r="B2489" t="s">
        <v>1237</v>
      </c>
      <c r="C2489" t="s">
        <v>271</v>
      </c>
      <c r="D2489" t="s">
        <v>269</v>
      </c>
      <c r="E2489">
        <v>5.2359699999999999E-4</v>
      </c>
      <c r="F2489" t="s">
        <v>233</v>
      </c>
      <c r="G2489" t="s">
        <v>234</v>
      </c>
      <c r="H2489">
        <v>3</v>
      </c>
    </row>
    <row r="2490" spans="1:8" x14ac:dyDescent="0.25">
      <c r="A2490" t="s">
        <v>3756</v>
      </c>
      <c r="B2490" t="s">
        <v>3756</v>
      </c>
      <c r="C2490" t="s">
        <v>280</v>
      </c>
      <c r="D2490" t="s">
        <v>278</v>
      </c>
      <c r="E2490">
        <v>6.2829699999999999E-4</v>
      </c>
      <c r="F2490" t="s">
        <v>233</v>
      </c>
      <c r="G2490" t="s">
        <v>234</v>
      </c>
      <c r="H2490">
        <v>3</v>
      </c>
    </row>
    <row r="2491" spans="1:8" x14ac:dyDescent="0.25">
      <c r="A2491" t="s">
        <v>3863</v>
      </c>
      <c r="B2491" t="s">
        <v>3863</v>
      </c>
      <c r="C2491" t="s">
        <v>271</v>
      </c>
      <c r="D2491" t="s">
        <v>269</v>
      </c>
      <c r="E2491">
        <v>5.2359699999999999E-4</v>
      </c>
      <c r="F2491" t="s">
        <v>233</v>
      </c>
      <c r="G2491" t="s">
        <v>234</v>
      </c>
      <c r="H2491">
        <v>3</v>
      </c>
    </row>
    <row r="2492" spans="1:8" x14ac:dyDescent="0.25">
      <c r="A2492" t="s">
        <v>5229</v>
      </c>
      <c r="B2492" t="s">
        <v>5229</v>
      </c>
      <c r="C2492" t="s">
        <v>271</v>
      </c>
      <c r="D2492" t="s">
        <v>269</v>
      </c>
      <c r="E2492">
        <v>5.2359699999999999E-4</v>
      </c>
      <c r="F2492" t="s">
        <v>233</v>
      </c>
      <c r="G2492" t="s">
        <v>234</v>
      </c>
      <c r="H2492">
        <v>3</v>
      </c>
    </row>
    <row r="2493" spans="1:8" x14ac:dyDescent="0.25">
      <c r="A2493" t="s">
        <v>5230</v>
      </c>
      <c r="B2493" t="s">
        <v>5230</v>
      </c>
      <c r="C2493" t="s">
        <v>271</v>
      </c>
      <c r="D2493" t="s">
        <v>269</v>
      </c>
      <c r="E2493">
        <v>5.2359699999999999E-4</v>
      </c>
      <c r="F2493" t="s">
        <v>233</v>
      </c>
      <c r="G2493" t="s">
        <v>234</v>
      </c>
      <c r="H2493">
        <v>3</v>
      </c>
    </row>
    <row r="2494" spans="1:8" x14ac:dyDescent="0.25">
      <c r="A2494" t="s">
        <v>5231</v>
      </c>
      <c r="B2494" t="s">
        <v>5231</v>
      </c>
      <c r="C2494" t="s">
        <v>271</v>
      </c>
      <c r="D2494" t="s">
        <v>269</v>
      </c>
      <c r="E2494">
        <v>5.2359699999999999E-4</v>
      </c>
      <c r="F2494" t="s">
        <v>233</v>
      </c>
      <c r="G2494" t="s">
        <v>234</v>
      </c>
      <c r="H2494">
        <v>3</v>
      </c>
    </row>
    <row r="2495" spans="1:8" x14ac:dyDescent="0.25">
      <c r="A2495" t="s">
        <v>5232</v>
      </c>
      <c r="B2495" t="s">
        <v>5232</v>
      </c>
      <c r="C2495" t="s">
        <v>271</v>
      </c>
      <c r="D2495" t="s">
        <v>269</v>
      </c>
      <c r="E2495">
        <v>5.2359699999999999E-4</v>
      </c>
      <c r="F2495" t="s">
        <v>233</v>
      </c>
      <c r="G2495" t="s">
        <v>234</v>
      </c>
      <c r="H2495">
        <v>3</v>
      </c>
    </row>
    <row r="2496" spans="1:8" x14ac:dyDescent="0.25">
      <c r="A2496" t="s">
        <v>5233</v>
      </c>
      <c r="B2496" t="s">
        <v>5233</v>
      </c>
      <c r="C2496" t="s">
        <v>271</v>
      </c>
      <c r="D2496" t="s">
        <v>269</v>
      </c>
      <c r="E2496">
        <v>5.2359699999999999E-4</v>
      </c>
      <c r="F2496" t="s">
        <v>233</v>
      </c>
      <c r="G2496" t="s">
        <v>234</v>
      </c>
      <c r="H2496">
        <v>3</v>
      </c>
    </row>
    <row r="2497" spans="1:8" x14ac:dyDescent="0.25">
      <c r="A2497" t="s">
        <v>797</v>
      </c>
      <c r="B2497" t="s">
        <v>797</v>
      </c>
      <c r="C2497" t="s">
        <v>346</v>
      </c>
      <c r="D2497" t="s">
        <v>347</v>
      </c>
      <c r="E2497">
        <v>2.10657E-4</v>
      </c>
      <c r="F2497" t="s">
        <v>233</v>
      </c>
      <c r="G2497" t="s">
        <v>234</v>
      </c>
      <c r="H2497">
        <v>3</v>
      </c>
    </row>
    <row r="2498" spans="1:8" x14ac:dyDescent="0.25">
      <c r="A2498" t="s">
        <v>5234</v>
      </c>
      <c r="B2498" t="s">
        <v>5234</v>
      </c>
      <c r="C2498" t="s">
        <v>271</v>
      </c>
      <c r="D2498" t="s">
        <v>269</v>
      </c>
      <c r="E2498">
        <v>5.2359699999999999E-4</v>
      </c>
      <c r="F2498" t="s">
        <v>233</v>
      </c>
      <c r="G2498" t="s">
        <v>234</v>
      </c>
      <c r="H2498">
        <v>3</v>
      </c>
    </row>
    <row r="2499" spans="1:8" x14ac:dyDescent="0.25">
      <c r="A2499" t="s">
        <v>5235</v>
      </c>
      <c r="B2499" t="s">
        <v>5235</v>
      </c>
      <c r="C2499" t="s">
        <v>271</v>
      </c>
      <c r="D2499" t="s">
        <v>269</v>
      </c>
      <c r="E2499">
        <v>5.2359699999999999E-4</v>
      </c>
      <c r="F2499" t="s">
        <v>233</v>
      </c>
      <c r="G2499" t="s">
        <v>234</v>
      </c>
      <c r="H2499">
        <v>3</v>
      </c>
    </row>
    <row r="2500" spans="1:8" x14ac:dyDescent="0.25">
      <c r="A2500" t="s">
        <v>5236</v>
      </c>
      <c r="B2500" t="s">
        <v>5236</v>
      </c>
      <c r="C2500" t="s">
        <v>271</v>
      </c>
      <c r="D2500" t="s">
        <v>269</v>
      </c>
      <c r="E2500">
        <v>5.2359699999999999E-4</v>
      </c>
      <c r="F2500" t="s">
        <v>233</v>
      </c>
      <c r="G2500" t="s">
        <v>234</v>
      </c>
      <c r="H2500">
        <v>3</v>
      </c>
    </row>
    <row r="2501" spans="1:8" x14ac:dyDescent="0.25">
      <c r="A2501" t="s">
        <v>5237</v>
      </c>
      <c r="B2501" t="s">
        <v>5237</v>
      </c>
      <c r="C2501" t="s">
        <v>271</v>
      </c>
      <c r="D2501" t="s">
        <v>269</v>
      </c>
      <c r="E2501">
        <v>5.2359699999999999E-4</v>
      </c>
      <c r="F2501" t="s">
        <v>233</v>
      </c>
      <c r="G2501" t="s">
        <v>234</v>
      </c>
      <c r="H2501">
        <v>3</v>
      </c>
    </row>
    <row r="2502" spans="1:8" x14ac:dyDescent="0.25">
      <c r="A2502" t="s">
        <v>5238</v>
      </c>
      <c r="B2502" t="s">
        <v>5238</v>
      </c>
      <c r="C2502" t="s">
        <v>271</v>
      </c>
      <c r="D2502" t="s">
        <v>269</v>
      </c>
      <c r="E2502">
        <v>5.2359699999999999E-4</v>
      </c>
      <c r="F2502" t="s">
        <v>233</v>
      </c>
      <c r="G2502" t="s">
        <v>234</v>
      </c>
      <c r="H2502">
        <v>3</v>
      </c>
    </row>
    <row r="2503" spans="1:8" x14ac:dyDescent="0.25">
      <c r="A2503" t="s">
        <v>5239</v>
      </c>
      <c r="B2503" t="s">
        <v>5239</v>
      </c>
      <c r="C2503" t="s">
        <v>271</v>
      </c>
      <c r="D2503" t="s">
        <v>269</v>
      </c>
      <c r="E2503">
        <v>5.2359699999999999E-4</v>
      </c>
      <c r="F2503" t="s">
        <v>233</v>
      </c>
      <c r="G2503" t="s">
        <v>234</v>
      </c>
      <c r="H2503">
        <v>3</v>
      </c>
    </row>
    <row r="2504" spans="1:8" x14ac:dyDescent="0.25">
      <c r="A2504" t="s">
        <v>5240</v>
      </c>
      <c r="B2504" t="s">
        <v>5240</v>
      </c>
      <c r="C2504" t="s">
        <v>271</v>
      </c>
      <c r="D2504" t="s">
        <v>269</v>
      </c>
      <c r="E2504">
        <v>5.2359699999999999E-4</v>
      </c>
      <c r="F2504" t="s">
        <v>233</v>
      </c>
      <c r="G2504" t="s">
        <v>234</v>
      </c>
      <c r="H2504">
        <v>3</v>
      </c>
    </row>
    <row r="2505" spans="1:8" x14ac:dyDescent="0.25">
      <c r="A2505" t="s">
        <v>5241</v>
      </c>
      <c r="B2505" t="s">
        <v>5241</v>
      </c>
      <c r="C2505" t="s">
        <v>271</v>
      </c>
      <c r="D2505" t="s">
        <v>269</v>
      </c>
      <c r="E2505">
        <v>5.2359699999999999E-4</v>
      </c>
      <c r="F2505" t="s">
        <v>233</v>
      </c>
      <c r="G2505" t="s">
        <v>234</v>
      </c>
      <c r="H2505">
        <v>3</v>
      </c>
    </row>
    <row r="2506" spans="1:8" x14ac:dyDescent="0.25">
      <c r="A2506" t="s">
        <v>5242</v>
      </c>
      <c r="B2506" t="s">
        <v>5242</v>
      </c>
      <c r="C2506" t="s">
        <v>271</v>
      </c>
      <c r="D2506" t="s">
        <v>269</v>
      </c>
      <c r="E2506">
        <v>5.2359699999999999E-4</v>
      </c>
      <c r="F2506" t="s">
        <v>233</v>
      </c>
      <c r="G2506" t="s">
        <v>234</v>
      </c>
      <c r="H2506">
        <v>3</v>
      </c>
    </row>
    <row r="2507" spans="1:8" x14ac:dyDescent="0.25">
      <c r="A2507" t="s">
        <v>5243</v>
      </c>
      <c r="B2507" t="s">
        <v>5243</v>
      </c>
      <c r="C2507" t="s">
        <v>271</v>
      </c>
      <c r="D2507" t="s">
        <v>269</v>
      </c>
      <c r="E2507">
        <v>5.2359699999999999E-4</v>
      </c>
      <c r="F2507" t="s">
        <v>233</v>
      </c>
      <c r="G2507" t="s">
        <v>234</v>
      </c>
      <c r="H2507">
        <v>3</v>
      </c>
    </row>
    <row r="2508" spans="1:8" x14ac:dyDescent="0.25">
      <c r="A2508" t="s">
        <v>5244</v>
      </c>
      <c r="B2508" t="s">
        <v>5244</v>
      </c>
      <c r="C2508" t="s">
        <v>271</v>
      </c>
      <c r="D2508" t="s">
        <v>269</v>
      </c>
      <c r="E2508">
        <v>5.2359699999999999E-4</v>
      </c>
      <c r="F2508" t="s">
        <v>233</v>
      </c>
      <c r="G2508" t="s">
        <v>234</v>
      </c>
      <c r="H2508">
        <v>3</v>
      </c>
    </row>
    <row r="2509" spans="1:8" x14ac:dyDescent="0.25">
      <c r="A2509" t="s">
        <v>5245</v>
      </c>
      <c r="B2509" t="s">
        <v>5245</v>
      </c>
      <c r="C2509" t="s">
        <v>271</v>
      </c>
      <c r="D2509" t="s">
        <v>269</v>
      </c>
      <c r="E2509">
        <v>5.2359699999999999E-4</v>
      </c>
      <c r="F2509" t="s">
        <v>233</v>
      </c>
      <c r="G2509" t="s">
        <v>234</v>
      </c>
      <c r="H2509">
        <v>3</v>
      </c>
    </row>
    <row r="2510" spans="1:8" x14ac:dyDescent="0.25">
      <c r="A2510" t="s">
        <v>5246</v>
      </c>
      <c r="B2510" t="s">
        <v>5246</v>
      </c>
      <c r="C2510" t="s">
        <v>271</v>
      </c>
      <c r="D2510" t="s">
        <v>269</v>
      </c>
      <c r="E2510">
        <v>5.2359699999999999E-4</v>
      </c>
      <c r="F2510" t="s">
        <v>233</v>
      </c>
      <c r="G2510" t="s">
        <v>234</v>
      </c>
      <c r="H2510">
        <v>3</v>
      </c>
    </row>
    <row r="2511" spans="1:8" x14ac:dyDescent="0.25">
      <c r="A2511" t="s">
        <v>5247</v>
      </c>
      <c r="B2511" t="s">
        <v>5247</v>
      </c>
      <c r="C2511" t="s">
        <v>271</v>
      </c>
      <c r="D2511" t="s">
        <v>269</v>
      </c>
      <c r="E2511">
        <v>5.2359699999999999E-4</v>
      </c>
      <c r="F2511" t="s">
        <v>233</v>
      </c>
      <c r="G2511" t="s">
        <v>234</v>
      </c>
      <c r="H2511">
        <v>3</v>
      </c>
    </row>
    <row r="2512" spans="1:8" x14ac:dyDescent="0.25">
      <c r="A2512" t="s">
        <v>5248</v>
      </c>
      <c r="B2512" t="s">
        <v>5248</v>
      </c>
      <c r="C2512" t="s">
        <v>271</v>
      </c>
      <c r="D2512" t="s">
        <v>269</v>
      </c>
      <c r="E2512">
        <v>5.2359699999999999E-4</v>
      </c>
      <c r="F2512" t="s">
        <v>233</v>
      </c>
      <c r="G2512" t="s">
        <v>234</v>
      </c>
      <c r="H2512">
        <v>3</v>
      </c>
    </row>
    <row r="2513" spans="1:8" x14ac:dyDescent="0.25">
      <c r="A2513" t="s">
        <v>5249</v>
      </c>
      <c r="B2513" t="s">
        <v>5249</v>
      </c>
      <c r="C2513" t="s">
        <v>271</v>
      </c>
      <c r="D2513" t="s">
        <v>269</v>
      </c>
      <c r="E2513">
        <v>5.2359699999999999E-4</v>
      </c>
      <c r="F2513" t="s">
        <v>233</v>
      </c>
      <c r="G2513" t="s">
        <v>234</v>
      </c>
      <c r="H2513">
        <v>3</v>
      </c>
    </row>
    <row r="2514" spans="1:8" x14ac:dyDescent="0.25">
      <c r="A2514" t="s">
        <v>5250</v>
      </c>
      <c r="B2514" t="s">
        <v>5250</v>
      </c>
      <c r="C2514" t="s">
        <v>271</v>
      </c>
      <c r="D2514" t="s">
        <v>269</v>
      </c>
      <c r="E2514">
        <v>5.2359699999999999E-4</v>
      </c>
      <c r="F2514" t="s">
        <v>233</v>
      </c>
      <c r="G2514" t="s">
        <v>234</v>
      </c>
      <c r="H2514">
        <v>3</v>
      </c>
    </row>
    <row r="2515" spans="1:8" x14ac:dyDescent="0.25">
      <c r="A2515" t="s">
        <v>5251</v>
      </c>
      <c r="B2515" t="s">
        <v>5251</v>
      </c>
      <c r="C2515" t="s">
        <v>271</v>
      </c>
      <c r="D2515" t="s">
        <v>269</v>
      </c>
      <c r="E2515">
        <v>5.2359699999999999E-4</v>
      </c>
      <c r="F2515" t="s">
        <v>233</v>
      </c>
      <c r="G2515" t="s">
        <v>234</v>
      </c>
      <c r="H2515">
        <v>3</v>
      </c>
    </row>
    <row r="2516" spans="1:8" x14ac:dyDescent="0.25">
      <c r="A2516" t="s">
        <v>1238</v>
      </c>
      <c r="B2516" t="s">
        <v>1238</v>
      </c>
      <c r="C2516" t="s">
        <v>244</v>
      </c>
      <c r="D2516" t="s">
        <v>242</v>
      </c>
      <c r="E2516">
        <v>5.4284299999999999E-4</v>
      </c>
      <c r="F2516" t="s">
        <v>233</v>
      </c>
      <c r="G2516" t="s">
        <v>234</v>
      </c>
      <c r="H2516">
        <v>3</v>
      </c>
    </row>
    <row r="2517" spans="1:8" x14ac:dyDescent="0.25">
      <c r="A2517" t="s">
        <v>5252</v>
      </c>
      <c r="B2517" t="s">
        <v>5252</v>
      </c>
      <c r="C2517" t="s">
        <v>271</v>
      </c>
      <c r="D2517" t="s">
        <v>269</v>
      </c>
      <c r="E2517">
        <v>5.2359699999999999E-4</v>
      </c>
      <c r="F2517" t="s">
        <v>233</v>
      </c>
      <c r="G2517" t="s">
        <v>234</v>
      </c>
      <c r="H2517">
        <v>3</v>
      </c>
    </row>
    <row r="2518" spans="1:8" x14ac:dyDescent="0.25">
      <c r="A2518" t="s">
        <v>5253</v>
      </c>
      <c r="B2518" t="s">
        <v>5253</v>
      </c>
      <c r="C2518" t="s">
        <v>271</v>
      </c>
      <c r="D2518" t="s">
        <v>269</v>
      </c>
      <c r="E2518">
        <v>5.2359699999999999E-4</v>
      </c>
      <c r="F2518" t="s">
        <v>233</v>
      </c>
      <c r="G2518" t="s">
        <v>234</v>
      </c>
      <c r="H2518">
        <v>3</v>
      </c>
    </row>
    <row r="2519" spans="1:8" x14ac:dyDescent="0.25">
      <c r="A2519" t="s">
        <v>5254</v>
      </c>
      <c r="B2519" t="s">
        <v>5254</v>
      </c>
      <c r="C2519" t="s">
        <v>271</v>
      </c>
      <c r="D2519" t="s">
        <v>269</v>
      </c>
      <c r="E2519">
        <v>5.2359699999999999E-4</v>
      </c>
      <c r="F2519" t="s">
        <v>233</v>
      </c>
      <c r="G2519" t="s">
        <v>234</v>
      </c>
      <c r="H2519">
        <v>3</v>
      </c>
    </row>
    <row r="2520" spans="1:8" x14ac:dyDescent="0.25">
      <c r="A2520" t="s">
        <v>5255</v>
      </c>
      <c r="B2520" t="s">
        <v>5255</v>
      </c>
      <c r="C2520" t="s">
        <v>271</v>
      </c>
      <c r="D2520" t="s">
        <v>269</v>
      </c>
      <c r="E2520">
        <v>5.2359699999999999E-4</v>
      </c>
      <c r="F2520" t="s">
        <v>233</v>
      </c>
      <c r="G2520" t="s">
        <v>234</v>
      </c>
      <c r="H2520">
        <v>3</v>
      </c>
    </row>
    <row r="2521" spans="1:8" x14ac:dyDescent="0.25">
      <c r="A2521" t="s">
        <v>5256</v>
      </c>
      <c r="B2521" t="s">
        <v>5256</v>
      </c>
      <c r="C2521" t="s">
        <v>271</v>
      </c>
      <c r="D2521" t="s">
        <v>269</v>
      </c>
      <c r="E2521">
        <v>5.2359699999999999E-4</v>
      </c>
      <c r="F2521" t="s">
        <v>233</v>
      </c>
      <c r="G2521" t="s">
        <v>234</v>
      </c>
      <c r="H2521">
        <v>3</v>
      </c>
    </row>
    <row r="2522" spans="1:8" x14ac:dyDescent="0.25">
      <c r="A2522" t="s">
        <v>5257</v>
      </c>
      <c r="B2522" t="s">
        <v>5257</v>
      </c>
      <c r="C2522" t="s">
        <v>271</v>
      </c>
      <c r="D2522" t="s">
        <v>269</v>
      </c>
      <c r="E2522">
        <v>5.2359699999999999E-4</v>
      </c>
      <c r="F2522" t="s">
        <v>233</v>
      </c>
      <c r="G2522" t="s">
        <v>234</v>
      </c>
      <c r="H2522">
        <v>3</v>
      </c>
    </row>
    <row r="2523" spans="1:8" x14ac:dyDescent="0.25">
      <c r="A2523" t="s">
        <v>5258</v>
      </c>
      <c r="B2523" t="s">
        <v>5258</v>
      </c>
      <c r="C2523" t="s">
        <v>271</v>
      </c>
      <c r="D2523" t="s">
        <v>269</v>
      </c>
      <c r="E2523">
        <v>5.2359699999999999E-4</v>
      </c>
      <c r="F2523" t="s">
        <v>233</v>
      </c>
      <c r="G2523" t="s">
        <v>234</v>
      </c>
      <c r="H2523">
        <v>3</v>
      </c>
    </row>
    <row r="2524" spans="1:8" x14ac:dyDescent="0.25">
      <c r="A2524" t="s">
        <v>5259</v>
      </c>
      <c r="B2524" t="s">
        <v>5259</v>
      </c>
      <c r="C2524" t="s">
        <v>271</v>
      </c>
      <c r="D2524" t="s">
        <v>269</v>
      </c>
      <c r="E2524">
        <v>5.2359699999999999E-4</v>
      </c>
      <c r="F2524" t="s">
        <v>233</v>
      </c>
      <c r="G2524" t="s">
        <v>234</v>
      </c>
      <c r="H2524">
        <v>3</v>
      </c>
    </row>
    <row r="2525" spans="1:8" x14ac:dyDescent="0.25">
      <c r="A2525" t="s">
        <v>5260</v>
      </c>
      <c r="B2525" t="s">
        <v>5260</v>
      </c>
      <c r="C2525" t="s">
        <v>271</v>
      </c>
      <c r="D2525" t="s">
        <v>269</v>
      </c>
      <c r="E2525">
        <v>5.2359699999999999E-4</v>
      </c>
      <c r="F2525" t="s">
        <v>233</v>
      </c>
      <c r="G2525" t="s">
        <v>234</v>
      </c>
      <c r="H2525">
        <v>3</v>
      </c>
    </row>
    <row r="2526" spans="1:8" x14ac:dyDescent="0.25">
      <c r="A2526" t="s">
        <v>5261</v>
      </c>
      <c r="B2526" t="s">
        <v>5261</v>
      </c>
      <c r="C2526" t="s">
        <v>271</v>
      </c>
      <c r="D2526" t="s">
        <v>269</v>
      </c>
      <c r="E2526">
        <v>5.2359699999999999E-4</v>
      </c>
      <c r="F2526" t="s">
        <v>233</v>
      </c>
      <c r="G2526" t="s">
        <v>234</v>
      </c>
      <c r="H2526">
        <v>3</v>
      </c>
    </row>
    <row r="2527" spans="1:8" x14ac:dyDescent="0.25">
      <c r="A2527" t="s">
        <v>5262</v>
      </c>
      <c r="B2527" t="s">
        <v>5262</v>
      </c>
      <c r="C2527" t="s">
        <v>271</v>
      </c>
      <c r="D2527" t="s">
        <v>269</v>
      </c>
      <c r="E2527">
        <v>5.2359699999999999E-4</v>
      </c>
      <c r="F2527" t="s">
        <v>233</v>
      </c>
      <c r="G2527" t="s">
        <v>234</v>
      </c>
      <c r="H2527">
        <v>3</v>
      </c>
    </row>
    <row r="2528" spans="1:8" x14ac:dyDescent="0.25">
      <c r="A2528" t="s">
        <v>5263</v>
      </c>
      <c r="B2528" t="s">
        <v>5263</v>
      </c>
      <c r="C2528" t="s">
        <v>271</v>
      </c>
      <c r="D2528" t="s">
        <v>269</v>
      </c>
      <c r="E2528">
        <v>5.2359699999999999E-4</v>
      </c>
      <c r="F2528" t="s">
        <v>233</v>
      </c>
      <c r="G2528" t="s">
        <v>234</v>
      </c>
      <c r="H2528">
        <v>3</v>
      </c>
    </row>
    <row r="2529" spans="1:8" x14ac:dyDescent="0.25">
      <c r="A2529" t="s">
        <v>5264</v>
      </c>
      <c r="B2529" t="s">
        <v>5264</v>
      </c>
      <c r="C2529" t="s">
        <v>271</v>
      </c>
      <c r="D2529" t="s">
        <v>269</v>
      </c>
      <c r="E2529">
        <v>5.2359699999999999E-4</v>
      </c>
      <c r="F2529" t="s">
        <v>233</v>
      </c>
      <c r="G2529" t="s">
        <v>234</v>
      </c>
      <c r="H2529">
        <v>3</v>
      </c>
    </row>
    <row r="2530" spans="1:8" x14ac:dyDescent="0.25">
      <c r="A2530" t="s">
        <v>5265</v>
      </c>
      <c r="B2530" t="s">
        <v>5265</v>
      </c>
      <c r="C2530" t="s">
        <v>271</v>
      </c>
      <c r="D2530" t="s">
        <v>269</v>
      </c>
      <c r="E2530">
        <v>5.2359699999999999E-4</v>
      </c>
      <c r="F2530" t="s">
        <v>233</v>
      </c>
      <c r="G2530" t="s">
        <v>234</v>
      </c>
      <c r="H2530">
        <v>3</v>
      </c>
    </row>
    <row r="2531" spans="1:8" x14ac:dyDescent="0.25">
      <c r="A2531" t="s">
        <v>5266</v>
      </c>
      <c r="B2531" t="s">
        <v>5266</v>
      </c>
      <c r="C2531" t="s">
        <v>271</v>
      </c>
      <c r="D2531" t="s">
        <v>269</v>
      </c>
      <c r="E2531">
        <v>5.2359699999999999E-4</v>
      </c>
      <c r="F2531" t="s">
        <v>233</v>
      </c>
      <c r="G2531" t="s">
        <v>234</v>
      </c>
      <c r="H2531">
        <v>3</v>
      </c>
    </row>
    <row r="2532" spans="1:8" x14ac:dyDescent="0.25">
      <c r="A2532" t="s">
        <v>5267</v>
      </c>
      <c r="B2532" t="s">
        <v>5267</v>
      </c>
      <c r="C2532" t="s">
        <v>271</v>
      </c>
      <c r="D2532" t="s">
        <v>269</v>
      </c>
      <c r="E2532">
        <v>5.2359699999999999E-4</v>
      </c>
      <c r="F2532" t="s">
        <v>233</v>
      </c>
      <c r="G2532" t="s">
        <v>234</v>
      </c>
      <c r="H2532">
        <v>3</v>
      </c>
    </row>
    <row r="2533" spans="1:8" x14ac:dyDescent="0.25">
      <c r="A2533" t="s">
        <v>5268</v>
      </c>
      <c r="B2533" t="s">
        <v>5268</v>
      </c>
      <c r="C2533" t="s">
        <v>271</v>
      </c>
      <c r="D2533" t="s">
        <v>269</v>
      </c>
      <c r="E2533">
        <v>5.2359699999999999E-4</v>
      </c>
      <c r="F2533" t="s">
        <v>233</v>
      </c>
      <c r="G2533" t="s">
        <v>234</v>
      </c>
      <c r="H2533">
        <v>3</v>
      </c>
    </row>
    <row r="2534" spans="1:8" x14ac:dyDescent="0.25">
      <c r="A2534" t="s">
        <v>5269</v>
      </c>
      <c r="B2534" t="s">
        <v>5269</v>
      </c>
      <c r="C2534" t="s">
        <v>271</v>
      </c>
      <c r="D2534" t="s">
        <v>269</v>
      </c>
      <c r="E2534">
        <v>5.2359699999999999E-4</v>
      </c>
      <c r="F2534" t="s">
        <v>233</v>
      </c>
      <c r="G2534" t="s">
        <v>234</v>
      </c>
      <c r="H2534">
        <v>3</v>
      </c>
    </row>
    <row r="2535" spans="1:8" x14ac:dyDescent="0.25">
      <c r="A2535" t="s">
        <v>5270</v>
      </c>
      <c r="B2535" t="s">
        <v>5270</v>
      </c>
      <c r="C2535" t="s">
        <v>271</v>
      </c>
      <c r="D2535" t="s">
        <v>269</v>
      </c>
      <c r="E2535">
        <v>5.2359699999999999E-4</v>
      </c>
      <c r="F2535" t="s">
        <v>233</v>
      </c>
      <c r="G2535" t="s">
        <v>234</v>
      </c>
      <c r="H2535">
        <v>3</v>
      </c>
    </row>
    <row r="2536" spans="1:8" x14ac:dyDescent="0.25">
      <c r="A2536" t="s">
        <v>5271</v>
      </c>
      <c r="B2536" t="s">
        <v>5271</v>
      </c>
      <c r="C2536" t="s">
        <v>271</v>
      </c>
      <c r="D2536" t="s">
        <v>269</v>
      </c>
      <c r="E2536">
        <v>5.2359699999999999E-4</v>
      </c>
      <c r="F2536" t="s">
        <v>233</v>
      </c>
      <c r="G2536" t="s">
        <v>234</v>
      </c>
      <c r="H2536">
        <v>3</v>
      </c>
    </row>
    <row r="2537" spans="1:8" x14ac:dyDescent="0.25">
      <c r="A2537" t="s">
        <v>5272</v>
      </c>
      <c r="B2537" t="s">
        <v>5272</v>
      </c>
      <c r="C2537" t="s">
        <v>271</v>
      </c>
      <c r="D2537" t="s">
        <v>269</v>
      </c>
      <c r="E2537">
        <v>5.2359699999999999E-4</v>
      </c>
      <c r="F2537" t="s">
        <v>233</v>
      </c>
      <c r="G2537" t="s">
        <v>234</v>
      </c>
      <c r="H2537">
        <v>3</v>
      </c>
    </row>
    <row r="2538" spans="1:8" x14ac:dyDescent="0.25">
      <c r="A2538" t="s">
        <v>5273</v>
      </c>
      <c r="B2538" t="s">
        <v>5273</v>
      </c>
      <c r="C2538" t="s">
        <v>265</v>
      </c>
      <c r="D2538" t="s">
        <v>263</v>
      </c>
      <c r="E2538">
        <v>3.0449399999999999E-4</v>
      </c>
      <c r="F2538" t="s">
        <v>233</v>
      </c>
      <c r="G2538" t="s">
        <v>234</v>
      </c>
      <c r="H2538">
        <v>3</v>
      </c>
    </row>
    <row r="2539" spans="1:8" x14ac:dyDescent="0.25">
      <c r="A2539" t="s">
        <v>5274</v>
      </c>
      <c r="B2539" t="s">
        <v>5274</v>
      </c>
      <c r="C2539" t="s">
        <v>256</v>
      </c>
      <c r="D2539" t="s">
        <v>254</v>
      </c>
      <c r="E2539">
        <v>8.1312799999999998E-4</v>
      </c>
      <c r="F2539" t="s">
        <v>233</v>
      </c>
      <c r="G2539" t="s">
        <v>234</v>
      </c>
      <c r="H2539">
        <v>3</v>
      </c>
    </row>
    <row r="2540" spans="1:8" x14ac:dyDescent="0.25">
      <c r="A2540" t="s">
        <v>5275</v>
      </c>
      <c r="B2540" t="s">
        <v>5275</v>
      </c>
      <c r="C2540" t="s">
        <v>271</v>
      </c>
      <c r="D2540" t="s">
        <v>269</v>
      </c>
      <c r="E2540">
        <v>5.2359699999999999E-4</v>
      </c>
      <c r="F2540" t="s">
        <v>233</v>
      </c>
      <c r="G2540" t="s">
        <v>234</v>
      </c>
      <c r="H2540">
        <v>3</v>
      </c>
    </row>
    <row r="2541" spans="1:8" x14ac:dyDescent="0.25">
      <c r="A2541" t="s">
        <v>5276</v>
      </c>
      <c r="B2541" t="s">
        <v>5276</v>
      </c>
      <c r="C2541" t="s">
        <v>256</v>
      </c>
      <c r="D2541" t="s">
        <v>254</v>
      </c>
      <c r="E2541">
        <v>8.1312799999999998E-4</v>
      </c>
      <c r="F2541" t="s">
        <v>233</v>
      </c>
      <c r="G2541" t="s">
        <v>234</v>
      </c>
      <c r="H2541">
        <v>3</v>
      </c>
    </row>
    <row r="2542" spans="1:8" x14ac:dyDescent="0.25">
      <c r="A2542" t="s">
        <v>1239</v>
      </c>
      <c r="B2542" t="s">
        <v>1239</v>
      </c>
      <c r="C2542" t="s">
        <v>271</v>
      </c>
      <c r="D2542" t="s">
        <v>269</v>
      </c>
      <c r="E2542">
        <v>5.2359699999999999E-4</v>
      </c>
      <c r="F2542" t="s">
        <v>233</v>
      </c>
      <c r="G2542" t="s">
        <v>234</v>
      </c>
      <c r="H2542">
        <v>3</v>
      </c>
    </row>
    <row r="2543" spans="1:8" x14ac:dyDescent="0.25">
      <c r="A2543" t="s">
        <v>1240</v>
      </c>
      <c r="B2543" t="s">
        <v>1240</v>
      </c>
      <c r="C2543" t="s">
        <v>271</v>
      </c>
      <c r="D2543" t="s">
        <v>269</v>
      </c>
      <c r="E2543">
        <v>5.2359699999999999E-4</v>
      </c>
      <c r="F2543" t="s">
        <v>233</v>
      </c>
      <c r="G2543" t="s">
        <v>234</v>
      </c>
      <c r="H2543">
        <v>3</v>
      </c>
    </row>
    <row r="2544" spans="1:8" x14ac:dyDescent="0.25">
      <c r="A2544" t="s">
        <v>5277</v>
      </c>
      <c r="B2544" t="s">
        <v>5277</v>
      </c>
      <c r="C2544" t="s">
        <v>265</v>
      </c>
      <c r="D2544" t="s">
        <v>263</v>
      </c>
      <c r="E2544">
        <v>3.0449399999999999E-4</v>
      </c>
      <c r="F2544" t="s">
        <v>233</v>
      </c>
      <c r="G2544" t="s">
        <v>234</v>
      </c>
      <c r="H2544">
        <v>3</v>
      </c>
    </row>
    <row r="2545" spans="1:8" x14ac:dyDescent="0.25">
      <c r="A2545" t="s">
        <v>5278</v>
      </c>
      <c r="B2545" t="s">
        <v>5278</v>
      </c>
      <c r="C2545" t="s">
        <v>295</v>
      </c>
      <c r="D2545" t="s">
        <v>293</v>
      </c>
      <c r="E2545">
        <v>4.8170899999999998E-4</v>
      </c>
      <c r="F2545" t="s">
        <v>233</v>
      </c>
      <c r="G2545" t="s">
        <v>234</v>
      </c>
      <c r="H2545">
        <v>3</v>
      </c>
    </row>
    <row r="2546" spans="1:8" x14ac:dyDescent="0.25">
      <c r="A2546" t="s">
        <v>5279</v>
      </c>
      <c r="B2546" t="s">
        <v>5279</v>
      </c>
      <c r="C2546" t="s">
        <v>295</v>
      </c>
      <c r="D2546" t="s">
        <v>293</v>
      </c>
      <c r="E2546">
        <v>4.8170899999999998E-4</v>
      </c>
      <c r="F2546" t="s">
        <v>233</v>
      </c>
      <c r="G2546" t="s">
        <v>234</v>
      </c>
      <c r="H2546">
        <v>3</v>
      </c>
    </row>
    <row r="2547" spans="1:8" x14ac:dyDescent="0.25">
      <c r="A2547" t="s">
        <v>5280</v>
      </c>
      <c r="B2547" t="s">
        <v>5280</v>
      </c>
      <c r="C2547" t="s">
        <v>301</v>
      </c>
      <c r="D2547" t="s">
        <v>299</v>
      </c>
      <c r="E2547">
        <v>6.3590900000000004E-4</v>
      </c>
      <c r="F2547" t="s">
        <v>233</v>
      </c>
      <c r="G2547" t="s">
        <v>234</v>
      </c>
      <c r="H2547">
        <v>3</v>
      </c>
    </row>
    <row r="2548" spans="1:8" x14ac:dyDescent="0.25">
      <c r="A2548" t="s">
        <v>5281</v>
      </c>
      <c r="B2548" t="s">
        <v>5281</v>
      </c>
      <c r="C2548" t="s">
        <v>295</v>
      </c>
      <c r="D2548" t="s">
        <v>293</v>
      </c>
      <c r="E2548">
        <v>4.8170899999999998E-4</v>
      </c>
      <c r="F2548" t="s">
        <v>233</v>
      </c>
      <c r="G2548" t="s">
        <v>234</v>
      </c>
      <c r="H2548">
        <v>3</v>
      </c>
    </row>
    <row r="2549" spans="1:8" x14ac:dyDescent="0.25">
      <c r="A2549" t="s">
        <v>5282</v>
      </c>
      <c r="B2549" t="s">
        <v>5282</v>
      </c>
      <c r="C2549" t="s">
        <v>295</v>
      </c>
      <c r="D2549" t="s">
        <v>293</v>
      </c>
      <c r="E2549">
        <v>4.8170899999999998E-4</v>
      </c>
      <c r="F2549" t="s">
        <v>233</v>
      </c>
      <c r="G2549" t="s">
        <v>234</v>
      </c>
      <c r="H2549">
        <v>3</v>
      </c>
    </row>
    <row r="2550" spans="1:8" x14ac:dyDescent="0.25">
      <c r="A2550" t="s">
        <v>5283</v>
      </c>
      <c r="B2550" t="s">
        <v>5283</v>
      </c>
      <c r="C2550" t="s">
        <v>295</v>
      </c>
      <c r="D2550" t="s">
        <v>293</v>
      </c>
      <c r="E2550">
        <v>4.8170899999999998E-4</v>
      </c>
      <c r="F2550" t="s">
        <v>233</v>
      </c>
      <c r="G2550" t="s">
        <v>234</v>
      </c>
      <c r="H2550">
        <v>3</v>
      </c>
    </row>
    <row r="2551" spans="1:8" x14ac:dyDescent="0.25">
      <c r="A2551" t="s">
        <v>5284</v>
      </c>
      <c r="B2551" t="s">
        <v>5284</v>
      </c>
      <c r="C2551" t="s">
        <v>295</v>
      </c>
      <c r="D2551" t="s">
        <v>293</v>
      </c>
      <c r="E2551">
        <v>4.8170899999999998E-4</v>
      </c>
      <c r="F2551" t="s">
        <v>233</v>
      </c>
      <c r="G2551" t="s">
        <v>234</v>
      </c>
      <c r="H2551">
        <v>3</v>
      </c>
    </row>
    <row r="2552" spans="1:8" x14ac:dyDescent="0.25">
      <c r="A2552" t="s">
        <v>5285</v>
      </c>
      <c r="B2552" t="s">
        <v>5285</v>
      </c>
      <c r="C2552" t="s">
        <v>295</v>
      </c>
      <c r="D2552" t="s">
        <v>293</v>
      </c>
      <c r="E2552">
        <v>4.8170899999999998E-4</v>
      </c>
      <c r="F2552" t="s">
        <v>233</v>
      </c>
      <c r="G2552" t="s">
        <v>234</v>
      </c>
      <c r="H2552">
        <v>3</v>
      </c>
    </row>
    <row r="2553" spans="1:8" x14ac:dyDescent="0.25">
      <c r="A2553" t="s">
        <v>1074</v>
      </c>
      <c r="B2553" t="s">
        <v>1074</v>
      </c>
      <c r="C2553" t="s">
        <v>271</v>
      </c>
      <c r="D2553" t="s">
        <v>269</v>
      </c>
      <c r="E2553">
        <v>5.2359699999999999E-4</v>
      </c>
      <c r="F2553" t="s">
        <v>233</v>
      </c>
      <c r="G2553" t="s">
        <v>234</v>
      </c>
      <c r="H2553">
        <v>3</v>
      </c>
    </row>
    <row r="2554" spans="1:8" x14ac:dyDescent="0.25">
      <c r="A2554" t="s">
        <v>1076</v>
      </c>
      <c r="B2554" t="s">
        <v>1076</v>
      </c>
      <c r="C2554" t="s">
        <v>271</v>
      </c>
      <c r="D2554" t="s">
        <v>269</v>
      </c>
      <c r="E2554">
        <v>5.2359699999999999E-4</v>
      </c>
      <c r="F2554" t="s">
        <v>233</v>
      </c>
      <c r="G2554" t="s">
        <v>234</v>
      </c>
      <c r="H2554">
        <v>3</v>
      </c>
    </row>
    <row r="2555" spans="1:8" x14ac:dyDescent="0.25">
      <c r="A2555" t="s">
        <v>5286</v>
      </c>
      <c r="B2555" t="s">
        <v>5286</v>
      </c>
      <c r="C2555" t="s">
        <v>271</v>
      </c>
      <c r="D2555" t="s">
        <v>269</v>
      </c>
      <c r="E2555">
        <v>5.2359699999999999E-4</v>
      </c>
      <c r="F2555" t="s">
        <v>233</v>
      </c>
      <c r="G2555" t="s">
        <v>234</v>
      </c>
      <c r="H2555">
        <v>3</v>
      </c>
    </row>
    <row r="2556" spans="1:8" x14ac:dyDescent="0.25">
      <c r="A2556" t="s">
        <v>5287</v>
      </c>
      <c r="B2556" t="s">
        <v>5287</v>
      </c>
      <c r="C2556" t="s">
        <v>271</v>
      </c>
      <c r="D2556" t="s">
        <v>269</v>
      </c>
      <c r="E2556">
        <v>5.2359699999999999E-4</v>
      </c>
      <c r="F2556" t="s">
        <v>233</v>
      </c>
      <c r="G2556" t="s">
        <v>234</v>
      </c>
      <c r="H2556">
        <v>3</v>
      </c>
    </row>
    <row r="2557" spans="1:8" x14ac:dyDescent="0.25">
      <c r="A2557" t="s">
        <v>1245</v>
      </c>
      <c r="B2557" t="s">
        <v>1245</v>
      </c>
      <c r="C2557" t="s">
        <v>271</v>
      </c>
      <c r="D2557" t="s">
        <v>269</v>
      </c>
      <c r="E2557">
        <v>5.2359699999999999E-4</v>
      </c>
      <c r="F2557" t="s">
        <v>233</v>
      </c>
      <c r="G2557" t="s">
        <v>234</v>
      </c>
      <c r="H2557">
        <v>3</v>
      </c>
    </row>
    <row r="2558" spans="1:8" x14ac:dyDescent="0.25">
      <c r="A2558" t="s">
        <v>1246</v>
      </c>
      <c r="B2558" t="s">
        <v>1246</v>
      </c>
      <c r="C2558" t="s">
        <v>244</v>
      </c>
      <c r="D2558" t="s">
        <v>242</v>
      </c>
      <c r="E2558">
        <v>5.4284299999999999E-4</v>
      </c>
      <c r="F2558" t="s">
        <v>233</v>
      </c>
      <c r="G2558" t="s">
        <v>234</v>
      </c>
      <c r="H2558">
        <v>3</v>
      </c>
    </row>
    <row r="2559" spans="1:8" x14ac:dyDescent="0.25">
      <c r="A2559" t="s">
        <v>1247</v>
      </c>
      <c r="B2559" t="s">
        <v>1247</v>
      </c>
      <c r="C2559" t="s">
        <v>244</v>
      </c>
      <c r="D2559" t="s">
        <v>242</v>
      </c>
      <c r="E2559">
        <v>5.4284299999999999E-4</v>
      </c>
      <c r="F2559" t="s">
        <v>233</v>
      </c>
      <c r="G2559" t="s">
        <v>234</v>
      </c>
      <c r="H2559">
        <v>3</v>
      </c>
    </row>
    <row r="2560" spans="1:8" x14ac:dyDescent="0.25">
      <c r="A2560" t="s">
        <v>1248</v>
      </c>
      <c r="B2560" t="s">
        <v>1248</v>
      </c>
      <c r="C2560" t="s">
        <v>244</v>
      </c>
      <c r="D2560" t="s">
        <v>242</v>
      </c>
      <c r="E2560">
        <v>5.4284299999999999E-4</v>
      </c>
      <c r="F2560" t="s">
        <v>233</v>
      </c>
      <c r="G2560" t="s">
        <v>234</v>
      </c>
      <c r="H2560">
        <v>3</v>
      </c>
    </row>
    <row r="2561" spans="1:8" x14ac:dyDescent="0.25">
      <c r="A2561" t="s">
        <v>4344</v>
      </c>
      <c r="B2561" t="s">
        <v>4344</v>
      </c>
      <c r="C2561" t="s">
        <v>301</v>
      </c>
      <c r="D2561" t="s">
        <v>299</v>
      </c>
      <c r="E2561">
        <v>6.3590900000000004E-4</v>
      </c>
      <c r="F2561" t="s">
        <v>233</v>
      </c>
      <c r="G2561" t="s">
        <v>234</v>
      </c>
      <c r="H2561">
        <v>3</v>
      </c>
    </row>
    <row r="2562" spans="1:8" x14ac:dyDescent="0.25">
      <c r="A2562" t="s">
        <v>5288</v>
      </c>
      <c r="B2562" t="s">
        <v>5288</v>
      </c>
      <c r="C2562" t="s">
        <v>271</v>
      </c>
      <c r="D2562" t="s">
        <v>269</v>
      </c>
      <c r="E2562">
        <v>5.2359699999999999E-4</v>
      </c>
      <c r="F2562" t="s">
        <v>233</v>
      </c>
      <c r="G2562" t="s">
        <v>234</v>
      </c>
      <c r="H2562">
        <v>3</v>
      </c>
    </row>
    <row r="2563" spans="1:8" x14ac:dyDescent="0.25">
      <c r="A2563" t="s">
        <v>1077</v>
      </c>
      <c r="B2563" t="s">
        <v>1077</v>
      </c>
      <c r="C2563" t="s">
        <v>301</v>
      </c>
      <c r="D2563" t="s">
        <v>299</v>
      </c>
      <c r="E2563">
        <v>6.3590900000000004E-4</v>
      </c>
      <c r="F2563" t="s">
        <v>233</v>
      </c>
      <c r="G2563" t="s">
        <v>234</v>
      </c>
      <c r="H2563">
        <v>3</v>
      </c>
    </row>
    <row r="2564" spans="1:8" x14ac:dyDescent="0.25">
      <c r="A2564" t="s">
        <v>1078</v>
      </c>
      <c r="B2564" t="s">
        <v>1078</v>
      </c>
      <c r="C2564" t="s">
        <v>271</v>
      </c>
      <c r="D2564" t="s">
        <v>269</v>
      </c>
      <c r="E2564">
        <v>5.2359699999999999E-4</v>
      </c>
      <c r="F2564" t="s">
        <v>233</v>
      </c>
      <c r="G2564" t="s">
        <v>234</v>
      </c>
      <c r="H2564">
        <v>3</v>
      </c>
    </row>
    <row r="2565" spans="1:8" x14ac:dyDescent="0.25">
      <c r="A2565" t="s">
        <v>4349</v>
      </c>
      <c r="B2565" t="s">
        <v>4349</v>
      </c>
      <c r="C2565" t="s">
        <v>271</v>
      </c>
      <c r="D2565" t="s">
        <v>269</v>
      </c>
      <c r="E2565">
        <v>5.2359699999999999E-4</v>
      </c>
      <c r="F2565" t="s">
        <v>233</v>
      </c>
      <c r="G2565" t="s">
        <v>234</v>
      </c>
      <c r="H2565">
        <v>3</v>
      </c>
    </row>
    <row r="2566" spans="1:8" x14ac:dyDescent="0.25">
      <c r="A2566" t="s">
        <v>935</v>
      </c>
      <c r="B2566" t="s">
        <v>935</v>
      </c>
      <c r="C2566" t="s">
        <v>271</v>
      </c>
      <c r="D2566" t="s">
        <v>269</v>
      </c>
      <c r="E2566">
        <v>5.2359699999999999E-4</v>
      </c>
      <c r="F2566" t="s">
        <v>233</v>
      </c>
      <c r="G2566" t="s">
        <v>234</v>
      </c>
      <c r="H2566">
        <v>3</v>
      </c>
    </row>
    <row r="2567" spans="1:8" x14ac:dyDescent="0.25">
      <c r="A2567" t="s">
        <v>5289</v>
      </c>
      <c r="B2567" t="s">
        <v>5289</v>
      </c>
      <c r="C2567" t="s">
        <v>268</v>
      </c>
      <c r="D2567" t="s">
        <v>266</v>
      </c>
      <c r="E2567">
        <v>5.4511299999999996E-4</v>
      </c>
      <c r="F2567" t="s">
        <v>233</v>
      </c>
      <c r="G2567" t="s">
        <v>234</v>
      </c>
      <c r="H2567">
        <v>3</v>
      </c>
    </row>
    <row r="2568" spans="1:8" x14ac:dyDescent="0.25">
      <c r="A2568" t="s">
        <v>5290</v>
      </c>
      <c r="B2568" t="s">
        <v>5290</v>
      </c>
      <c r="C2568" t="s">
        <v>271</v>
      </c>
      <c r="D2568" t="s">
        <v>269</v>
      </c>
      <c r="E2568">
        <v>5.2359699999999999E-4</v>
      </c>
      <c r="F2568" t="s">
        <v>233</v>
      </c>
      <c r="G2568" t="s">
        <v>234</v>
      </c>
      <c r="H2568">
        <v>3</v>
      </c>
    </row>
    <row r="2569" spans="1:8" x14ac:dyDescent="0.25">
      <c r="A2569" t="s">
        <v>5291</v>
      </c>
      <c r="B2569" t="s">
        <v>5291</v>
      </c>
      <c r="C2569" t="s">
        <v>283</v>
      </c>
      <c r="D2569" t="s">
        <v>281</v>
      </c>
      <c r="E2569">
        <v>5.4019300000000001E-4</v>
      </c>
      <c r="F2569" t="s">
        <v>233</v>
      </c>
      <c r="G2569" t="s">
        <v>234</v>
      </c>
      <c r="H2569">
        <v>3</v>
      </c>
    </row>
    <row r="2570" spans="1:8" x14ac:dyDescent="0.25">
      <c r="A2570" t="s">
        <v>5292</v>
      </c>
      <c r="B2570" t="s">
        <v>5292</v>
      </c>
      <c r="C2570" t="s">
        <v>271</v>
      </c>
      <c r="D2570" t="s">
        <v>269</v>
      </c>
      <c r="E2570">
        <v>5.2359699999999999E-4</v>
      </c>
      <c r="F2570" t="s">
        <v>233</v>
      </c>
      <c r="G2570" t="s">
        <v>234</v>
      </c>
      <c r="H2570">
        <v>3</v>
      </c>
    </row>
    <row r="2571" spans="1:8" x14ac:dyDescent="0.25">
      <c r="A2571" t="s">
        <v>5293</v>
      </c>
      <c r="B2571" t="s">
        <v>5293</v>
      </c>
      <c r="C2571" t="s">
        <v>271</v>
      </c>
      <c r="D2571" t="s">
        <v>269</v>
      </c>
      <c r="E2571">
        <v>5.2359699999999999E-4</v>
      </c>
      <c r="F2571" t="s">
        <v>233</v>
      </c>
      <c r="G2571" t="s">
        <v>234</v>
      </c>
      <c r="H2571">
        <v>3</v>
      </c>
    </row>
    <row r="2572" spans="1:8" x14ac:dyDescent="0.25">
      <c r="A2572" t="s">
        <v>5294</v>
      </c>
      <c r="B2572" t="s">
        <v>5294</v>
      </c>
      <c r="C2572" t="s">
        <v>238</v>
      </c>
      <c r="D2572" t="s">
        <v>235</v>
      </c>
      <c r="E2572">
        <v>1.022263E-3</v>
      </c>
      <c r="F2572" t="s">
        <v>233</v>
      </c>
      <c r="G2572" t="s">
        <v>234</v>
      </c>
      <c r="H2572">
        <v>3</v>
      </c>
    </row>
    <row r="2573" spans="1:8" x14ac:dyDescent="0.25">
      <c r="A2573" t="s">
        <v>5295</v>
      </c>
      <c r="B2573" t="s">
        <v>5295</v>
      </c>
      <c r="C2573" t="s">
        <v>238</v>
      </c>
      <c r="D2573" t="s">
        <v>235</v>
      </c>
      <c r="E2573">
        <v>1.022263E-3</v>
      </c>
      <c r="F2573" t="s">
        <v>233</v>
      </c>
      <c r="G2573" t="s">
        <v>234</v>
      </c>
      <c r="H2573">
        <v>3</v>
      </c>
    </row>
    <row r="2574" spans="1:8" x14ac:dyDescent="0.25">
      <c r="A2574" t="s">
        <v>1075</v>
      </c>
      <c r="B2574" t="s">
        <v>1075</v>
      </c>
      <c r="C2574" t="s">
        <v>271</v>
      </c>
      <c r="D2574" t="s">
        <v>269</v>
      </c>
      <c r="E2574">
        <v>5.2359699999999999E-4</v>
      </c>
      <c r="F2574" t="s">
        <v>233</v>
      </c>
      <c r="G2574" t="s">
        <v>234</v>
      </c>
      <c r="H2574">
        <v>3</v>
      </c>
    </row>
    <row r="2575" spans="1:8" x14ac:dyDescent="0.25">
      <c r="A2575" t="s">
        <v>5296</v>
      </c>
      <c r="B2575" t="s">
        <v>5296</v>
      </c>
      <c r="C2575" t="s">
        <v>271</v>
      </c>
      <c r="D2575" t="s">
        <v>269</v>
      </c>
      <c r="E2575">
        <v>5.2359699999999999E-4</v>
      </c>
      <c r="F2575" t="s">
        <v>233</v>
      </c>
      <c r="G2575" t="s">
        <v>234</v>
      </c>
      <c r="H2575">
        <v>3</v>
      </c>
    </row>
    <row r="2576" spans="1:8" x14ac:dyDescent="0.25">
      <c r="A2576" t="s">
        <v>5297</v>
      </c>
      <c r="B2576" t="s">
        <v>5297</v>
      </c>
      <c r="C2576" t="s">
        <v>271</v>
      </c>
      <c r="D2576" t="s">
        <v>269</v>
      </c>
      <c r="E2576">
        <v>5.2359699999999999E-4</v>
      </c>
      <c r="F2576" t="s">
        <v>233</v>
      </c>
      <c r="G2576" t="s">
        <v>234</v>
      </c>
      <c r="H2576">
        <v>3</v>
      </c>
    </row>
    <row r="2577" spans="1:8" x14ac:dyDescent="0.25">
      <c r="A2577" t="s">
        <v>5298</v>
      </c>
      <c r="B2577" t="s">
        <v>5298</v>
      </c>
      <c r="C2577" t="s">
        <v>271</v>
      </c>
      <c r="D2577" t="s">
        <v>269</v>
      </c>
      <c r="E2577">
        <v>5.2359699999999999E-4</v>
      </c>
      <c r="F2577" t="s">
        <v>233</v>
      </c>
      <c r="G2577" t="s">
        <v>234</v>
      </c>
      <c r="H2577">
        <v>3</v>
      </c>
    </row>
    <row r="2578" spans="1:8" x14ac:dyDescent="0.25">
      <c r="A2578" t="s">
        <v>1241</v>
      </c>
      <c r="B2578" t="s">
        <v>1241</v>
      </c>
      <c r="C2578" t="s">
        <v>271</v>
      </c>
      <c r="D2578" t="s">
        <v>269</v>
      </c>
      <c r="E2578">
        <v>5.2359699999999999E-4</v>
      </c>
      <c r="F2578" t="s">
        <v>233</v>
      </c>
      <c r="G2578" t="s">
        <v>234</v>
      </c>
      <c r="H2578">
        <v>3</v>
      </c>
    </row>
    <row r="2579" spans="1:8" x14ac:dyDescent="0.25">
      <c r="A2579" t="s">
        <v>5299</v>
      </c>
      <c r="B2579" t="s">
        <v>5299</v>
      </c>
      <c r="C2579" t="s">
        <v>271</v>
      </c>
      <c r="D2579" t="s">
        <v>269</v>
      </c>
      <c r="E2579">
        <v>5.2359699999999999E-4</v>
      </c>
      <c r="F2579" t="s">
        <v>233</v>
      </c>
      <c r="G2579" t="s">
        <v>234</v>
      </c>
      <c r="H2579">
        <v>3</v>
      </c>
    </row>
    <row r="2580" spans="1:8" x14ac:dyDescent="0.25">
      <c r="A2580" t="s">
        <v>1366</v>
      </c>
      <c r="B2580" t="s">
        <v>1366</v>
      </c>
      <c r="C2580" t="s">
        <v>265</v>
      </c>
      <c r="D2580" t="s">
        <v>263</v>
      </c>
      <c r="E2580">
        <v>3.0449399999999999E-4</v>
      </c>
      <c r="F2580" t="s">
        <v>233</v>
      </c>
      <c r="G2580" t="s">
        <v>234</v>
      </c>
      <c r="H2580">
        <v>3</v>
      </c>
    </row>
    <row r="2581" spans="1:8" x14ac:dyDescent="0.25">
      <c r="A2581" t="s">
        <v>1129</v>
      </c>
      <c r="B2581" t="s">
        <v>1129</v>
      </c>
      <c r="C2581" t="s">
        <v>271</v>
      </c>
      <c r="D2581" t="s">
        <v>269</v>
      </c>
      <c r="E2581">
        <v>5.2359699999999999E-4</v>
      </c>
      <c r="F2581" t="s">
        <v>233</v>
      </c>
      <c r="G2581" t="s">
        <v>234</v>
      </c>
      <c r="H2581">
        <v>3</v>
      </c>
    </row>
    <row r="2582" spans="1:8" x14ac:dyDescent="0.25">
      <c r="A2582" t="s">
        <v>552</v>
      </c>
      <c r="B2582" t="s">
        <v>552</v>
      </c>
      <c r="C2582" t="s">
        <v>271</v>
      </c>
      <c r="D2582" t="s">
        <v>269</v>
      </c>
      <c r="E2582">
        <v>5.2359699999999999E-4</v>
      </c>
      <c r="F2582" t="s">
        <v>233</v>
      </c>
      <c r="G2582" t="s">
        <v>234</v>
      </c>
      <c r="H2582">
        <v>3</v>
      </c>
    </row>
    <row r="2583" spans="1:8" x14ac:dyDescent="0.25">
      <c r="A2583" t="s">
        <v>1243</v>
      </c>
      <c r="B2583" t="s">
        <v>1243</v>
      </c>
      <c r="C2583" t="s">
        <v>271</v>
      </c>
      <c r="D2583" t="s">
        <v>269</v>
      </c>
      <c r="E2583">
        <v>5.2359699999999999E-4</v>
      </c>
      <c r="F2583" t="s">
        <v>233</v>
      </c>
      <c r="G2583" t="s">
        <v>234</v>
      </c>
      <c r="H2583">
        <v>3</v>
      </c>
    </row>
    <row r="2584" spans="1:8" x14ac:dyDescent="0.25">
      <c r="A2584" t="s">
        <v>1244</v>
      </c>
      <c r="B2584" t="s">
        <v>1244</v>
      </c>
      <c r="C2584" t="s">
        <v>271</v>
      </c>
      <c r="D2584" t="s">
        <v>269</v>
      </c>
      <c r="E2584">
        <v>5.2359699999999999E-4</v>
      </c>
      <c r="F2584" t="s">
        <v>233</v>
      </c>
      <c r="G2584" t="s">
        <v>234</v>
      </c>
      <c r="H2584">
        <v>3</v>
      </c>
    </row>
    <row r="2585" spans="1:8" x14ac:dyDescent="0.25">
      <c r="A2585" t="s">
        <v>3864</v>
      </c>
      <c r="B2585" t="s">
        <v>3864</v>
      </c>
      <c r="C2585" t="s">
        <v>301</v>
      </c>
      <c r="D2585" t="s">
        <v>299</v>
      </c>
      <c r="E2585">
        <v>6.3590900000000004E-4</v>
      </c>
      <c r="F2585" t="s">
        <v>233</v>
      </c>
      <c r="G2585" t="s">
        <v>234</v>
      </c>
      <c r="H2585">
        <v>3</v>
      </c>
    </row>
    <row r="2586" spans="1:8" x14ac:dyDescent="0.25">
      <c r="A2586" t="s">
        <v>5300</v>
      </c>
      <c r="B2586" t="s">
        <v>5300</v>
      </c>
      <c r="C2586" t="s">
        <v>271</v>
      </c>
      <c r="D2586" t="s">
        <v>269</v>
      </c>
      <c r="E2586">
        <v>5.2359699999999999E-4</v>
      </c>
      <c r="F2586" t="s">
        <v>233</v>
      </c>
      <c r="G2586" t="s">
        <v>234</v>
      </c>
      <c r="H2586">
        <v>3</v>
      </c>
    </row>
    <row r="2587" spans="1:8" x14ac:dyDescent="0.25">
      <c r="A2587" t="s">
        <v>3813</v>
      </c>
      <c r="B2587" t="s">
        <v>3813</v>
      </c>
      <c r="C2587" t="s">
        <v>301</v>
      </c>
      <c r="D2587" t="s">
        <v>299</v>
      </c>
      <c r="E2587">
        <v>6.3590900000000004E-4</v>
      </c>
      <c r="F2587" t="s">
        <v>233</v>
      </c>
      <c r="G2587" t="s">
        <v>234</v>
      </c>
      <c r="H2587">
        <v>3</v>
      </c>
    </row>
    <row r="2588" spans="1:8" x14ac:dyDescent="0.25">
      <c r="A2588" t="s">
        <v>5301</v>
      </c>
      <c r="B2588" t="s">
        <v>5301</v>
      </c>
      <c r="C2588" t="s">
        <v>301</v>
      </c>
      <c r="D2588" t="s">
        <v>299</v>
      </c>
      <c r="E2588">
        <v>6.3590900000000004E-4</v>
      </c>
      <c r="F2588" t="s">
        <v>233</v>
      </c>
      <c r="G2588" t="s">
        <v>234</v>
      </c>
      <c r="H2588">
        <v>3</v>
      </c>
    </row>
    <row r="2589" spans="1:8" x14ac:dyDescent="0.25">
      <c r="A2589" t="s">
        <v>5302</v>
      </c>
      <c r="B2589" t="s">
        <v>5302</v>
      </c>
      <c r="C2589" t="s">
        <v>301</v>
      </c>
      <c r="D2589" t="s">
        <v>299</v>
      </c>
      <c r="E2589">
        <v>6.3590900000000004E-4</v>
      </c>
      <c r="F2589" t="s">
        <v>233</v>
      </c>
      <c r="G2589" t="s">
        <v>234</v>
      </c>
      <c r="H2589">
        <v>3</v>
      </c>
    </row>
    <row r="2590" spans="1:8" x14ac:dyDescent="0.25">
      <c r="A2590" t="s">
        <v>4382</v>
      </c>
      <c r="B2590" t="s">
        <v>4382</v>
      </c>
      <c r="C2590" t="s">
        <v>301</v>
      </c>
      <c r="D2590" t="s">
        <v>299</v>
      </c>
      <c r="E2590">
        <v>6.3590900000000004E-4</v>
      </c>
      <c r="F2590" t="s">
        <v>233</v>
      </c>
      <c r="G2590" t="s">
        <v>234</v>
      </c>
      <c r="H2590">
        <v>3</v>
      </c>
    </row>
    <row r="2591" spans="1:8" x14ac:dyDescent="0.25">
      <c r="A2591" t="s">
        <v>5303</v>
      </c>
      <c r="B2591" t="s">
        <v>5303</v>
      </c>
      <c r="C2591" t="s">
        <v>271</v>
      </c>
      <c r="D2591" t="s">
        <v>269</v>
      </c>
      <c r="E2591">
        <v>5.2359699999999999E-4</v>
      </c>
      <c r="F2591" t="s">
        <v>233</v>
      </c>
      <c r="G2591" t="s">
        <v>234</v>
      </c>
      <c r="H2591">
        <v>3</v>
      </c>
    </row>
    <row r="2592" spans="1:8" x14ac:dyDescent="0.25">
      <c r="A2592" t="s">
        <v>5304</v>
      </c>
      <c r="B2592" t="s">
        <v>5304</v>
      </c>
      <c r="C2592" t="s">
        <v>271</v>
      </c>
      <c r="D2592" t="s">
        <v>269</v>
      </c>
      <c r="E2592">
        <v>5.2359699999999999E-4</v>
      </c>
      <c r="F2592" t="s">
        <v>233</v>
      </c>
      <c r="G2592" t="s">
        <v>234</v>
      </c>
      <c r="H2592">
        <v>3</v>
      </c>
    </row>
    <row r="2593" spans="1:8" x14ac:dyDescent="0.25">
      <c r="A2593" t="s">
        <v>5305</v>
      </c>
      <c r="B2593" t="s">
        <v>5305</v>
      </c>
      <c r="C2593" t="s">
        <v>271</v>
      </c>
      <c r="D2593" t="s">
        <v>269</v>
      </c>
      <c r="E2593">
        <v>5.2359699999999999E-4</v>
      </c>
      <c r="F2593" t="s">
        <v>233</v>
      </c>
      <c r="G2593" t="s">
        <v>234</v>
      </c>
      <c r="H2593">
        <v>3</v>
      </c>
    </row>
    <row r="2594" spans="1:8" x14ac:dyDescent="0.25">
      <c r="A2594" t="s">
        <v>5306</v>
      </c>
      <c r="B2594" t="s">
        <v>5306</v>
      </c>
      <c r="C2594" t="s">
        <v>271</v>
      </c>
      <c r="D2594" t="s">
        <v>269</v>
      </c>
      <c r="E2594">
        <v>5.2359699999999999E-4</v>
      </c>
      <c r="F2594" t="s">
        <v>233</v>
      </c>
      <c r="G2594" t="s">
        <v>234</v>
      </c>
      <c r="H2594">
        <v>3</v>
      </c>
    </row>
    <row r="2595" spans="1:8" x14ac:dyDescent="0.25">
      <c r="A2595" t="s">
        <v>5307</v>
      </c>
      <c r="B2595" t="s">
        <v>5307</v>
      </c>
      <c r="C2595" t="s">
        <v>271</v>
      </c>
      <c r="D2595" t="s">
        <v>269</v>
      </c>
      <c r="E2595">
        <v>5.2359699999999999E-4</v>
      </c>
      <c r="F2595" t="s">
        <v>233</v>
      </c>
      <c r="G2595" t="s">
        <v>234</v>
      </c>
      <c r="H2595">
        <v>3</v>
      </c>
    </row>
    <row r="2596" spans="1:8" x14ac:dyDescent="0.25">
      <c r="A2596" t="s">
        <v>5308</v>
      </c>
      <c r="B2596" t="s">
        <v>5308</v>
      </c>
      <c r="C2596" t="s">
        <v>271</v>
      </c>
      <c r="D2596" t="s">
        <v>269</v>
      </c>
      <c r="E2596">
        <v>5.2359699999999999E-4</v>
      </c>
      <c r="F2596" t="s">
        <v>233</v>
      </c>
      <c r="G2596" t="s">
        <v>234</v>
      </c>
      <c r="H2596">
        <v>3</v>
      </c>
    </row>
    <row r="2597" spans="1:8" x14ac:dyDescent="0.25">
      <c r="A2597" t="s">
        <v>5309</v>
      </c>
      <c r="B2597" t="s">
        <v>5309</v>
      </c>
      <c r="C2597" t="s">
        <v>271</v>
      </c>
      <c r="D2597" t="s">
        <v>269</v>
      </c>
      <c r="E2597">
        <v>5.2359699999999999E-4</v>
      </c>
      <c r="F2597" t="s">
        <v>233</v>
      </c>
      <c r="G2597" t="s">
        <v>234</v>
      </c>
      <c r="H2597">
        <v>3</v>
      </c>
    </row>
    <row r="2598" spans="1:8" x14ac:dyDescent="0.25">
      <c r="A2598" t="s">
        <v>5310</v>
      </c>
      <c r="B2598" t="s">
        <v>5310</v>
      </c>
      <c r="C2598" t="s">
        <v>271</v>
      </c>
      <c r="D2598" t="s">
        <v>269</v>
      </c>
      <c r="E2598">
        <v>5.2359699999999999E-4</v>
      </c>
      <c r="F2598" t="s">
        <v>233</v>
      </c>
      <c r="G2598" t="s">
        <v>234</v>
      </c>
      <c r="H2598">
        <v>3</v>
      </c>
    </row>
    <row r="2599" spans="1:8" x14ac:dyDescent="0.25">
      <c r="A2599" t="s">
        <v>5311</v>
      </c>
      <c r="B2599" t="s">
        <v>5311</v>
      </c>
      <c r="C2599" t="s">
        <v>271</v>
      </c>
      <c r="D2599" t="s">
        <v>269</v>
      </c>
      <c r="E2599">
        <v>5.2359699999999999E-4</v>
      </c>
      <c r="F2599" t="s">
        <v>233</v>
      </c>
      <c r="G2599" t="s">
        <v>234</v>
      </c>
      <c r="H2599">
        <v>3</v>
      </c>
    </row>
    <row r="2600" spans="1:8" x14ac:dyDescent="0.25">
      <c r="A2600" t="s">
        <v>5312</v>
      </c>
      <c r="B2600" t="s">
        <v>5312</v>
      </c>
      <c r="C2600" t="s">
        <v>268</v>
      </c>
      <c r="D2600" t="s">
        <v>266</v>
      </c>
      <c r="E2600">
        <v>5.4511299999999996E-4</v>
      </c>
      <c r="F2600" t="s">
        <v>233</v>
      </c>
      <c r="G2600" t="s">
        <v>234</v>
      </c>
      <c r="H2600">
        <v>3</v>
      </c>
    </row>
    <row r="2601" spans="1:8" x14ac:dyDescent="0.25">
      <c r="A2601" t="s">
        <v>5313</v>
      </c>
      <c r="B2601" t="s">
        <v>5313</v>
      </c>
      <c r="C2601" t="s">
        <v>268</v>
      </c>
      <c r="D2601" t="s">
        <v>266</v>
      </c>
      <c r="E2601">
        <v>5.4511299999999996E-4</v>
      </c>
      <c r="F2601" t="s">
        <v>233</v>
      </c>
      <c r="G2601" t="s">
        <v>234</v>
      </c>
      <c r="H2601">
        <v>3</v>
      </c>
    </row>
    <row r="2602" spans="1:8" x14ac:dyDescent="0.25">
      <c r="A2602" t="s">
        <v>5314</v>
      </c>
      <c r="B2602" t="s">
        <v>5314</v>
      </c>
      <c r="C2602" t="s">
        <v>271</v>
      </c>
      <c r="D2602" t="s">
        <v>269</v>
      </c>
      <c r="E2602">
        <v>5.2359699999999999E-4</v>
      </c>
      <c r="F2602" t="s">
        <v>233</v>
      </c>
      <c r="G2602" t="s">
        <v>234</v>
      </c>
      <c r="H2602">
        <v>3</v>
      </c>
    </row>
    <row r="2603" spans="1:8" x14ac:dyDescent="0.25">
      <c r="A2603" t="s">
        <v>5315</v>
      </c>
      <c r="B2603" t="s">
        <v>5315</v>
      </c>
      <c r="C2603" t="s">
        <v>271</v>
      </c>
      <c r="D2603" t="s">
        <v>269</v>
      </c>
      <c r="E2603">
        <v>5.2359699999999999E-4</v>
      </c>
      <c r="F2603" t="s">
        <v>233</v>
      </c>
      <c r="G2603" t="s">
        <v>234</v>
      </c>
      <c r="H2603">
        <v>3</v>
      </c>
    </row>
    <row r="2604" spans="1:8" x14ac:dyDescent="0.25">
      <c r="A2604" t="s">
        <v>5316</v>
      </c>
      <c r="B2604" t="s">
        <v>5316</v>
      </c>
      <c r="C2604" t="s">
        <v>271</v>
      </c>
      <c r="D2604" t="s">
        <v>269</v>
      </c>
      <c r="E2604">
        <v>5.2359699999999999E-4</v>
      </c>
      <c r="F2604" t="s">
        <v>233</v>
      </c>
      <c r="G2604" t="s">
        <v>234</v>
      </c>
      <c r="H2604">
        <v>3</v>
      </c>
    </row>
    <row r="2605" spans="1:8" x14ac:dyDescent="0.25">
      <c r="A2605" t="s">
        <v>5317</v>
      </c>
      <c r="B2605" t="s">
        <v>5317</v>
      </c>
      <c r="C2605" t="s">
        <v>301</v>
      </c>
      <c r="D2605" t="s">
        <v>299</v>
      </c>
      <c r="E2605">
        <v>6.3590900000000004E-4</v>
      </c>
      <c r="F2605" t="s">
        <v>233</v>
      </c>
      <c r="G2605" t="s">
        <v>234</v>
      </c>
      <c r="H2605">
        <v>3</v>
      </c>
    </row>
    <row r="2606" spans="1:8" x14ac:dyDescent="0.25">
      <c r="A2606" t="s">
        <v>5318</v>
      </c>
      <c r="B2606" t="s">
        <v>5318</v>
      </c>
      <c r="C2606" t="s">
        <v>271</v>
      </c>
      <c r="D2606" t="s">
        <v>269</v>
      </c>
      <c r="E2606">
        <v>5.2359699999999999E-4</v>
      </c>
      <c r="F2606" t="s">
        <v>233</v>
      </c>
      <c r="G2606" t="s">
        <v>234</v>
      </c>
      <c r="H2606">
        <v>3</v>
      </c>
    </row>
    <row r="2607" spans="1:8" x14ac:dyDescent="0.25">
      <c r="A2607" t="s">
        <v>5319</v>
      </c>
      <c r="B2607" t="s">
        <v>5319</v>
      </c>
      <c r="C2607" t="s">
        <v>271</v>
      </c>
      <c r="D2607" t="s">
        <v>269</v>
      </c>
      <c r="E2607">
        <v>5.2359699999999999E-4</v>
      </c>
      <c r="F2607" t="s">
        <v>233</v>
      </c>
      <c r="G2607" t="s">
        <v>234</v>
      </c>
      <c r="H2607">
        <v>3</v>
      </c>
    </row>
    <row r="2608" spans="1:8" x14ac:dyDescent="0.25">
      <c r="A2608" t="s">
        <v>5320</v>
      </c>
      <c r="B2608" t="s">
        <v>5320</v>
      </c>
      <c r="C2608" t="s">
        <v>271</v>
      </c>
      <c r="D2608" t="s">
        <v>269</v>
      </c>
      <c r="E2608">
        <v>5.2359699999999999E-4</v>
      </c>
      <c r="F2608" t="s">
        <v>233</v>
      </c>
      <c r="G2608" t="s">
        <v>234</v>
      </c>
      <c r="H2608">
        <v>3</v>
      </c>
    </row>
    <row r="2609" spans="1:8" x14ac:dyDescent="0.25">
      <c r="A2609" t="s">
        <v>5321</v>
      </c>
      <c r="B2609" t="s">
        <v>5321</v>
      </c>
      <c r="C2609" t="s">
        <v>271</v>
      </c>
      <c r="D2609" t="s">
        <v>269</v>
      </c>
      <c r="E2609">
        <v>5.2359699999999999E-4</v>
      </c>
      <c r="F2609" t="s">
        <v>233</v>
      </c>
      <c r="G2609" t="s">
        <v>234</v>
      </c>
      <c r="H2609">
        <v>3</v>
      </c>
    </row>
    <row r="2610" spans="1:8" x14ac:dyDescent="0.25">
      <c r="A2610" t="s">
        <v>5322</v>
      </c>
      <c r="B2610" t="s">
        <v>5322</v>
      </c>
      <c r="C2610" t="s">
        <v>271</v>
      </c>
      <c r="D2610" t="s">
        <v>269</v>
      </c>
      <c r="E2610">
        <v>5.2359699999999999E-4</v>
      </c>
      <c r="F2610" t="s">
        <v>233</v>
      </c>
      <c r="G2610" t="s">
        <v>234</v>
      </c>
      <c r="H2610">
        <v>3</v>
      </c>
    </row>
    <row r="2611" spans="1:8" x14ac:dyDescent="0.25">
      <c r="A2611" t="s">
        <v>5323</v>
      </c>
      <c r="B2611" t="s">
        <v>5323</v>
      </c>
      <c r="C2611" t="s">
        <v>271</v>
      </c>
      <c r="D2611" t="s">
        <v>269</v>
      </c>
      <c r="E2611">
        <v>5.2359699999999999E-4</v>
      </c>
      <c r="F2611" t="s">
        <v>233</v>
      </c>
      <c r="G2611" t="s">
        <v>234</v>
      </c>
      <c r="H2611">
        <v>3</v>
      </c>
    </row>
    <row r="2612" spans="1:8" x14ac:dyDescent="0.25">
      <c r="A2612" t="s">
        <v>5324</v>
      </c>
      <c r="B2612" t="s">
        <v>5324</v>
      </c>
      <c r="C2612" t="s">
        <v>271</v>
      </c>
      <c r="D2612" t="s">
        <v>269</v>
      </c>
      <c r="E2612">
        <v>5.2359699999999999E-4</v>
      </c>
      <c r="F2612" t="s">
        <v>233</v>
      </c>
      <c r="G2612" t="s">
        <v>234</v>
      </c>
      <c r="H2612">
        <v>3</v>
      </c>
    </row>
    <row r="2613" spans="1:8" x14ac:dyDescent="0.25">
      <c r="A2613" t="s">
        <v>4413</v>
      </c>
      <c r="B2613" t="s">
        <v>4413</v>
      </c>
      <c r="C2613" t="s">
        <v>271</v>
      </c>
      <c r="D2613" t="s">
        <v>269</v>
      </c>
      <c r="E2613">
        <v>5.2359699999999999E-4</v>
      </c>
      <c r="F2613" t="s">
        <v>233</v>
      </c>
      <c r="G2613" t="s">
        <v>234</v>
      </c>
      <c r="H2613">
        <v>3</v>
      </c>
    </row>
    <row r="2614" spans="1:8" x14ac:dyDescent="0.25">
      <c r="A2614" t="s">
        <v>5325</v>
      </c>
      <c r="B2614" t="s">
        <v>5325</v>
      </c>
      <c r="C2614" t="s">
        <v>271</v>
      </c>
      <c r="D2614" t="s">
        <v>269</v>
      </c>
      <c r="E2614">
        <v>5.2359699999999999E-4</v>
      </c>
      <c r="F2614" t="s">
        <v>233</v>
      </c>
      <c r="G2614" t="s">
        <v>234</v>
      </c>
      <c r="H2614">
        <v>3</v>
      </c>
    </row>
    <row r="2615" spans="1:8" x14ac:dyDescent="0.25">
      <c r="A2615" t="s">
        <v>5326</v>
      </c>
      <c r="B2615" t="s">
        <v>5326</v>
      </c>
      <c r="C2615" t="s">
        <v>271</v>
      </c>
      <c r="D2615" t="s">
        <v>269</v>
      </c>
      <c r="E2615">
        <v>5.2359699999999999E-4</v>
      </c>
      <c r="F2615" t="s">
        <v>233</v>
      </c>
      <c r="G2615" t="s">
        <v>234</v>
      </c>
      <c r="H2615">
        <v>3</v>
      </c>
    </row>
    <row r="2616" spans="1:8" x14ac:dyDescent="0.25">
      <c r="A2616" t="s">
        <v>4418</v>
      </c>
      <c r="B2616" t="s">
        <v>4418</v>
      </c>
      <c r="C2616" t="s">
        <v>244</v>
      </c>
      <c r="D2616" t="s">
        <v>242</v>
      </c>
      <c r="E2616">
        <v>5.4284299999999999E-4</v>
      </c>
      <c r="F2616" t="s">
        <v>233</v>
      </c>
      <c r="G2616" t="s">
        <v>234</v>
      </c>
      <c r="H2616">
        <v>3</v>
      </c>
    </row>
    <row r="2617" spans="1:8" x14ac:dyDescent="0.25">
      <c r="A2617" t="s">
        <v>5327</v>
      </c>
      <c r="B2617" t="s">
        <v>5327</v>
      </c>
      <c r="C2617" t="s">
        <v>271</v>
      </c>
      <c r="D2617" t="s">
        <v>269</v>
      </c>
      <c r="E2617">
        <v>5.2359699999999999E-4</v>
      </c>
      <c r="F2617" t="s">
        <v>233</v>
      </c>
      <c r="G2617" t="s">
        <v>234</v>
      </c>
      <c r="H2617">
        <v>3</v>
      </c>
    </row>
    <row r="2618" spans="1:8" x14ac:dyDescent="0.25">
      <c r="A2618" t="s">
        <v>5328</v>
      </c>
      <c r="B2618" t="s">
        <v>5328</v>
      </c>
      <c r="C2618" t="s">
        <v>271</v>
      </c>
      <c r="D2618" t="s">
        <v>269</v>
      </c>
      <c r="E2618">
        <v>5.2359699999999999E-4</v>
      </c>
      <c r="F2618" t="s">
        <v>233</v>
      </c>
      <c r="G2618" t="s">
        <v>234</v>
      </c>
      <c r="H2618">
        <v>3</v>
      </c>
    </row>
    <row r="2619" spans="1:8" x14ac:dyDescent="0.25">
      <c r="A2619" t="s">
        <v>5329</v>
      </c>
      <c r="B2619" t="s">
        <v>5329</v>
      </c>
      <c r="C2619" t="s">
        <v>271</v>
      </c>
      <c r="D2619" t="s">
        <v>269</v>
      </c>
      <c r="E2619">
        <v>5.2359699999999999E-4</v>
      </c>
      <c r="F2619" t="s">
        <v>233</v>
      </c>
      <c r="G2619" t="s">
        <v>234</v>
      </c>
      <c r="H2619">
        <v>3</v>
      </c>
    </row>
    <row r="2620" spans="1:8" x14ac:dyDescent="0.25">
      <c r="A2620" t="s">
        <v>5330</v>
      </c>
      <c r="B2620" t="s">
        <v>5330</v>
      </c>
      <c r="C2620" t="s">
        <v>265</v>
      </c>
      <c r="D2620" t="s">
        <v>263</v>
      </c>
      <c r="E2620">
        <v>3.0449399999999999E-4</v>
      </c>
      <c r="F2620" t="s">
        <v>233</v>
      </c>
      <c r="G2620" t="s">
        <v>234</v>
      </c>
      <c r="H2620">
        <v>3</v>
      </c>
    </row>
    <row r="2621" spans="1:8" x14ac:dyDescent="0.25">
      <c r="A2621" t="s">
        <v>5331</v>
      </c>
      <c r="B2621" t="s">
        <v>5331</v>
      </c>
      <c r="C2621" t="s">
        <v>271</v>
      </c>
      <c r="D2621" t="s">
        <v>269</v>
      </c>
      <c r="E2621">
        <v>5.2359699999999999E-4</v>
      </c>
      <c r="F2621" t="s">
        <v>233</v>
      </c>
      <c r="G2621" t="s">
        <v>234</v>
      </c>
      <c r="H2621">
        <v>3</v>
      </c>
    </row>
    <row r="2622" spans="1:8" x14ac:dyDescent="0.25">
      <c r="A2622" t="s">
        <v>5332</v>
      </c>
      <c r="B2622" t="s">
        <v>5332</v>
      </c>
      <c r="C2622" t="s">
        <v>271</v>
      </c>
      <c r="D2622" t="s">
        <v>269</v>
      </c>
      <c r="E2622">
        <v>5.2359699999999999E-4</v>
      </c>
      <c r="F2622" t="s">
        <v>233</v>
      </c>
      <c r="G2622" t="s">
        <v>234</v>
      </c>
      <c r="H2622">
        <v>3</v>
      </c>
    </row>
    <row r="2623" spans="1:8" x14ac:dyDescent="0.25">
      <c r="A2623" t="s">
        <v>5333</v>
      </c>
      <c r="B2623" t="s">
        <v>5333</v>
      </c>
      <c r="C2623" t="s">
        <v>271</v>
      </c>
      <c r="D2623" t="s">
        <v>269</v>
      </c>
      <c r="E2623">
        <v>5.2359699999999999E-4</v>
      </c>
      <c r="F2623" t="s">
        <v>233</v>
      </c>
      <c r="G2623" t="s">
        <v>234</v>
      </c>
      <c r="H2623">
        <v>3</v>
      </c>
    </row>
    <row r="2624" spans="1:8" x14ac:dyDescent="0.25">
      <c r="A2624" t="s">
        <v>5334</v>
      </c>
      <c r="B2624" t="s">
        <v>5334</v>
      </c>
      <c r="C2624" t="s">
        <v>271</v>
      </c>
      <c r="D2624" t="s">
        <v>269</v>
      </c>
      <c r="E2624">
        <v>5.2359699999999999E-4</v>
      </c>
      <c r="F2624" t="s">
        <v>233</v>
      </c>
      <c r="G2624" t="s">
        <v>234</v>
      </c>
      <c r="H2624">
        <v>3</v>
      </c>
    </row>
    <row r="2625" spans="1:8" x14ac:dyDescent="0.25">
      <c r="A2625" t="s">
        <v>5335</v>
      </c>
      <c r="B2625" t="s">
        <v>5335</v>
      </c>
      <c r="C2625" t="s">
        <v>271</v>
      </c>
      <c r="D2625" t="s">
        <v>269</v>
      </c>
      <c r="E2625">
        <v>5.2359699999999999E-4</v>
      </c>
      <c r="F2625" t="s">
        <v>233</v>
      </c>
      <c r="G2625" t="s">
        <v>234</v>
      </c>
      <c r="H2625">
        <v>3</v>
      </c>
    </row>
    <row r="2626" spans="1:8" x14ac:dyDescent="0.25">
      <c r="A2626" t="s">
        <v>5336</v>
      </c>
      <c r="B2626" t="s">
        <v>5336</v>
      </c>
      <c r="C2626" t="s">
        <v>271</v>
      </c>
      <c r="D2626" t="s">
        <v>269</v>
      </c>
      <c r="E2626">
        <v>5.2359699999999999E-4</v>
      </c>
      <c r="F2626" t="s">
        <v>233</v>
      </c>
      <c r="G2626" t="s">
        <v>234</v>
      </c>
      <c r="H2626">
        <v>3</v>
      </c>
    </row>
    <row r="2627" spans="1:8" x14ac:dyDescent="0.25">
      <c r="A2627" t="s">
        <v>5337</v>
      </c>
      <c r="B2627" t="s">
        <v>5337</v>
      </c>
      <c r="C2627" t="s">
        <v>271</v>
      </c>
      <c r="D2627" t="s">
        <v>269</v>
      </c>
      <c r="E2627">
        <v>5.2359699999999999E-4</v>
      </c>
      <c r="F2627" t="s">
        <v>233</v>
      </c>
      <c r="G2627" t="s">
        <v>234</v>
      </c>
      <c r="H2627">
        <v>3</v>
      </c>
    </row>
    <row r="2628" spans="1:8" x14ac:dyDescent="0.25">
      <c r="A2628" t="s">
        <v>5338</v>
      </c>
      <c r="B2628" t="s">
        <v>5338</v>
      </c>
      <c r="C2628" t="s">
        <v>271</v>
      </c>
      <c r="D2628" t="s">
        <v>269</v>
      </c>
      <c r="E2628">
        <v>5.2359699999999999E-4</v>
      </c>
      <c r="F2628" t="s">
        <v>233</v>
      </c>
      <c r="G2628" t="s">
        <v>234</v>
      </c>
      <c r="H2628">
        <v>3</v>
      </c>
    </row>
    <row r="2629" spans="1:8" x14ac:dyDescent="0.25">
      <c r="A2629" t="s">
        <v>5339</v>
      </c>
      <c r="B2629" t="s">
        <v>5339</v>
      </c>
      <c r="C2629" t="s">
        <v>238</v>
      </c>
      <c r="D2629" t="s">
        <v>235</v>
      </c>
      <c r="E2629">
        <v>1.022263E-3</v>
      </c>
      <c r="F2629" t="s">
        <v>233</v>
      </c>
      <c r="G2629" t="s">
        <v>234</v>
      </c>
      <c r="H2629">
        <v>3</v>
      </c>
    </row>
    <row r="2630" spans="1:8" x14ac:dyDescent="0.25">
      <c r="A2630" t="s">
        <v>5340</v>
      </c>
      <c r="B2630" t="s">
        <v>5340</v>
      </c>
      <c r="C2630" t="s">
        <v>271</v>
      </c>
      <c r="D2630" t="s">
        <v>269</v>
      </c>
      <c r="E2630">
        <v>5.2359699999999999E-4</v>
      </c>
      <c r="F2630" t="s">
        <v>233</v>
      </c>
      <c r="G2630" t="s">
        <v>234</v>
      </c>
      <c r="H2630">
        <v>3</v>
      </c>
    </row>
    <row r="2631" spans="1:8" x14ac:dyDescent="0.25">
      <c r="A2631" t="s">
        <v>5341</v>
      </c>
      <c r="B2631" t="s">
        <v>5341</v>
      </c>
      <c r="C2631" t="s">
        <v>271</v>
      </c>
      <c r="D2631" t="s">
        <v>269</v>
      </c>
      <c r="E2631">
        <v>5.2359699999999999E-4</v>
      </c>
      <c r="F2631" t="s">
        <v>233</v>
      </c>
      <c r="G2631" t="s">
        <v>234</v>
      </c>
      <c r="H2631">
        <v>3</v>
      </c>
    </row>
    <row r="2632" spans="1:8" x14ac:dyDescent="0.25">
      <c r="A2632" t="s">
        <v>5342</v>
      </c>
      <c r="B2632" t="s">
        <v>5342</v>
      </c>
      <c r="C2632" t="s">
        <v>271</v>
      </c>
      <c r="D2632" t="s">
        <v>269</v>
      </c>
      <c r="E2632">
        <v>5.2359699999999999E-4</v>
      </c>
      <c r="F2632" t="s">
        <v>233</v>
      </c>
      <c r="G2632" t="s">
        <v>234</v>
      </c>
      <c r="H2632">
        <v>3</v>
      </c>
    </row>
    <row r="2633" spans="1:8" x14ac:dyDescent="0.25">
      <c r="A2633" t="s">
        <v>5343</v>
      </c>
      <c r="B2633" t="s">
        <v>5343</v>
      </c>
      <c r="C2633" t="s">
        <v>265</v>
      </c>
      <c r="D2633" t="s">
        <v>263</v>
      </c>
      <c r="E2633">
        <v>3.0449399999999999E-4</v>
      </c>
      <c r="F2633" t="s">
        <v>233</v>
      </c>
      <c r="G2633" t="s">
        <v>234</v>
      </c>
      <c r="H2633">
        <v>3</v>
      </c>
    </row>
    <row r="2634" spans="1:8" x14ac:dyDescent="0.25">
      <c r="A2634" t="s">
        <v>5344</v>
      </c>
      <c r="B2634" t="s">
        <v>5344</v>
      </c>
      <c r="C2634" t="s">
        <v>271</v>
      </c>
      <c r="D2634" t="s">
        <v>269</v>
      </c>
      <c r="E2634">
        <v>5.2359699999999999E-4</v>
      </c>
      <c r="F2634" t="s">
        <v>233</v>
      </c>
      <c r="G2634" t="s">
        <v>234</v>
      </c>
      <c r="H2634">
        <v>3</v>
      </c>
    </row>
    <row r="2635" spans="1:8" x14ac:dyDescent="0.25">
      <c r="A2635" t="s">
        <v>5345</v>
      </c>
      <c r="B2635" t="s">
        <v>5345</v>
      </c>
      <c r="C2635" t="s">
        <v>271</v>
      </c>
      <c r="D2635" t="s">
        <v>269</v>
      </c>
      <c r="E2635">
        <v>5.2359699999999999E-4</v>
      </c>
      <c r="F2635" t="s">
        <v>233</v>
      </c>
      <c r="G2635" t="s">
        <v>234</v>
      </c>
      <c r="H2635">
        <v>3</v>
      </c>
    </row>
    <row r="2636" spans="1:8" x14ac:dyDescent="0.25">
      <c r="A2636" t="s">
        <v>5346</v>
      </c>
      <c r="B2636" t="s">
        <v>5346</v>
      </c>
      <c r="C2636" t="s">
        <v>271</v>
      </c>
      <c r="D2636" t="s">
        <v>269</v>
      </c>
      <c r="E2636">
        <v>5.2359699999999999E-4</v>
      </c>
      <c r="F2636" t="s">
        <v>233</v>
      </c>
      <c r="G2636" t="s">
        <v>234</v>
      </c>
      <c r="H2636">
        <v>3</v>
      </c>
    </row>
    <row r="2637" spans="1:8" x14ac:dyDescent="0.25">
      <c r="A2637" t="s">
        <v>5347</v>
      </c>
      <c r="B2637" t="s">
        <v>5347</v>
      </c>
      <c r="C2637" t="s">
        <v>271</v>
      </c>
      <c r="D2637" t="s">
        <v>269</v>
      </c>
      <c r="E2637">
        <v>5.2359699999999999E-4</v>
      </c>
      <c r="F2637" t="s">
        <v>233</v>
      </c>
      <c r="G2637" t="s">
        <v>234</v>
      </c>
      <c r="H2637">
        <v>3</v>
      </c>
    </row>
    <row r="2638" spans="1:8" x14ac:dyDescent="0.25">
      <c r="A2638" t="s">
        <v>5348</v>
      </c>
      <c r="B2638" t="s">
        <v>5348</v>
      </c>
      <c r="C2638" t="s">
        <v>271</v>
      </c>
      <c r="D2638" t="s">
        <v>269</v>
      </c>
      <c r="E2638">
        <v>5.2359699999999999E-4</v>
      </c>
      <c r="F2638" t="s">
        <v>233</v>
      </c>
      <c r="G2638" t="s">
        <v>234</v>
      </c>
      <c r="H2638">
        <v>3</v>
      </c>
    </row>
    <row r="2639" spans="1:8" x14ac:dyDescent="0.25">
      <c r="A2639" t="s">
        <v>5349</v>
      </c>
      <c r="B2639" t="s">
        <v>5349</v>
      </c>
      <c r="C2639" t="s">
        <v>271</v>
      </c>
      <c r="D2639" t="s">
        <v>269</v>
      </c>
      <c r="E2639">
        <v>5.2359699999999999E-4</v>
      </c>
      <c r="F2639" t="s">
        <v>233</v>
      </c>
      <c r="G2639" t="s">
        <v>234</v>
      </c>
      <c r="H2639">
        <v>3</v>
      </c>
    </row>
    <row r="2640" spans="1:8" x14ac:dyDescent="0.25">
      <c r="A2640" t="s">
        <v>5350</v>
      </c>
      <c r="B2640" t="s">
        <v>5350</v>
      </c>
      <c r="C2640" t="s">
        <v>271</v>
      </c>
      <c r="D2640" t="s">
        <v>269</v>
      </c>
      <c r="E2640">
        <v>5.2359699999999999E-4</v>
      </c>
      <c r="F2640" t="s">
        <v>233</v>
      </c>
      <c r="G2640" t="s">
        <v>234</v>
      </c>
      <c r="H2640">
        <v>3</v>
      </c>
    </row>
    <row r="2641" spans="1:8" x14ac:dyDescent="0.25">
      <c r="A2641" t="s">
        <v>5351</v>
      </c>
      <c r="B2641" t="s">
        <v>5351</v>
      </c>
      <c r="C2641" t="s">
        <v>271</v>
      </c>
      <c r="D2641" t="s">
        <v>269</v>
      </c>
      <c r="E2641">
        <v>5.2359699999999999E-4</v>
      </c>
      <c r="F2641" t="s">
        <v>233</v>
      </c>
      <c r="G2641" t="s">
        <v>234</v>
      </c>
      <c r="H2641">
        <v>3</v>
      </c>
    </row>
    <row r="2642" spans="1:8" x14ac:dyDescent="0.25">
      <c r="A2642" t="s">
        <v>5352</v>
      </c>
      <c r="B2642" t="s">
        <v>5352</v>
      </c>
      <c r="C2642" t="s">
        <v>271</v>
      </c>
      <c r="D2642" t="s">
        <v>269</v>
      </c>
      <c r="E2642">
        <v>5.2359699999999999E-4</v>
      </c>
      <c r="F2642" t="s">
        <v>233</v>
      </c>
      <c r="G2642" t="s">
        <v>234</v>
      </c>
      <c r="H2642">
        <v>3</v>
      </c>
    </row>
    <row r="2643" spans="1:8" x14ac:dyDescent="0.25">
      <c r="A2643" t="s">
        <v>5353</v>
      </c>
      <c r="B2643" t="s">
        <v>5353</v>
      </c>
      <c r="C2643" t="s">
        <v>271</v>
      </c>
      <c r="D2643" t="s">
        <v>269</v>
      </c>
      <c r="E2643">
        <v>5.2359699999999999E-4</v>
      </c>
      <c r="F2643" t="s">
        <v>233</v>
      </c>
      <c r="G2643" t="s">
        <v>234</v>
      </c>
      <c r="H2643">
        <v>3</v>
      </c>
    </row>
    <row r="2644" spans="1:8" x14ac:dyDescent="0.25">
      <c r="A2644" t="s">
        <v>5354</v>
      </c>
      <c r="B2644" t="s">
        <v>5354</v>
      </c>
      <c r="C2644" t="s">
        <v>271</v>
      </c>
      <c r="D2644" t="s">
        <v>269</v>
      </c>
      <c r="E2644">
        <v>5.2359699999999999E-4</v>
      </c>
      <c r="F2644" t="s">
        <v>233</v>
      </c>
      <c r="G2644" t="s">
        <v>234</v>
      </c>
      <c r="H2644">
        <v>3</v>
      </c>
    </row>
    <row r="2645" spans="1:8" x14ac:dyDescent="0.25">
      <c r="A2645" t="s">
        <v>5355</v>
      </c>
      <c r="B2645" t="s">
        <v>5355</v>
      </c>
      <c r="C2645" t="s">
        <v>271</v>
      </c>
      <c r="D2645" t="s">
        <v>269</v>
      </c>
      <c r="E2645">
        <v>5.2359699999999999E-4</v>
      </c>
      <c r="F2645" t="s">
        <v>233</v>
      </c>
      <c r="G2645" t="s">
        <v>234</v>
      </c>
      <c r="H2645">
        <v>3</v>
      </c>
    </row>
    <row r="2646" spans="1:8" x14ac:dyDescent="0.25">
      <c r="A2646" t="s">
        <v>5356</v>
      </c>
      <c r="B2646" t="s">
        <v>5356</v>
      </c>
      <c r="C2646" t="s">
        <v>271</v>
      </c>
      <c r="D2646" t="s">
        <v>269</v>
      </c>
      <c r="E2646">
        <v>5.2359699999999999E-4</v>
      </c>
      <c r="F2646" t="s">
        <v>233</v>
      </c>
      <c r="G2646" t="s">
        <v>234</v>
      </c>
      <c r="H2646">
        <v>3</v>
      </c>
    </row>
    <row r="2647" spans="1:8" x14ac:dyDescent="0.25">
      <c r="A2647" t="s">
        <v>5357</v>
      </c>
      <c r="B2647" t="s">
        <v>5357</v>
      </c>
      <c r="C2647" t="s">
        <v>271</v>
      </c>
      <c r="D2647" t="s">
        <v>269</v>
      </c>
      <c r="E2647">
        <v>5.2359699999999999E-4</v>
      </c>
      <c r="F2647" t="s">
        <v>233</v>
      </c>
      <c r="G2647" t="s">
        <v>234</v>
      </c>
      <c r="H2647">
        <v>3</v>
      </c>
    </row>
    <row r="2648" spans="1:8" x14ac:dyDescent="0.25">
      <c r="A2648" t="s">
        <v>5358</v>
      </c>
      <c r="B2648" t="s">
        <v>5358</v>
      </c>
      <c r="C2648" t="s">
        <v>271</v>
      </c>
      <c r="D2648" t="s">
        <v>269</v>
      </c>
      <c r="E2648">
        <v>5.2359699999999999E-4</v>
      </c>
      <c r="F2648" t="s">
        <v>233</v>
      </c>
      <c r="G2648" t="s">
        <v>234</v>
      </c>
      <c r="H2648">
        <v>3</v>
      </c>
    </row>
    <row r="2649" spans="1:8" x14ac:dyDescent="0.25">
      <c r="A2649" t="s">
        <v>5359</v>
      </c>
      <c r="B2649" t="s">
        <v>5359</v>
      </c>
      <c r="C2649" t="s">
        <v>271</v>
      </c>
      <c r="D2649" t="s">
        <v>269</v>
      </c>
      <c r="E2649">
        <v>5.2359699999999999E-4</v>
      </c>
      <c r="F2649" t="s">
        <v>233</v>
      </c>
      <c r="G2649" t="s">
        <v>234</v>
      </c>
      <c r="H2649">
        <v>3</v>
      </c>
    </row>
    <row r="2650" spans="1:8" x14ac:dyDescent="0.25">
      <c r="A2650" t="s">
        <v>5360</v>
      </c>
      <c r="B2650" t="s">
        <v>5360</v>
      </c>
      <c r="C2650" t="s">
        <v>271</v>
      </c>
      <c r="D2650" t="s">
        <v>269</v>
      </c>
      <c r="E2650">
        <v>5.2359699999999999E-4</v>
      </c>
      <c r="F2650" t="s">
        <v>233</v>
      </c>
      <c r="G2650" t="s">
        <v>234</v>
      </c>
      <c r="H2650">
        <v>3</v>
      </c>
    </row>
    <row r="2651" spans="1:8" x14ac:dyDescent="0.25">
      <c r="A2651" t="s">
        <v>5361</v>
      </c>
      <c r="B2651" t="s">
        <v>5361</v>
      </c>
      <c r="C2651" t="s">
        <v>271</v>
      </c>
      <c r="D2651" t="s">
        <v>269</v>
      </c>
      <c r="E2651">
        <v>5.2359699999999999E-4</v>
      </c>
      <c r="F2651" t="s">
        <v>233</v>
      </c>
      <c r="G2651" t="s">
        <v>234</v>
      </c>
      <c r="H2651">
        <v>3</v>
      </c>
    </row>
    <row r="2652" spans="1:8" x14ac:dyDescent="0.25">
      <c r="A2652" t="s">
        <v>5362</v>
      </c>
      <c r="B2652" t="s">
        <v>5362</v>
      </c>
      <c r="C2652" t="s">
        <v>271</v>
      </c>
      <c r="D2652" t="s">
        <v>269</v>
      </c>
      <c r="E2652">
        <v>5.2359699999999999E-4</v>
      </c>
      <c r="F2652" t="s">
        <v>233</v>
      </c>
      <c r="G2652" t="s">
        <v>234</v>
      </c>
      <c r="H2652">
        <v>3</v>
      </c>
    </row>
    <row r="2653" spans="1:8" x14ac:dyDescent="0.25">
      <c r="A2653" t="s">
        <v>5363</v>
      </c>
      <c r="B2653" t="s">
        <v>5363</v>
      </c>
      <c r="C2653" t="s">
        <v>271</v>
      </c>
      <c r="D2653" t="s">
        <v>269</v>
      </c>
      <c r="E2653">
        <v>5.2359699999999999E-4</v>
      </c>
      <c r="F2653" t="s">
        <v>233</v>
      </c>
      <c r="G2653" t="s">
        <v>234</v>
      </c>
      <c r="H2653">
        <v>3</v>
      </c>
    </row>
    <row r="2654" spans="1:8" x14ac:dyDescent="0.25">
      <c r="A2654" t="s">
        <v>5364</v>
      </c>
      <c r="B2654" t="s">
        <v>5364</v>
      </c>
      <c r="C2654" t="s">
        <v>271</v>
      </c>
      <c r="D2654" t="s">
        <v>269</v>
      </c>
      <c r="E2654">
        <v>5.2359699999999999E-4</v>
      </c>
      <c r="F2654" t="s">
        <v>233</v>
      </c>
      <c r="G2654" t="s">
        <v>234</v>
      </c>
      <c r="H2654">
        <v>3</v>
      </c>
    </row>
    <row r="2655" spans="1:8" x14ac:dyDescent="0.25">
      <c r="A2655" t="s">
        <v>5365</v>
      </c>
      <c r="B2655" t="s">
        <v>5365</v>
      </c>
      <c r="C2655" t="s">
        <v>271</v>
      </c>
      <c r="D2655" t="s">
        <v>269</v>
      </c>
      <c r="E2655">
        <v>5.2359699999999999E-4</v>
      </c>
      <c r="F2655" t="s">
        <v>233</v>
      </c>
      <c r="G2655" t="s">
        <v>234</v>
      </c>
      <c r="H2655">
        <v>3</v>
      </c>
    </row>
    <row r="2656" spans="1:8" x14ac:dyDescent="0.25">
      <c r="A2656" t="s">
        <v>5366</v>
      </c>
      <c r="B2656" t="s">
        <v>5366</v>
      </c>
      <c r="C2656" t="s">
        <v>271</v>
      </c>
      <c r="D2656" t="s">
        <v>269</v>
      </c>
      <c r="E2656">
        <v>5.2359699999999999E-4</v>
      </c>
      <c r="F2656" t="s">
        <v>233</v>
      </c>
      <c r="G2656" t="s">
        <v>234</v>
      </c>
      <c r="H2656">
        <v>3</v>
      </c>
    </row>
    <row r="2657" spans="1:8" x14ac:dyDescent="0.25">
      <c r="A2657" t="s">
        <v>5367</v>
      </c>
      <c r="B2657" t="s">
        <v>5367</v>
      </c>
      <c r="C2657" t="s">
        <v>271</v>
      </c>
      <c r="D2657" t="s">
        <v>269</v>
      </c>
      <c r="E2657">
        <v>5.2359699999999999E-4</v>
      </c>
      <c r="F2657" t="s">
        <v>233</v>
      </c>
      <c r="G2657" t="s">
        <v>234</v>
      </c>
      <c r="H2657">
        <v>3</v>
      </c>
    </row>
    <row r="2658" spans="1:8" x14ac:dyDescent="0.25">
      <c r="A2658" t="s">
        <v>5368</v>
      </c>
      <c r="B2658" t="s">
        <v>5368</v>
      </c>
      <c r="C2658" t="s">
        <v>301</v>
      </c>
      <c r="D2658" t="s">
        <v>299</v>
      </c>
      <c r="E2658">
        <v>6.3590900000000004E-4</v>
      </c>
      <c r="F2658" t="s">
        <v>233</v>
      </c>
      <c r="G2658" t="s">
        <v>234</v>
      </c>
      <c r="H2658">
        <v>3</v>
      </c>
    </row>
    <row r="2659" spans="1:8" x14ac:dyDescent="0.25">
      <c r="A2659" t="s">
        <v>5369</v>
      </c>
      <c r="B2659" t="s">
        <v>5369</v>
      </c>
      <c r="C2659" t="s">
        <v>265</v>
      </c>
      <c r="D2659" t="s">
        <v>263</v>
      </c>
      <c r="E2659">
        <v>3.0449399999999999E-4</v>
      </c>
      <c r="F2659" t="s">
        <v>233</v>
      </c>
      <c r="G2659" t="s">
        <v>234</v>
      </c>
      <c r="H2659">
        <v>3</v>
      </c>
    </row>
    <row r="2660" spans="1:8" x14ac:dyDescent="0.25">
      <c r="A2660" t="s">
        <v>4459</v>
      </c>
      <c r="B2660" t="s">
        <v>4459</v>
      </c>
      <c r="C2660" t="s">
        <v>256</v>
      </c>
      <c r="D2660" t="s">
        <v>254</v>
      </c>
      <c r="E2660">
        <v>8.1312799999999998E-4</v>
      </c>
      <c r="F2660" t="s">
        <v>233</v>
      </c>
      <c r="G2660" t="s">
        <v>234</v>
      </c>
      <c r="H2660">
        <v>3</v>
      </c>
    </row>
    <row r="2661" spans="1:8" x14ac:dyDescent="0.25">
      <c r="A2661" t="s">
        <v>5370</v>
      </c>
      <c r="B2661" t="s">
        <v>5370</v>
      </c>
      <c r="C2661" t="s">
        <v>271</v>
      </c>
      <c r="D2661" t="s">
        <v>269</v>
      </c>
      <c r="E2661">
        <v>5.2359699999999999E-4</v>
      </c>
      <c r="F2661" t="s">
        <v>233</v>
      </c>
      <c r="G2661" t="s">
        <v>234</v>
      </c>
      <c r="H2661">
        <v>3</v>
      </c>
    </row>
    <row r="2662" spans="1:8" x14ac:dyDescent="0.25">
      <c r="A2662" t="s">
        <v>5371</v>
      </c>
      <c r="B2662" t="s">
        <v>5371</v>
      </c>
      <c r="C2662" t="s">
        <v>265</v>
      </c>
      <c r="D2662" t="s">
        <v>263</v>
      </c>
      <c r="E2662">
        <v>3.0449399999999999E-4</v>
      </c>
      <c r="F2662" t="s">
        <v>233</v>
      </c>
      <c r="G2662" t="s">
        <v>234</v>
      </c>
      <c r="H2662">
        <v>3</v>
      </c>
    </row>
    <row r="2663" spans="1:8" x14ac:dyDescent="0.25">
      <c r="A2663" t="s">
        <v>5372</v>
      </c>
      <c r="B2663" t="s">
        <v>5372</v>
      </c>
      <c r="C2663" t="s">
        <v>256</v>
      </c>
      <c r="D2663" t="s">
        <v>254</v>
      </c>
      <c r="E2663">
        <v>8.1312799999999998E-4</v>
      </c>
      <c r="F2663" t="s">
        <v>233</v>
      </c>
      <c r="G2663" t="s">
        <v>234</v>
      </c>
      <c r="H2663">
        <v>3</v>
      </c>
    </row>
    <row r="2664" spans="1:8" x14ac:dyDescent="0.25">
      <c r="A2664" t="s">
        <v>5373</v>
      </c>
      <c r="B2664" t="s">
        <v>5373</v>
      </c>
      <c r="C2664" t="s">
        <v>271</v>
      </c>
      <c r="D2664" t="s">
        <v>269</v>
      </c>
      <c r="E2664">
        <v>5.2359699999999999E-4</v>
      </c>
      <c r="F2664" t="s">
        <v>233</v>
      </c>
      <c r="G2664" t="s">
        <v>234</v>
      </c>
      <c r="H2664">
        <v>3</v>
      </c>
    </row>
    <row r="2665" spans="1:8" x14ac:dyDescent="0.25">
      <c r="A2665" t="s">
        <v>3820</v>
      </c>
      <c r="B2665" t="s">
        <v>3820</v>
      </c>
      <c r="C2665" t="s">
        <v>301</v>
      </c>
      <c r="D2665" t="s">
        <v>299</v>
      </c>
      <c r="E2665">
        <v>6.3590900000000004E-4</v>
      </c>
      <c r="F2665" t="s">
        <v>233</v>
      </c>
      <c r="G2665" t="s">
        <v>234</v>
      </c>
      <c r="H2665">
        <v>3</v>
      </c>
    </row>
    <row r="2666" spans="1:8" x14ac:dyDescent="0.25">
      <c r="A2666" t="s">
        <v>1364</v>
      </c>
      <c r="B2666" t="s">
        <v>1364</v>
      </c>
      <c r="C2666" t="s">
        <v>301</v>
      </c>
      <c r="D2666" t="s">
        <v>299</v>
      </c>
      <c r="E2666">
        <v>6.3590900000000004E-4</v>
      </c>
      <c r="F2666" t="s">
        <v>233</v>
      </c>
      <c r="G2666" t="s">
        <v>234</v>
      </c>
      <c r="H2666">
        <v>3</v>
      </c>
    </row>
    <row r="2667" spans="1:8" x14ac:dyDescent="0.25">
      <c r="A2667" t="s">
        <v>5374</v>
      </c>
      <c r="B2667" t="s">
        <v>5374</v>
      </c>
      <c r="C2667" t="s">
        <v>271</v>
      </c>
      <c r="D2667" t="s">
        <v>269</v>
      </c>
      <c r="E2667">
        <v>5.2359699999999999E-4</v>
      </c>
      <c r="F2667" t="s">
        <v>233</v>
      </c>
      <c r="G2667" t="s">
        <v>234</v>
      </c>
      <c r="H2667">
        <v>3</v>
      </c>
    </row>
    <row r="2668" spans="1:8" x14ac:dyDescent="0.25">
      <c r="A2668" t="s">
        <v>5375</v>
      </c>
      <c r="B2668" t="s">
        <v>5375</v>
      </c>
      <c r="C2668" t="s">
        <v>265</v>
      </c>
      <c r="D2668" t="s">
        <v>263</v>
      </c>
      <c r="E2668">
        <v>3.0449399999999999E-4</v>
      </c>
      <c r="F2668" t="s">
        <v>233</v>
      </c>
      <c r="G2668" t="s">
        <v>234</v>
      </c>
      <c r="H2668">
        <v>3</v>
      </c>
    </row>
    <row r="2669" spans="1:8" x14ac:dyDescent="0.25">
      <c r="A2669" t="s">
        <v>1426</v>
      </c>
      <c r="B2669" t="s">
        <v>1426</v>
      </c>
      <c r="C2669" t="s">
        <v>265</v>
      </c>
      <c r="D2669" t="s">
        <v>263</v>
      </c>
      <c r="E2669">
        <v>3.0449399999999999E-4</v>
      </c>
      <c r="F2669" t="s">
        <v>233</v>
      </c>
      <c r="G2669" t="s">
        <v>234</v>
      </c>
      <c r="H2669">
        <v>3</v>
      </c>
    </row>
    <row r="2670" spans="1:8" x14ac:dyDescent="0.25">
      <c r="A2670" t="s">
        <v>5376</v>
      </c>
      <c r="B2670" t="s">
        <v>5376</v>
      </c>
      <c r="C2670" t="s">
        <v>465</v>
      </c>
      <c r="D2670" t="s">
        <v>466</v>
      </c>
      <c r="E2670">
        <v>2.2128299999999999E-4</v>
      </c>
      <c r="F2670" t="s">
        <v>233</v>
      </c>
      <c r="G2670" t="s">
        <v>234</v>
      </c>
      <c r="H2670">
        <v>3</v>
      </c>
    </row>
    <row r="2671" spans="1:8" x14ac:dyDescent="0.25">
      <c r="A2671" t="s">
        <v>5377</v>
      </c>
      <c r="B2671" t="s">
        <v>5377</v>
      </c>
      <c r="C2671" t="s">
        <v>265</v>
      </c>
      <c r="D2671" t="s">
        <v>263</v>
      </c>
      <c r="E2671">
        <v>3.0449399999999999E-4</v>
      </c>
      <c r="F2671" t="s">
        <v>233</v>
      </c>
      <c r="G2671" t="s">
        <v>234</v>
      </c>
      <c r="H2671">
        <v>3</v>
      </c>
    </row>
    <row r="2672" spans="1:8" x14ac:dyDescent="0.25">
      <c r="A2672" t="s">
        <v>1434</v>
      </c>
      <c r="B2672" t="s">
        <v>1434</v>
      </c>
      <c r="C2672" t="s">
        <v>256</v>
      </c>
      <c r="D2672" t="s">
        <v>254</v>
      </c>
      <c r="E2672">
        <v>8.1312799999999998E-4</v>
      </c>
      <c r="F2672" t="s">
        <v>233</v>
      </c>
      <c r="G2672" t="s">
        <v>234</v>
      </c>
      <c r="H2672">
        <v>3</v>
      </c>
    </row>
    <row r="2673" spans="1:8" x14ac:dyDescent="0.25">
      <c r="A2673" t="s">
        <v>5378</v>
      </c>
      <c r="B2673" t="s">
        <v>5378</v>
      </c>
      <c r="C2673" t="s">
        <v>268</v>
      </c>
      <c r="D2673" t="s">
        <v>266</v>
      </c>
      <c r="E2673">
        <v>5.4511299999999996E-4</v>
      </c>
      <c r="F2673" t="s">
        <v>233</v>
      </c>
      <c r="G2673" t="s">
        <v>234</v>
      </c>
      <c r="H2673">
        <v>3</v>
      </c>
    </row>
    <row r="2674" spans="1:8" x14ac:dyDescent="0.25">
      <c r="A2674" t="s">
        <v>5379</v>
      </c>
      <c r="B2674" t="s">
        <v>5379</v>
      </c>
      <c r="C2674" t="s">
        <v>271</v>
      </c>
      <c r="D2674" t="s">
        <v>269</v>
      </c>
      <c r="E2674">
        <v>5.2359699999999999E-4</v>
      </c>
      <c r="F2674" t="s">
        <v>233</v>
      </c>
      <c r="G2674" t="s">
        <v>234</v>
      </c>
      <c r="H2674">
        <v>3</v>
      </c>
    </row>
    <row r="2675" spans="1:8" x14ac:dyDescent="0.25">
      <c r="A2675" t="s">
        <v>5380</v>
      </c>
      <c r="B2675" t="s">
        <v>5380</v>
      </c>
      <c r="C2675" t="s">
        <v>271</v>
      </c>
      <c r="D2675" t="s">
        <v>269</v>
      </c>
      <c r="E2675">
        <v>5.2359699999999999E-4</v>
      </c>
      <c r="F2675" t="s">
        <v>233</v>
      </c>
      <c r="G2675" t="s">
        <v>234</v>
      </c>
      <c r="H2675">
        <v>3</v>
      </c>
    </row>
    <row r="2676" spans="1:8" x14ac:dyDescent="0.25">
      <c r="A2676" t="s">
        <v>5381</v>
      </c>
      <c r="B2676" t="s">
        <v>5381</v>
      </c>
      <c r="C2676" t="s">
        <v>271</v>
      </c>
      <c r="D2676" t="s">
        <v>269</v>
      </c>
      <c r="E2676">
        <v>5.2359699999999999E-4</v>
      </c>
      <c r="F2676" t="s">
        <v>233</v>
      </c>
      <c r="G2676" t="s">
        <v>234</v>
      </c>
      <c r="H2676">
        <v>3</v>
      </c>
    </row>
    <row r="2677" spans="1:8" x14ac:dyDescent="0.25">
      <c r="A2677" t="s">
        <v>5382</v>
      </c>
      <c r="B2677" t="s">
        <v>5382</v>
      </c>
      <c r="C2677" t="s">
        <v>265</v>
      </c>
      <c r="D2677" t="s">
        <v>263</v>
      </c>
      <c r="E2677">
        <v>3.0449399999999999E-4</v>
      </c>
      <c r="F2677" t="s">
        <v>233</v>
      </c>
      <c r="G2677" t="s">
        <v>234</v>
      </c>
      <c r="H2677">
        <v>3</v>
      </c>
    </row>
    <row r="2678" spans="1:8" x14ac:dyDescent="0.25">
      <c r="A2678" t="s">
        <v>5383</v>
      </c>
      <c r="B2678" t="s">
        <v>5383</v>
      </c>
      <c r="C2678" t="s">
        <v>265</v>
      </c>
      <c r="D2678" t="s">
        <v>263</v>
      </c>
      <c r="E2678">
        <v>3.0449399999999999E-4</v>
      </c>
      <c r="F2678" t="s">
        <v>233</v>
      </c>
      <c r="G2678" t="s">
        <v>234</v>
      </c>
      <c r="H2678">
        <v>3</v>
      </c>
    </row>
    <row r="2679" spans="1:8" x14ac:dyDescent="0.25">
      <c r="A2679" t="s">
        <v>5384</v>
      </c>
      <c r="B2679" t="s">
        <v>5384</v>
      </c>
      <c r="C2679" t="s">
        <v>271</v>
      </c>
      <c r="D2679" t="s">
        <v>269</v>
      </c>
      <c r="E2679">
        <v>5.2359699999999999E-4</v>
      </c>
      <c r="F2679" t="s">
        <v>233</v>
      </c>
      <c r="G2679" t="s">
        <v>234</v>
      </c>
      <c r="H2679">
        <v>3</v>
      </c>
    </row>
    <row r="2680" spans="1:8" x14ac:dyDescent="0.25">
      <c r="A2680" t="s">
        <v>5385</v>
      </c>
      <c r="B2680" t="s">
        <v>5385</v>
      </c>
      <c r="C2680" t="s">
        <v>271</v>
      </c>
      <c r="D2680" t="s">
        <v>269</v>
      </c>
      <c r="E2680">
        <v>5.2359699999999999E-4</v>
      </c>
      <c r="F2680" t="s">
        <v>233</v>
      </c>
      <c r="G2680" t="s">
        <v>234</v>
      </c>
      <c r="H2680">
        <v>3</v>
      </c>
    </row>
    <row r="2681" spans="1:8" x14ac:dyDescent="0.25">
      <c r="A2681" t="s">
        <v>5386</v>
      </c>
      <c r="B2681" t="s">
        <v>5386</v>
      </c>
      <c r="C2681" t="s">
        <v>271</v>
      </c>
      <c r="D2681" t="s">
        <v>269</v>
      </c>
      <c r="E2681">
        <v>5.2359699999999999E-4</v>
      </c>
      <c r="F2681" t="s">
        <v>233</v>
      </c>
      <c r="G2681" t="s">
        <v>234</v>
      </c>
      <c r="H2681">
        <v>3</v>
      </c>
    </row>
    <row r="2682" spans="1:8" x14ac:dyDescent="0.25">
      <c r="A2682" t="s">
        <v>5387</v>
      </c>
      <c r="B2682" t="s">
        <v>5387</v>
      </c>
      <c r="C2682" t="s">
        <v>271</v>
      </c>
      <c r="D2682" t="s">
        <v>269</v>
      </c>
      <c r="E2682">
        <v>5.2359699999999999E-4</v>
      </c>
      <c r="F2682" t="s">
        <v>233</v>
      </c>
      <c r="G2682" t="s">
        <v>234</v>
      </c>
      <c r="H2682">
        <v>3</v>
      </c>
    </row>
    <row r="2683" spans="1:8" x14ac:dyDescent="0.25">
      <c r="A2683" t="s">
        <v>5388</v>
      </c>
      <c r="B2683" t="s">
        <v>5388</v>
      </c>
      <c r="C2683" t="s">
        <v>271</v>
      </c>
      <c r="D2683" t="s">
        <v>269</v>
      </c>
      <c r="E2683">
        <v>5.2359699999999999E-4</v>
      </c>
      <c r="F2683" t="s">
        <v>233</v>
      </c>
      <c r="G2683" t="s">
        <v>234</v>
      </c>
      <c r="H2683">
        <v>3</v>
      </c>
    </row>
    <row r="2684" spans="1:8" x14ac:dyDescent="0.25">
      <c r="A2684" t="s">
        <v>5389</v>
      </c>
      <c r="B2684" t="s">
        <v>5389</v>
      </c>
      <c r="C2684" t="s">
        <v>271</v>
      </c>
      <c r="D2684" t="s">
        <v>269</v>
      </c>
      <c r="E2684">
        <v>5.2359699999999999E-4</v>
      </c>
      <c r="F2684" t="s">
        <v>233</v>
      </c>
      <c r="G2684" t="s">
        <v>234</v>
      </c>
      <c r="H2684">
        <v>3</v>
      </c>
    </row>
    <row r="2685" spans="1:8" x14ac:dyDescent="0.25">
      <c r="A2685" t="s">
        <v>5390</v>
      </c>
      <c r="B2685" t="s">
        <v>5390</v>
      </c>
      <c r="C2685" t="s">
        <v>271</v>
      </c>
      <c r="D2685" t="s">
        <v>269</v>
      </c>
      <c r="E2685">
        <v>5.2359699999999999E-4</v>
      </c>
      <c r="F2685" t="s">
        <v>233</v>
      </c>
      <c r="G2685" t="s">
        <v>234</v>
      </c>
      <c r="H2685">
        <v>3</v>
      </c>
    </row>
    <row r="2686" spans="1:8" x14ac:dyDescent="0.25">
      <c r="A2686" t="s">
        <v>5391</v>
      </c>
      <c r="B2686" t="s">
        <v>5391</v>
      </c>
      <c r="C2686" t="s">
        <v>271</v>
      </c>
      <c r="D2686" t="s">
        <v>269</v>
      </c>
      <c r="E2686">
        <v>5.2359699999999999E-4</v>
      </c>
      <c r="F2686" t="s">
        <v>233</v>
      </c>
      <c r="G2686" t="s">
        <v>234</v>
      </c>
      <c r="H2686">
        <v>3</v>
      </c>
    </row>
    <row r="2687" spans="1:8" x14ac:dyDescent="0.25">
      <c r="A2687" t="s">
        <v>5392</v>
      </c>
      <c r="B2687" t="s">
        <v>5392</v>
      </c>
      <c r="C2687" t="s">
        <v>271</v>
      </c>
      <c r="D2687" t="s">
        <v>269</v>
      </c>
      <c r="E2687">
        <v>5.2359699999999999E-4</v>
      </c>
      <c r="F2687" t="s">
        <v>233</v>
      </c>
      <c r="G2687" t="s">
        <v>234</v>
      </c>
      <c r="H2687">
        <v>3</v>
      </c>
    </row>
    <row r="2688" spans="1:8" x14ac:dyDescent="0.25">
      <c r="A2688" t="s">
        <v>5393</v>
      </c>
      <c r="B2688" t="s">
        <v>5393</v>
      </c>
      <c r="C2688" t="s">
        <v>271</v>
      </c>
      <c r="D2688" t="s">
        <v>269</v>
      </c>
      <c r="E2688">
        <v>5.2359699999999999E-4</v>
      </c>
      <c r="F2688" t="s">
        <v>233</v>
      </c>
      <c r="G2688" t="s">
        <v>234</v>
      </c>
      <c r="H2688">
        <v>3</v>
      </c>
    </row>
    <row r="2689" spans="1:8" x14ac:dyDescent="0.25">
      <c r="A2689" t="s">
        <v>5394</v>
      </c>
      <c r="B2689" t="s">
        <v>5394</v>
      </c>
      <c r="C2689" t="s">
        <v>271</v>
      </c>
      <c r="D2689" t="s">
        <v>269</v>
      </c>
      <c r="E2689">
        <v>5.2359699999999999E-4</v>
      </c>
      <c r="F2689" t="s">
        <v>233</v>
      </c>
      <c r="G2689" t="s">
        <v>234</v>
      </c>
      <c r="H2689">
        <v>3</v>
      </c>
    </row>
    <row r="2690" spans="1:8" x14ac:dyDescent="0.25">
      <c r="A2690" t="s">
        <v>5395</v>
      </c>
      <c r="B2690" t="s">
        <v>5395</v>
      </c>
      <c r="C2690" t="s">
        <v>271</v>
      </c>
      <c r="D2690" t="s">
        <v>269</v>
      </c>
      <c r="E2690">
        <v>5.2359699999999999E-4</v>
      </c>
      <c r="F2690" t="s">
        <v>233</v>
      </c>
      <c r="G2690" t="s">
        <v>234</v>
      </c>
      <c r="H2690">
        <v>3</v>
      </c>
    </row>
    <row r="2691" spans="1:8" x14ac:dyDescent="0.25">
      <c r="A2691" t="s">
        <v>5396</v>
      </c>
      <c r="B2691" t="s">
        <v>5396</v>
      </c>
      <c r="C2691" t="s">
        <v>271</v>
      </c>
      <c r="D2691" t="s">
        <v>269</v>
      </c>
      <c r="E2691">
        <v>5.2359699999999999E-4</v>
      </c>
      <c r="F2691" t="s">
        <v>233</v>
      </c>
      <c r="G2691" t="s">
        <v>234</v>
      </c>
      <c r="H2691">
        <v>3</v>
      </c>
    </row>
    <row r="2692" spans="1:8" x14ac:dyDescent="0.25">
      <c r="A2692" t="s">
        <v>5397</v>
      </c>
      <c r="B2692" t="s">
        <v>5397</v>
      </c>
      <c r="C2692" t="s">
        <v>271</v>
      </c>
      <c r="D2692" t="s">
        <v>269</v>
      </c>
      <c r="E2692">
        <v>5.2359699999999999E-4</v>
      </c>
      <c r="F2692" t="s">
        <v>233</v>
      </c>
      <c r="G2692" t="s">
        <v>234</v>
      </c>
      <c r="H2692">
        <v>3</v>
      </c>
    </row>
    <row r="2693" spans="1:8" x14ac:dyDescent="0.25">
      <c r="A2693" t="s">
        <v>5398</v>
      </c>
      <c r="B2693" t="s">
        <v>5398</v>
      </c>
      <c r="C2693" t="s">
        <v>271</v>
      </c>
      <c r="D2693" t="s">
        <v>269</v>
      </c>
      <c r="E2693">
        <v>5.2359699999999999E-4</v>
      </c>
      <c r="F2693" t="s">
        <v>233</v>
      </c>
      <c r="G2693" t="s">
        <v>234</v>
      </c>
      <c r="H2693">
        <v>3</v>
      </c>
    </row>
    <row r="2694" spans="1:8" x14ac:dyDescent="0.25">
      <c r="A2694" t="s">
        <v>5399</v>
      </c>
      <c r="B2694" t="s">
        <v>5399</v>
      </c>
      <c r="C2694" t="s">
        <v>301</v>
      </c>
      <c r="D2694" t="s">
        <v>299</v>
      </c>
      <c r="E2694">
        <v>6.3590900000000004E-4</v>
      </c>
      <c r="F2694" t="s">
        <v>233</v>
      </c>
      <c r="G2694" t="s">
        <v>234</v>
      </c>
      <c r="H2694">
        <v>3</v>
      </c>
    </row>
    <row r="2695" spans="1:8" x14ac:dyDescent="0.25">
      <c r="A2695" t="s">
        <v>5400</v>
      </c>
      <c r="B2695" t="s">
        <v>5400</v>
      </c>
      <c r="C2695" t="s">
        <v>271</v>
      </c>
      <c r="D2695" t="s">
        <v>269</v>
      </c>
      <c r="E2695">
        <v>5.2359699999999999E-4</v>
      </c>
      <c r="F2695" t="s">
        <v>233</v>
      </c>
      <c r="G2695" t="s">
        <v>234</v>
      </c>
      <c r="H2695">
        <v>3</v>
      </c>
    </row>
    <row r="2696" spans="1:8" x14ac:dyDescent="0.25">
      <c r="A2696" t="s">
        <v>5401</v>
      </c>
      <c r="B2696" t="s">
        <v>5401</v>
      </c>
      <c r="C2696" t="s">
        <v>244</v>
      </c>
      <c r="D2696" t="s">
        <v>242</v>
      </c>
      <c r="E2696">
        <v>5.4284299999999999E-4</v>
      </c>
      <c r="F2696" t="s">
        <v>233</v>
      </c>
      <c r="G2696" t="s">
        <v>234</v>
      </c>
      <c r="H2696">
        <v>3</v>
      </c>
    </row>
    <row r="2697" spans="1:8" x14ac:dyDescent="0.25">
      <c r="A2697" t="s">
        <v>5402</v>
      </c>
      <c r="B2697" t="s">
        <v>5402</v>
      </c>
      <c r="C2697" t="s">
        <v>244</v>
      </c>
      <c r="D2697" t="s">
        <v>242</v>
      </c>
      <c r="E2697">
        <v>5.4284299999999999E-4</v>
      </c>
      <c r="F2697" t="s">
        <v>233</v>
      </c>
      <c r="G2697" t="s">
        <v>234</v>
      </c>
      <c r="H2697">
        <v>3</v>
      </c>
    </row>
    <row r="2698" spans="1:8" x14ac:dyDescent="0.25">
      <c r="A2698" t="s">
        <v>5403</v>
      </c>
      <c r="B2698" t="s">
        <v>5403</v>
      </c>
      <c r="C2698" t="s">
        <v>265</v>
      </c>
      <c r="D2698" t="s">
        <v>263</v>
      </c>
      <c r="E2698">
        <v>3.0449399999999999E-4</v>
      </c>
      <c r="F2698" t="s">
        <v>233</v>
      </c>
      <c r="G2698" t="s">
        <v>234</v>
      </c>
      <c r="H2698">
        <v>3</v>
      </c>
    </row>
    <row r="2699" spans="1:8" x14ac:dyDescent="0.25">
      <c r="A2699" t="s">
        <v>5404</v>
      </c>
      <c r="B2699" t="s">
        <v>5404</v>
      </c>
      <c r="C2699" t="s">
        <v>271</v>
      </c>
      <c r="D2699" t="s">
        <v>269</v>
      </c>
      <c r="E2699">
        <v>5.2359699999999999E-4</v>
      </c>
      <c r="F2699" t="s">
        <v>233</v>
      </c>
      <c r="G2699" t="s">
        <v>234</v>
      </c>
      <c r="H2699">
        <v>3</v>
      </c>
    </row>
    <row r="2700" spans="1:8" x14ac:dyDescent="0.25">
      <c r="A2700" t="s">
        <v>5405</v>
      </c>
      <c r="B2700" t="s">
        <v>5405</v>
      </c>
      <c r="C2700" t="s">
        <v>265</v>
      </c>
      <c r="D2700" t="s">
        <v>263</v>
      </c>
      <c r="E2700">
        <v>3.0449399999999999E-4</v>
      </c>
      <c r="F2700" t="s">
        <v>233</v>
      </c>
      <c r="G2700" t="s">
        <v>234</v>
      </c>
      <c r="H2700">
        <v>3</v>
      </c>
    </row>
    <row r="2701" spans="1:8" x14ac:dyDescent="0.25">
      <c r="A2701" t="s">
        <v>5406</v>
      </c>
      <c r="B2701" t="s">
        <v>5406</v>
      </c>
      <c r="C2701" t="s">
        <v>238</v>
      </c>
      <c r="D2701" t="s">
        <v>235</v>
      </c>
      <c r="E2701">
        <v>1.022263E-3</v>
      </c>
      <c r="F2701" t="s">
        <v>233</v>
      </c>
      <c r="G2701" t="s">
        <v>234</v>
      </c>
      <c r="H2701">
        <v>3</v>
      </c>
    </row>
    <row r="2702" spans="1:8" x14ac:dyDescent="0.25">
      <c r="A2702" t="s">
        <v>5407</v>
      </c>
      <c r="B2702" t="s">
        <v>5407</v>
      </c>
      <c r="C2702" t="s">
        <v>271</v>
      </c>
      <c r="D2702" t="s">
        <v>269</v>
      </c>
      <c r="E2702">
        <v>5.2359699999999999E-4</v>
      </c>
      <c r="F2702" t="s">
        <v>233</v>
      </c>
      <c r="G2702" t="s">
        <v>234</v>
      </c>
      <c r="H2702">
        <v>3</v>
      </c>
    </row>
    <row r="2703" spans="1:8" x14ac:dyDescent="0.25">
      <c r="A2703" t="s">
        <v>1433</v>
      </c>
      <c r="B2703" t="s">
        <v>1433</v>
      </c>
      <c r="C2703" t="s">
        <v>265</v>
      </c>
      <c r="D2703" t="s">
        <v>263</v>
      </c>
      <c r="E2703">
        <v>3.0449399999999999E-4</v>
      </c>
      <c r="F2703" t="s">
        <v>233</v>
      </c>
      <c r="G2703" t="s">
        <v>234</v>
      </c>
      <c r="H2703">
        <v>3</v>
      </c>
    </row>
    <row r="2704" spans="1:8" x14ac:dyDescent="0.25">
      <c r="A2704" t="s">
        <v>5408</v>
      </c>
      <c r="B2704" t="s">
        <v>5408</v>
      </c>
      <c r="C2704" t="s">
        <v>271</v>
      </c>
      <c r="D2704" t="s">
        <v>269</v>
      </c>
      <c r="E2704">
        <v>5.2359699999999999E-4</v>
      </c>
      <c r="F2704" t="s">
        <v>233</v>
      </c>
      <c r="G2704" t="s">
        <v>234</v>
      </c>
      <c r="H2704">
        <v>3</v>
      </c>
    </row>
    <row r="2705" spans="1:8" x14ac:dyDescent="0.25">
      <c r="A2705" t="s">
        <v>5409</v>
      </c>
      <c r="B2705" t="s">
        <v>5409</v>
      </c>
      <c r="C2705" t="s">
        <v>283</v>
      </c>
      <c r="D2705" t="s">
        <v>281</v>
      </c>
      <c r="E2705">
        <v>5.4019300000000001E-4</v>
      </c>
      <c r="F2705" t="s">
        <v>233</v>
      </c>
      <c r="G2705" t="s">
        <v>234</v>
      </c>
      <c r="H2705">
        <v>3</v>
      </c>
    </row>
    <row r="2706" spans="1:8" x14ac:dyDescent="0.25">
      <c r="A2706" t="s">
        <v>5410</v>
      </c>
      <c r="B2706" t="s">
        <v>5410</v>
      </c>
      <c r="C2706" t="s">
        <v>265</v>
      </c>
      <c r="D2706" t="s">
        <v>263</v>
      </c>
      <c r="E2706">
        <v>3.0449399999999999E-4</v>
      </c>
      <c r="F2706" t="s">
        <v>233</v>
      </c>
      <c r="G2706" t="s">
        <v>234</v>
      </c>
      <c r="H2706">
        <v>3</v>
      </c>
    </row>
    <row r="2707" spans="1:8" x14ac:dyDescent="0.25">
      <c r="A2707" t="s">
        <v>5411</v>
      </c>
      <c r="B2707" t="s">
        <v>5411</v>
      </c>
      <c r="C2707" t="s">
        <v>265</v>
      </c>
      <c r="D2707" t="s">
        <v>263</v>
      </c>
      <c r="E2707">
        <v>3.0449399999999999E-4</v>
      </c>
      <c r="F2707" t="s">
        <v>233</v>
      </c>
      <c r="G2707" t="s">
        <v>234</v>
      </c>
      <c r="H2707">
        <v>3</v>
      </c>
    </row>
    <row r="2708" spans="1:8" x14ac:dyDescent="0.25">
      <c r="A2708" t="s">
        <v>5412</v>
      </c>
      <c r="B2708" t="s">
        <v>5412</v>
      </c>
      <c r="C2708" t="s">
        <v>265</v>
      </c>
      <c r="D2708" t="s">
        <v>263</v>
      </c>
      <c r="E2708">
        <v>3.0449399999999999E-4</v>
      </c>
      <c r="F2708" t="s">
        <v>233</v>
      </c>
      <c r="G2708" t="s">
        <v>234</v>
      </c>
      <c r="H2708">
        <v>3</v>
      </c>
    </row>
    <row r="2709" spans="1:8" x14ac:dyDescent="0.25">
      <c r="A2709" t="s">
        <v>5413</v>
      </c>
      <c r="B2709" t="s">
        <v>5413</v>
      </c>
      <c r="C2709" t="s">
        <v>256</v>
      </c>
      <c r="D2709" t="s">
        <v>254</v>
      </c>
      <c r="E2709">
        <v>8.1312799999999998E-4</v>
      </c>
      <c r="F2709" t="s">
        <v>233</v>
      </c>
      <c r="G2709" t="s">
        <v>234</v>
      </c>
      <c r="H2709">
        <v>3</v>
      </c>
    </row>
    <row r="2710" spans="1:8" x14ac:dyDescent="0.25">
      <c r="A2710" t="s">
        <v>5414</v>
      </c>
      <c r="B2710" t="s">
        <v>5414</v>
      </c>
      <c r="C2710" t="s">
        <v>256</v>
      </c>
      <c r="D2710" t="s">
        <v>254</v>
      </c>
      <c r="E2710">
        <v>8.1312799999999998E-4</v>
      </c>
      <c r="F2710" t="s">
        <v>233</v>
      </c>
      <c r="G2710" t="s">
        <v>234</v>
      </c>
      <c r="H2710">
        <v>3</v>
      </c>
    </row>
    <row r="2711" spans="1:8" x14ac:dyDescent="0.25">
      <c r="A2711" t="s">
        <v>5415</v>
      </c>
      <c r="B2711" t="s">
        <v>5415</v>
      </c>
      <c r="C2711" t="s">
        <v>265</v>
      </c>
      <c r="D2711" t="s">
        <v>263</v>
      </c>
      <c r="E2711">
        <v>3.0449399999999999E-4</v>
      </c>
      <c r="F2711" t="s">
        <v>233</v>
      </c>
      <c r="G2711" t="s">
        <v>234</v>
      </c>
      <c r="H2711">
        <v>3</v>
      </c>
    </row>
    <row r="2712" spans="1:8" x14ac:dyDescent="0.25">
      <c r="A2712" t="s">
        <v>5416</v>
      </c>
      <c r="B2712" t="s">
        <v>5416</v>
      </c>
      <c r="C2712" t="s">
        <v>268</v>
      </c>
      <c r="D2712" t="s">
        <v>266</v>
      </c>
      <c r="E2712">
        <v>5.4511299999999996E-4</v>
      </c>
      <c r="F2712" t="s">
        <v>233</v>
      </c>
      <c r="G2712" t="s">
        <v>234</v>
      </c>
      <c r="H2712">
        <v>3</v>
      </c>
    </row>
    <row r="2713" spans="1:8" x14ac:dyDescent="0.25">
      <c r="A2713" t="s">
        <v>5417</v>
      </c>
      <c r="B2713" t="s">
        <v>5417</v>
      </c>
      <c r="C2713" t="s">
        <v>268</v>
      </c>
      <c r="D2713" t="s">
        <v>266</v>
      </c>
      <c r="E2713">
        <v>5.4511299999999996E-4</v>
      </c>
      <c r="F2713" t="s">
        <v>233</v>
      </c>
      <c r="G2713" t="s">
        <v>234</v>
      </c>
      <c r="H2713">
        <v>3</v>
      </c>
    </row>
    <row r="2714" spans="1:8" x14ac:dyDescent="0.25">
      <c r="A2714" t="s">
        <v>5418</v>
      </c>
      <c r="B2714" t="s">
        <v>5418</v>
      </c>
      <c r="C2714" t="s">
        <v>256</v>
      </c>
      <c r="D2714" t="s">
        <v>254</v>
      </c>
      <c r="E2714">
        <v>8.1312799999999998E-4</v>
      </c>
      <c r="F2714" t="s">
        <v>233</v>
      </c>
      <c r="G2714" t="s">
        <v>234</v>
      </c>
      <c r="H2714">
        <v>3</v>
      </c>
    </row>
    <row r="2715" spans="1:8" x14ac:dyDescent="0.25">
      <c r="A2715" t="s">
        <v>5419</v>
      </c>
      <c r="B2715" t="s">
        <v>5419</v>
      </c>
      <c r="C2715" t="s">
        <v>265</v>
      </c>
      <c r="D2715" t="s">
        <v>263</v>
      </c>
      <c r="E2715">
        <v>3.0449399999999999E-4</v>
      </c>
      <c r="F2715" t="s">
        <v>233</v>
      </c>
      <c r="G2715" t="s">
        <v>234</v>
      </c>
      <c r="H2715">
        <v>3</v>
      </c>
    </row>
    <row r="2716" spans="1:8" x14ac:dyDescent="0.25">
      <c r="A2716" t="s">
        <v>5420</v>
      </c>
      <c r="B2716" t="s">
        <v>5420</v>
      </c>
      <c r="C2716" t="s">
        <v>271</v>
      </c>
      <c r="D2716" t="s">
        <v>269</v>
      </c>
      <c r="E2716">
        <v>5.2359699999999999E-4</v>
      </c>
      <c r="F2716" t="s">
        <v>233</v>
      </c>
      <c r="G2716" t="s">
        <v>234</v>
      </c>
      <c r="H2716">
        <v>3</v>
      </c>
    </row>
    <row r="2717" spans="1:8" x14ac:dyDescent="0.25">
      <c r="A2717" t="s">
        <v>5421</v>
      </c>
      <c r="B2717" t="s">
        <v>5421</v>
      </c>
      <c r="C2717" t="s">
        <v>265</v>
      </c>
      <c r="D2717" t="s">
        <v>263</v>
      </c>
      <c r="E2717">
        <v>3.0449399999999999E-4</v>
      </c>
      <c r="F2717" t="s">
        <v>233</v>
      </c>
      <c r="G2717" t="s">
        <v>234</v>
      </c>
      <c r="H2717">
        <v>3</v>
      </c>
    </row>
    <row r="2718" spans="1:8" x14ac:dyDescent="0.25">
      <c r="A2718" t="s">
        <v>526</v>
      </c>
      <c r="B2718" t="s">
        <v>526</v>
      </c>
      <c r="C2718" t="s">
        <v>271</v>
      </c>
      <c r="D2718" t="s">
        <v>269</v>
      </c>
      <c r="E2718">
        <v>5.2359699999999999E-4</v>
      </c>
      <c r="F2718" t="s">
        <v>233</v>
      </c>
      <c r="G2718" t="s">
        <v>234</v>
      </c>
      <c r="H2718">
        <v>3</v>
      </c>
    </row>
    <row r="2719" spans="1:8" x14ac:dyDescent="0.25">
      <c r="A2719" t="s">
        <v>5422</v>
      </c>
      <c r="B2719" t="s">
        <v>5422</v>
      </c>
      <c r="C2719" t="s">
        <v>271</v>
      </c>
      <c r="D2719" t="s">
        <v>269</v>
      </c>
      <c r="E2719">
        <v>5.2359699999999999E-4</v>
      </c>
      <c r="F2719" t="s">
        <v>233</v>
      </c>
      <c r="G2719" t="s">
        <v>234</v>
      </c>
      <c r="H2719">
        <v>3</v>
      </c>
    </row>
    <row r="2720" spans="1:8" x14ac:dyDescent="0.25">
      <c r="A2720" t="s">
        <v>5423</v>
      </c>
      <c r="B2720" t="s">
        <v>5423</v>
      </c>
      <c r="C2720" t="s">
        <v>271</v>
      </c>
      <c r="D2720" t="s">
        <v>269</v>
      </c>
      <c r="E2720">
        <v>5.2359699999999999E-4</v>
      </c>
      <c r="F2720" t="s">
        <v>233</v>
      </c>
      <c r="G2720" t="s">
        <v>234</v>
      </c>
      <c r="H2720">
        <v>3</v>
      </c>
    </row>
    <row r="2721" spans="1:8" x14ac:dyDescent="0.25">
      <c r="A2721" t="s">
        <v>5424</v>
      </c>
      <c r="B2721" t="s">
        <v>5424</v>
      </c>
      <c r="C2721" t="s">
        <v>271</v>
      </c>
      <c r="D2721" t="s">
        <v>269</v>
      </c>
      <c r="E2721">
        <v>5.2359699999999999E-4</v>
      </c>
      <c r="F2721" t="s">
        <v>233</v>
      </c>
      <c r="G2721" t="s">
        <v>234</v>
      </c>
      <c r="H2721">
        <v>3</v>
      </c>
    </row>
    <row r="2722" spans="1:8" x14ac:dyDescent="0.25">
      <c r="A2722" t="s">
        <v>5425</v>
      </c>
      <c r="B2722" t="s">
        <v>5425</v>
      </c>
      <c r="C2722" t="s">
        <v>271</v>
      </c>
      <c r="D2722" t="s">
        <v>269</v>
      </c>
      <c r="E2722">
        <v>5.2359699999999999E-4</v>
      </c>
      <c r="F2722" t="s">
        <v>233</v>
      </c>
      <c r="G2722" t="s">
        <v>234</v>
      </c>
      <c r="H2722">
        <v>3</v>
      </c>
    </row>
    <row r="2723" spans="1:8" x14ac:dyDescent="0.25">
      <c r="A2723" t="s">
        <v>5426</v>
      </c>
      <c r="B2723" t="s">
        <v>5426</v>
      </c>
      <c r="C2723" t="s">
        <v>271</v>
      </c>
      <c r="D2723" t="s">
        <v>269</v>
      </c>
      <c r="E2723">
        <v>5.2359699999999999E-4</v>
      </c>
      <c r="F2723" t="s">
        <v>233</v>
      </c>
      <c r="G2723" t="s">
        <v>234</v>
      </c>
      <c r="H2723">
        <v>3</v>
      </c>
    </row>
    <row r="2724" spans="1:8" x14ac:dyDescent="0.25">
      <c r="A2724" t="s">
        <v>5427</v>
      </c>
      <c r="B2724" t="s">
        <v>5427</v>
      </c>
      <c r="C2724" t="s">
        <v>271</v>
      </c>
      <c r="D2724" t="s">
        <v>269</v>
      </c>
      <c r="E2724">
        <v>5.2359699999999999E-4</v>
      </c>
      <c r="F2724" t="s">
        <v>233</v>
      </c>
      <c r="G2724" t="s">
        <v>234</v>
      </c>
      <c r="H2724">
        <v>3</v>
      </c>
    </row>
    <row r="2725" spans="1:8" x14ac:dyDescent="0.25">
      <c r="A2725" t="s">
        <v>5428</v>
      </c>
      <c r="B2725" t="s">
        <v>5428</v>
      </c>
      <c r="C2725" t="s">
        <v>465</v>
      </c>
      <c r="D2725" t="s">
        <v>466</v>
      </c>
      <c r="E2725">
        <v>2.2128299999999999E-4</v>
      </c>
      <c r="F2725" t="s">
        <v>233</v>
      </c>
      <c r="G2725" t="s">
        <v>234</v>
      </c>
      <c r="H2725">
        <v>3</v>
      </c>
    </row>
    <row r="2726" spans="1:8" x14ac:dyDescent="0.25">
      <c r="A2726" t="s">
        <v>5429</v>
      </c>
      <c r="B2726" t="s">
        <v>5429</v>
      </c>
      <c r="C2726" t="s">
        <v>465</v>
      </c>
      <c r="D2726" t="s">
        <v>466</v>
      </c>
      <c r="E2726">
        <v>2.2128299999999999E-4</v>
      </c>
      <c r="F2726" t="s">
        <v>233</v>
      </c>
      <c r="G2726" t="s">
        <v>234</v>
      </c>
      <c r="H2726">
        <v>3</v>
      </c>
    </row>
    <row r="2727" spans="1:8" x14ac:dyDescent="0.25">
      <c r="A2727" t="s">
        <v>5430</v>
      </c>
      <c r="B2727" t="s">
        <v>5430</v>
      </c>
      <c r="C2727" t="s">
        <v>283</v>
      </c>
      <c r="D2727" t="s">
        <v>281</v>
      </c>
      <c r="E2727">
        <v>5.4019300000000001E-4</v>
      </c>
      <c r="F2727" t="s">
        <v>233</v>
      </c>
      <c r="G2727" t="s">
        <v>234</v>
      </c>
      <c r="H2727">
        <v>3</v>
      </c>
    </row>
    <row r="2728" spans="1:8" x14ac:dyDescent="0.25">
      <c r="A2728" t="s">
        <v>5431</v>
      </c>
      <c r="B2728" t="s">
        <v>5431</v>
      </c>
      <c r="C2728" t="s">
        <v>259</v>
      </c>
      <c r="D2728" t="s">
        <v>257</v>
      </c>
      <c r="E2728">
        <v>6.2829699999999999E-4</v>
      </c>
      <c r="F2728" t="s">
        <v>233</v>
      </c>
      <c r="G2728" t="s">
        <v>234</v>
      </c>
      <c r="H2728">
        <v>3</v>
      </c>
    </row>
    <row r="2729" spans="1:8" x14ac:dyDescent="0.25">
      <c r="A2729" t="s">
        <v>5432</v>
      </c>
      <c r="B2729" t="s">
        <v>5432</v>
      </c>
      <c r="C2729" t="s">
        <v>271</v>
      </c>
      <c r="D2729" t="s">
        <v>269</v>
      </c>
      <c r="E2729">
        <v>5.2359699999999999E-4</v>
      </c>
      <c r="F2729" t="s">
        <v>233</v>
      </c>
      <c r="G2729" t="s">
        <v>234</v>
      </c>
      <c r="H2729">
        <v>3</v>
      </c>
    </row>
    <row r="2730" spans="1:8" x14ac:dyDescent="0.25">
      <c r="A2730" t="s">
        <v>5433</v>
      </c>
      <c r="B2730" t="s">
        <v>5433</v>
      </c>
      <c r="C2730" t="s">
        <v>271</v>
      </c>
      <c r="D2730" t="s">
        <v>269</v>
      </c>
      <c r="E2730">
        <v>5.2359699999999999E-4</v>
      </c>
      <c r="F2730" t="s">
        <v>233</v>
      </c>
      <c r="G2730" t="s">
        <v>234</v>
      </c>
      <c r="H2730">
        <v>3</v>
      </c>
    </row>
    <row r="2731" spans="1:8" x14ac:dyDescent="0.25">
      <c r="A2731" t="s">
        <v>5434</v>
      </c>
      <c r="B2731" t="s">
        <v>5434</v>
      </c>
      <c r="C2731" t="s">
        <v>271</v>
      </c>
      <c r="D2731" t="s">
        <v>269</v>
      </c>
      <c r="E2731">
        <v>5.2359699999999999E-4</v>
      </c>
      <c r="F2731" t="s">
        <v>233</v>
      </c>
      <c r="G2731" t="s">
        <v>234</v>
      </c>
      <c r="H2731">
        <v>3</v>
      </c>
    </row>
    <row r="2732" spans="1:8" x14ac:dyDescent="0.25">
      <c r="A2732" t="s">
        <v>5435</v>
      </c>
      <c r="B2732" t="s">
        <v>5435</v>
      </c>
      <c r="C2732" t="s">
        <v>271</v>
      </c>
      <c r="D2732" t="s">
        <v>269</v>
      </c>
      <c r="E2732">
        <v>5.2359699999999999E-4</v>
      </c>
      <c r="F2732" t="s">
        <v>233</v>
      </c>
      <c r="G2732" t="s">
        <v>234</v>
      </c>
      <c r="H2732">
        <v>3</v>
      </c>
    </row>
    <row r="2733" spans="1:8" x14ac:dyDescent="0.25">
      <c r="A2733" t="s">
        <v>5436</v>
      </c>
      <c r="B2733" t="s">
        <v>5436</v>
      </c>
      <c r="C2733" t="s">
        <v>271</v>
      </c>
      <c r="D2733" t="s">
        <v>269</v>
      </c>
      <c r="E2733">
        <v>5.2359699999999999E-4</v>
      </c>
      <c r="F2733" t="s">
        <v>233</v>
      </c>
      <c r="G2733" t="s">
        <v>234</v>
      </c>
      <c r="H2733">
        <v>3</v>
      </c>
    </row>
    <row r="2734" spans="1:8" x14ac:dyDescent="0.25">
      <c r="A2734" t="s">
        <v>5437</v>
      </c>
      <c r="B2734" t="s">
        <v>5437</v>
      </c>
      <c r="C2734" t="s">
        <v>244</v>
      </c>
      <c r="D2734" t="s">
        <v>242</v>
      </c>
      <c r="E2734">
        <v>5.4284299999999999E-4</v>
      </c>
      <c r="F2734" t="s">
        <v>233</v>
      </c>
      <c r="G2734" t="s">
        <v>234</v>
      </c>
      <c r="H2734">
        <v>3</v>
      </c>
    </row>
    <row r="2735" spans="1:8" x14ac:dyDescent="0.25">
      <c r="A2735" t="s">
        <v>5438</v>
      </c>
      <c r="B2735" t="s">
        <v>5438</v>
      </c>
      <c r="C2735" t="s">
        <v>271</v>
      </c>
      <c r="D2735" t="s">
        <v>269</v>
      </c>
      <c r="E2735">
        <v>5.2359699999999999E-4</v>
      </c>
      <c r="F2735" t="s">
        <v>233</v>
      </c>
      <c r="G2735" t="s">
        <v>234</v>
      </c>
      <c r="H2735">
        <v>3</v>
      </c>
    </row>
    <row r="2736" spans="1:8" x14ac:dyDescent="0.25">
      <c r="A2736" t="s">
        <v>5439</v>
      </c>
      <c r="B2736" t="s">
        <v>5439</v>
      </c>
      <c r="C2736" t="s">
        <v>271</v>
      </c>
      <c r="D2736" t="s">
        <v>269</v>
      </c>
      <c r="E2736">
        <v>5.2359699999999999E-4</v>
      </c>
      <c r="F2736" t="s">
        <v>233</v>
      </c>
      <c r="G2736" t="s">
        <v>234</v>
      </c>
      <c r="H2736">
        <v>3</v>
      </c>
    </row>
    <row r="2737" spans="1:8" x14ac:dyDescent="0.25">
      <c r="A2737" t="s">
        <v>5440</v>
      </c>
      <c r="B2737" t="s">
        <v>5440</v>
      </c>
      <c r="C2737" t="s">
        <v>271</v>
      </c>
      <c r="D2737" t="s">
        <v>269</v>
      </c>
      <c r="E2737">
        <v>5.2359699999999999E-4</v>
      </c>
      <c r="F2737" t="s">
        <v>233</v>
      </c>
      <c r="G2737" t="s">
        <v>234</v>
      </c>
      <c r="H2737">
        <v>3</v>
      </c>
    </row>
    <row r="2738" spans="1:8" x14ac:dyDescent="0.25">
      <c r="A2738" t="s">
        <v>5441</v>
      </c>
      <c r="B2738" t="s">
        <v>5441</v>
      </c>
      <c r="C2738" t="s">
        <v>271</v>
      </c>
      <c r="D2738" t="s">
        <v>269</v>
      </c>
      <c r="E2738">
        <v>5.2359699999999999E-4</v>
      </c>
      <c r="F2738" t="s">
        <v>233</v>
      </c>
      <c r="G2738" t="s">
        <v>234</v>
      </c>
      <c r="H2738">
        <v>3</v>
      </c>
    </row>
    <row r="2739" spans="1:8" x14ac:dyDescent="0.25">
      <c r="A2739" t="s">
        <v>5442</v>
      </c>
      <c r="B2739" t="s">
        <v>5442</v>
      </c>
      <c r="C2739" t="s">
        <v>271</v>
      </c>
      <c r="D2739" t="s">
        <v>269</v>
      </c>
      <c r="E2739">
        <v>5.2359699999999999E-4</v>
      </c>
      <c r="F2739" t="s">
        <v>233</v>
      </c>
      <c r="G2739" t="s">
        <v>234</v>
      </c>
      <c r="H2739">
        <v>3</v>
      </c>
    </row>
    <row r="2740" spans="1:8" x14ac:dyDescent="0.25">
      <c r="A2740" t="s">
        <v>5443</v>
      </c>
      <c r="B2740" t="s">
        <v>5443</v>
      </c>
      <c r="C2740" t="s">
        <v>271</v>
      </c>
      <c r="D2740" t="s">
        <v>269</v>
      </c>
      <c r="E2740">
        <v>5.2359699999999999E-4</v>
      </c>
      <c r="F2740" t="s">
        <v>233</v>
      </c>
      <c r="G2740" t="s">
        <v>234</v>
      </c>
      <c r="H2740">
        <v>3</v>
      </c>
    </row>
    <row r="2741" spans="1:8" x14ac:dyDescent="0.25">
      <c r="A2741" t="s">
        <v>5444</v>
      </c>
      <c r="B2741" t="s">
        <v>5444</v>
      </c>
      <c r="C2741" t="s">
        <v>271</v>
      </c>
      <c r="D2741" t="s">
        <v>269</v>
      </c>
      <c r="E2741">
        <v>5.2359699999999999E-4</v>
      </c>
      <c r="F2741" t="s">
        <v>233</v>
      </c>
      <c r="G2741" t="s">
        <v>234</v>
      </c>
      <c r="H2741">
        <v>3</v>
      </c>
    </row>
    <row r="2742" spans="1:8" x14ac:dyDescent="0.25">
      <c r="A2742" t="s">
        <v>5445</v>
      </c>
      <c r="B2742" t="s">
        <v>5445</v>
      </c>
      <c r="C2742" t="s">
        <v>271</v>
      </c>
      <c r="D2742" t="s">
        <v>269</v>
      </c>
      <c r="E2742">
        <v>5.2359699999999999E-4</v>
      </c>
      <c r="F2742" t="s">
        <v>233</v>
      </c>
      <c r="G2742" t="s">
        <v>234</v>
      </c>
      <c r="H2742">
        <v>3</v>
      </c>
    </row>
    <row r="2743" spans="1:8" x14ac:dyDescent="0.25">
      <c r="A2743" t="s">
        <v>5446</v>
      </c>
      <c r="B2743" t="s">
        <v>5446</v>
      </c>
      <c r="C2743" t="s">
        <v>271</v>
      </c>
      <c r="D2743" t="s">
        <v>269</v>
      </c>
      <c r="E2743">
        <v>5.2359699999999999E-4</v>
      </c>
      <c r="F2743" t="s">
        <v>233</v>
      </c>
      <c r="G2743" t="s">
        <v>234</v>
      </c>
      <c r="H2743">
        <v>3</v>
      </c>
    </row>
    <row r="2744" spans="1:8" x14ac:dyDescent="0.25">
      <c r="A2744" t="s">
        <v>5447</v>
      </c>
      <c r="B2744" t="s">
        <v>5447</v>
      </c>
      <c r="C2744" t="s">
        <v>271</v>
      </c>
      <c r="D2744" t="s">
        <v>269</v>
      </c>
      <c r="E2744">
        <v>5.2359699999999999E-4</v>
      </c>
      <c r="F2744" t="s">
        <v>233</v>
      </c>
      <c r="G2744" t="s">
        <v>234</v>
      </c>
      <c r="H2744">
        <v>3</v>
      </c>
    </row>
    <row r="2745" spans="1:8" x14ac:dyDescent="0.25">
      <c r="A2745" t="s">
        <v>5448</v>
      </c>
      <c r="B2745" t="s">
        <v>5448</v>
      </c>
      <c r="C2745" t="s">
        <v>271</v>
      </c>
      <c r="D2745" t="s">
        <v>269</v>
      </c>
      <c r="E2745">
        <v>5.2359699999999999E-4</v>
      </c>
      <c r="F2745" t="s">
        <v>233</v>
      </c>
      <c r="G2745" t="s">
        <v>234</v>
      </c>
      <c r="H2745">
        <v>3</v>
      </c>
    </row>
    <row r="2746" spans="1:8" x14ac:dyDescent="0.25">
      <c r="A2746" t="s">
        <v>5449</v>
      </c>
      <c r="B2746" t="s">
        <v>5449</v>
      </c>
      <c r="C2746" t="s">
        <v>271</v>
      </c>
      <c r="D2746" t="s">
        <v>269</v>
      </c>
      <c r="E2746">
        <v>5.2359699999999999E-4</v>
      </c>
      <c r="F2746" t="s">
        <v>233</v>
      </c>
      <c r="G2746" t="s">
        <v>234</v>
      </c>
      <c r="H2746">
        <v>3</v>
      </c>
    </row>
    <row r="2747" spans="1:8" x14ac:dyDescent="0.25">
      <c r="A2747" t="s">
        <v>5450</v>
      </c>
      <c r="B2747" t="s">
        <v>5450</v>
      </c>
      <c r="C2747" t="s">
        <v>271</v>
      </c>
      <c r="D2747" t="s">
        <v>269</v>
      </c>
      <c r="E2747">
        <v>5.2359699999999999E-4</v>
      </c>
      <c r="F2747" t="s">
        <v>233</v>
      </c>
      <c r="G2747" t="s">
        <v>234</v>
      </c>
      <c r="H2747">
        <v>3</v>
      </c>
    </row>
    <row r="2748" spans="1:8" x14ac:dyDescent="0.25">
      <c r="A2748" t="s">
        <v>5451</v>
      </c>
      <c r="B2748" t="s">
        <v>5451</v>
      </c>
      <c r="C2748" t="s">
        <v>271</v>
      </c>
      <c r="D2748" t="s">
        <v>269</v>
      </c>
      <c r="E2748">
        <v>5.2359699999999999E-4</v>
      </c>
      <c r="F2748" t="s">
        <v>233</v>
      </c>
      <c r="G2748" t="s">
        <v>234</v>
      </c>
      <c r="H2748">
        <v>3</v>
      </c>
    </row>
    <row r="2749" spans="1:8" x14ac:dyDescent="0.25">
      <c r="A2749" t="s">
        <v>5452</v>
      </c>
      <c r="B2749" t="s">
        <v>5452</v>
      </c>
      <c r="C2749" t="s">
        <v>271</v>
      </c>
      <c r="D2749" t="s">
        <v>269</v>
      </c>
      <c r="E2749">
        <v>5.2359699999999999E-4</v>
      </c>
      <c r="F2749" t="s">
        <v>233</v>
      </c>
      <c r="G2749" t="s">
        <v>234</v>
      </c>
      <c r="H2749">
        <v>3</v>
      </c>
    </row>
    <row r="2750" spans="1:8" x14ac:dyDescent="0.25">
      <c r="A2750" t="s">
        <v>5453</v>
      </c>
      <c r="B2750" t="s">
        <v>5453</v>
      </c>
      <c r="C2750" t="s">
        <v>271</v>
      </c>
      <c r="D2750" t="s">
        <v>269</v>
      </c>
      <c r="E2750">
        <v>5.2359699999999999E-4</v>
      </c>
      <c r="F2750" t="s">
        <v>233</v>
      </c>
      <c r="G2750" t="s">
        <v>234</v>
      </c>
      <c r="H2750">
        <v>3</v>
      </c>
    </row>
    <row r="2751" spans="1:8" x14ac:dyDescent="0.25">
      <c r="A2751" t="s">
        <v>5454</v>
      </c>
      <c r="B2751" t="s">
        <v>5454</v>
      </c>
      <c r="C2751" t="s">
        <v>271</v>
      </c>
      <c r="D2751" t="s">
        <v>269</v>
      </c>
      <c r="E2751">
        <v>5.2359699999999999E-4</v>
      </c>
      <c r="F2751" t="s">
        <v>233</v>
      </c>
      <c r="G2751" t="s">
        <v>234</v>
      </c>
      <c r="H2751">
        <v>3</v>
      </c>
    </row>
    <row r="2752" spans="1:8" x14ac:dyDescent="0.25">
      <c r="A2752" t="s">
        <v>5455</v>
      </c>
      <c r="B2752" t="s">
        <v>5455</v>
      </c>
      <c r="C2752" t="s">
        <v>271</v>
      </c>
      <c r="D2752" t="s">
        <v>269</v>
      </c>
      <c r="E2752">
        <v>5.2359699999999999E-4</v>
      </c>
      <c r="F2752" t="s">
        <v>233</v>
      </c>
      <c r="G2752" t="s">
        <v>234</v>
      </c>
      <c r="H2752">
        <v>3</v>
      </c>
    </row>
    <row r="2753" spans="1:8" x14ac:dyDescent="0.25">
      <c r="A2753" t="s">
        <v>5456</v>
      </c>
      <c r="B2753" t="s">
        <v>5456</v>
      </c>
      <c r="C2753" t="s">
        <v>271</v>
      </c>
      <c r="D2753" t="s">
        <v>269</v>
      </c>
      <c r="E2753">
        <v>5.2359699999999999E-4</v>
      </c>
      <c r="F2753" t="s">
        <v>233</v>
      </c>
      <c r="G2753" t="s">
        <v>234</v>
      </c>
      <c r="H2753">
        <v>3</v>
      </c>
    </row>
    <row r="2754" spans="1:8" x14ac:dyDescent="0.25">
      <c r="A2754" t="s">
        <v>5457</v>
      </c>
      <c r="B2754" t="s">
        <v>5457</v>
      </c>
      <c r="C2754" t="s">
        <v>271</v>
      </c>
      <c r="D2754" t="s">
        <v>269</v>
      </c>
      <c r="E2754">
        <v>5.2359699999999999E-4</v>
      </c>
      <c r="F2754" t="s">
        <v>233</v>
      </c>
      <c r="G2754" t="s">
        <v>234</v>
      </c>
      <c r="H2754">
        <v>3</v>
      </c>
    </row>
    <row r="2755" spans="1:8" x14ac:dyDescent="0.25">
      <c r="A2755" t="s">
        <v>5458</v>
      </c>
      <c r="B2755" t="s">
        <v>5458</v>
      </c>
      <c r="C2755" t="s">
        <v>271</v>
      </c>
      <c r="D2755" t="s">
        <v>269</v>
      </c>
      <c r="E2755">
        <v>5.2359699999999999E-4</v>
      </c>
      <c r="F2755" t="s">
        <v>233</v>
      </c>
      <c r="G2755" t="s">
        <v>234</v>
      </c>
      <c r="H2755">
        <v>3</v>
      </c>
    </row>
    <row r="2756" spans="1:8" x14ac:dyDescent="0.25">
      <c r="A2756" t="s">
        <v>5439</v>
      </c>
      <c r="B2756" t="s">
        <v>5439</v>
      </c>
      <c r="C2756" t="s">
        <v>271</v>
      </c>
      <c r="D2756" t="s">
        <v>269</v>
      </c>
      <c r="E2756">
        <v>5.2359699999999999E-4</v>
      </c>
      <c r="F2756" t="s">
        <v>233</v>
      </c>
      <c r="G2756" t="s">
        <v>234</v>
      </c>
      <c r="H2756">
        <v>3</v>
      </c>
    </row>
    <row r="2757" spans="1:8" x14ac:dyDescent="0.25">
      <c r="A2757" t="s">
        <v>5459</v>
      </c>
      <c r="B2757" t="s">
        <v>5459</v>
      </c>
      <c r="C2757" t="s">
        <v>271</v>
      </c>
      <c r="D2757" t="s">
        <v>269</v>
      </c>
      <c r="E2757">
        <v>5.2359699999999999E-4</v>
      </c>
      <c r="F2757" t="s">
        <v>233</v>
      </c>
      <c r="G2757" t="s">
        <v>234</v>
      </c>
      <c r="H2757">
        <v>3</v>
      </c>
    </row>
    <row r="2758" spans="1:8" x14ac:dyDescent="0.25">
      <c r="A2758" t="s">
        <v>5460</v>
      </c>
      <c r="B2758" t="s">
        <v>5460</v>
      </c>
      <c r="C2758" t="s">
        <v>271</v>
      </c>
      <c r="D2758" t="s">
        <v>269</v>
      </c>
      <c r="E2758">
        <v>5.2359699999999999E-4</v>
      </c>
      <c r="F2758" t="s">
        <v>233</v>
      </c>
      <c r="G2758" t="s">
        <v>234</v>
      </c>
      <c r="H2758">
        <v>3</v>
      </c>
    </row>
    <row r="2759" spans="1:8" x14ac:dyDescent="0.25">
      <c r="A2759" t="s">
        <v>5461</v>
      </c>
      <c r="B2759" t="s">
        <v>5461</v>
      </c>
      <c r="C2759" t="s">
        <v>271</v>
      </c>
      <c r="D2759" t="s">
        <v>269</v>
      </c>
      <c r="E2759">
        <v>5.2359699999999999E-4</v>
      </c>
      <c r="F2759" t="s">
        <v>233</v>
      </c>
      <c r="G2759" t="s">
        <v>234</v>
      </c>
      <c r="H2759">
        <v>3</v>
      </c>
    </row>
    <row r="2760" spans="1:8" x14ac:dyDescent="0.25">
      <c r="A2760" t="s">
        <v>5462</v>
      </c>
      <c r="B2760" t="s">
        <v>5462</v>
      </c>
      <c r="C2760" t="s">
        <v>271</v>
      </c>
      <c r="D2760" t="s">
        <v>269</v>
      </c>
      <c r="E2760">
        <v>5.2359699999999999E-4</v>
      </c>
      <c r="F2760" t="s">
        <v>233</v>
      </c>
      <c r="G2760" t="s">
        <v>234</v>
      </c>
      <c r="H2760">
        <v>3</v>
      </c>
    </row>
    <row r="2761" spans="1:8" x14ac:dyDescent="0.25">
      <c r="A2761" t="s">
        <v>5463</v>
      </c>
      <c r="B2761" t="s">
        <v>5463</v>
      </c>
      <c r="C2761" t="s">
        <v>271</v>
      </c>
      <c r="D2761" t="s">
        <v>269</v>
      </c>
      <c r="E2761">
        <v>5.2359699999999999E-4</v>
      </c>
      <c r="F2761" t="s">
        <v>233</v>
      </c>
      <c r="G2761" t="s">
        <v>234</v>
      </c>
      <c r="H2761">
        <v>3</v>
      </c>
    </row>
    <row r="2762" spans="1:8" x14ac:dyDescent="0.25">
      <c r="A2762" t="s">
        <v>5464</v>
      </c>
      <c r="B2762" t="s">
        <v>5464</v>
      </c>
      <c r="C2762" t="s">
        <v>271</v>
      </c>
      <c r="D2762" t="s">
        <v>269</v>
      </c>
      <c r="E2762">
        <v>5.2359699999999999E-4</v>
      </c>
      <c r="F2762" t="s">
        <v>233</v>
      </c>
      <c r="G2762" t="s">
        <v>234</v>
      </c>
      <c r="H2762">
        <v>3</v>
      </c>
    </row>
    <row r="2763" spans="1:8" x14ac:dyDescent="0.25">
      <c r="A2763" t="s">
        <v>5465</v>
      </c>
      <c r="B2763" t="s">
        <v>5465</v>
      </c>
      <c r="C2763" t="s">
        <v>268</v>
      </c>
      <c r="D2763" t="s">
        <v>266</v>
      </c>
      <c r="E2763">
        <v>5.4511299999999996E-4</v>
      </c>
      <c r="F2763" t="s">
        <v>233</v>
      </c>
      <c r="G2763" t="s">
        <v>234</v>
      </c>
      <c r="H2763">
        <v>3</v>
      </c>
    </row>
    <row r="2764" spans="1:8" x14ac:dyDescent="0.25">
      <c r="A2764" t="s">
        <v>5466</v>
      </c>
      <c r="B2764" t="s">
        <v>5466</v>
      </c>
      <c r="C2764" t="s">
        <v>268</v>
      </c>
      <c r="D2764" t="s">
        <v>266</v>
      </c>
      <c r="E2764">
        <v>5.4511299999999996E-4</v>
      </c>
      <c r="F2764" t="s">
        <v>233</v>
      </c>
      <c r="G2764" t="s">
        <v>234</v>
      </c>
      <c r="H2764">
        <v>3</v>
      </c>
    </row>
    <row r="2765" spans="1:8" x14ac:dyDescent="0.25">
      <c r="A2765" t="s">
        <v>5467</v>
      </c>
      <c r="B2765" t="s">
        <v>5467</v>
      </c>
      <c r="C2765" t="s">
        <v>271</v>
      </c>
      <c r="D2765" t="s">
        <v>269</v>
      </c>
      <c r="E2765">
        <v>5.2359699999999999E-4</v>
      </c>
      <c r="F2765" t="s">
        <v>233</v>
      </c>
      <c r="G2765" t="s">
        <v>234</v>
      </c>
      <c r="H2765">
        <v>3</v>
      </c>
    </row>
    <row r="2766" spans="1:8" x14ac:dyDescent="0.25">
      <c r="A2766" t="s">
        <v>5468</v>
      </c>
      <c r="B2766" t="s">
        <v>5468</v>
      </c>
      <c r="C2766" t="s">
        <v>271</v>
      </c>
      <c r="D2766" t="s">
        <v>269</v>
      </c>
      <c r="E2766">
        <v>5.2359699999999999E-4</v>
      </c>
      <c r="F2766" t="s">
        <v>233</v>
      </c>
      <c r="G2766" t="s">
        <v>234</v>
      </c>
      <c r="H2766">
        <v>3</v>
      </c>
    </row>
    <row r="2767" spans="1:8" x14ac:dyDescent="0.25">
      <c r="A2767" t="s">
        <v>5469</v>
      </c>
      <c r="B2767" t="s">
        <v>5469</v>
      </c>
      <c r="C2767" t="s">
        <v>271</v>
      </c>
      <c r="D2767" t="s">
        <v>269</v>
      </c>
      <c r="E2767">
        <v>5.2359699999999999E-4</v>
      </c>
      <c r="F2767" t="s">
        <v>233</v>
      </c>
      <c r="G2767" t="s">
        <v>234</v>
      </c>
      <c r="H2767">
        <v>3</v>
      </c>
    </row>
    <row r="2768" spans="1:8" x14ac:dyDescent="0.25">
      <c r="A2768" t="s">
        <v>5470</v>
      </c>
      <c r="B2768" t="s">
        <v>5470</v>
      </c>
      <c r="C2768" t="s">
        <v>271</v>
      </c>
      <c r="D2768" t="s">
        <v>269</v>
      </c>
      <c r="E2768">
        <v>5.2359699999999999E-4</v>
      </c>
      <c r="F2768" t="s">
        <v>233</v>
      </c>
      <c r="G2768" t="s">
        <v>234</v>
      </c>
      <c r="H2768">
        <v>3</v>
      </c>
    </row>
    <row r="2769" spans="1:8" x14ac:dyDescent="0.25">
      <c r="A2769" t="s">
        <v>5471</v>
      </c>
      <c r="B2769" t="s">
        <v>5471</v>
      </c>
      <c r="C2769" t="s">
        <v>271</v>
      </c>
      <c r="D2769" t="s">
        <v>269</v>
      </c>
      <c r="E2769">
        <v>5.2359699999999999E-4</v>
      </c>
      <c r="F2769" t="s">
        <v>233</v>
      </c>
      <c r="G2769" t="s">
        <v>234</v>
      </c>
      <c r="H2769">
        <v>3</v>
      </c>
    </row>
    <row r="2770" spans="1:8" x14ac:dyDescent="0.25">
      <c r="A2770" t="s">
        <v>5472</v>
      </c>
      <c r="B2770" t="s">
        <v>5472</v>
      </c>
      <c r="C2770" t="s">
        <v>271</v>
      </c>
      <c r="D2770" t="s">
        <v>269</v>
      </c>
      <c r="E2770">
        <v>5.2359699999999999E-4</v>
      </c>
      <c r="F2770" t="s">
        <v>233</v>
      </c>
      <c r="G2770" t="s">
        <v>234</v>
      </c>
      <c r="H2770">
        <v>3</v>
      </c>
    </row>
    <row r="2771" spans="1:8" x14ac:dyDescent="0.25">
      <c r="A2771" t="s">
        <v>5473</v>
      </c>
      <c r="B2771" t="s">
        <v>5473</v>
      </c>
      <c r="C2771" t="s">
        <v>271</v>
      </c>
      <c r="D2771" t="s">
        <v>269</v>
      </c>
      <c r="E2771">
        <v>5.2359699999999999E-4</v>
      </c>
      <c r="F2771" t="s">
        <v>233</v>
      </c>
      <c r="G2771" t="s">
        <v>234</v>
      </c>
      <c r="H2771">
        <v>3</v>
      </c>
    </row>
    <row r="2772" spans="1:8" x14ac:dyDescent="0.25">
      <c r="A2772" t="s">
        <v>5474</v>
      </c>
      <c r="B2772" t="s">
        <v>5474</v>
      </c>
      <c r="C2772" t="s">
        <v>271</v>
      </c>
      <c r="D2772" t="s">
        <v>269</v>
      </c>
      <c r="E2772">
        <v>5.2359699999999999E-4</v>
      </c>
      <c r="F2772" t="s">
        <v>233</v>
      </c>
      <c r="G2772" t="s">
        <v>234</v>
      </c>
      <c r="H2772">
        <v>3</v>
      </c>
    </row>
    <row r="2773" spans="1:8" x14ac:dyDescent="0.25">
      <c r="A2773" t="s">
        <v>5475</v>
      </c>
      <c r="B2773" t="s">
        <v>5475</v>
      </c>
      <c r="C2773" t="s">
        <v>271</v>
      </c>
      <c r="D2773" t="s">
        <v>269</v>
      </c>
      <c r="E2773">
        <v>5.2359699999999999E-4</v>
      </c>
      <c r="F2773" t="s">
        <v>233</v>
      </c>
      <c r="G2773" t="s">
        <v>234</v>
      </c>
      <c r="H2773">
        <v>3</v>
      </c>
    </row>
    <row r="2774" spans="1:8" x14ac:dyDescent="0.25">
      <c r="A2774" t="s">
        <v>5476</v>
      </c>
      <c r="B2774" t="s">
        <v>5476</v>
      </c>
      <c r="C2774" t="s">
        <v>271</v>
      </c>
      <c r="D2774" t="s">
        <v>269</v>
      </c>
      <c r="E2774">
        <v>5.2359699999999999E-4</v>
      </c>
      <c r="F2774" t="s">
        <v>233</v>
      </c>
      <c r="G2774" t="s">
        <v>234</v>
      </c>
      <c r="H2774">
        <v>3</v>
      </c>
    </row>
    <row r="2775" spans="1:8" x14ac:dyDescent="0.25">
      <c r="A2775" t="s">
        <v>5477</v>
      </c>
      <c r="B2775" t="s">
        <v>5477</v>
      </c>
      <c r="C2775" t="s">
        <v>271</v>
      </c>
      <c r="D2775" t="s">
        <v>269</v>
      </c>
      <c r="E2775">
        <v>5.2359699999999999E-4</v>
      </c>
      <c r="F2775" t="s">
        <v>233</v>
      </c>
      <c r="G2775" t="s">
        <v>234</v>
      </c>
      <c r="H2775">
        <v>3</v>
      </c>
    </row>
    <row r="2776" spans="1:8" x14ac:dyDescent="0.25">
      <c r="A2776" t="s">
        <v>5478</v>
      </c>
      <c r="B2776" t="s">
        <v>5478</v>
      </c>
      <c r="C2776" t="s">
        <v>271</v>
      </c>
      <c r="D2776" t="s">
        <v>269</v>
      </c>
      <c r="E2776">
        <v>5.2359699999999999E-4</v>
      </c>
      <c r="F2776" t="s">
        <v>233</v>
      </c>
      <c r="G2776" t="s">
        <v>234</v>
      </c>
      <c r="H2776">
        <v>3</v>
      </c>
    </row>
    <row r="2777" spans="1:8" x14ac:dyDescent="0.25">
      <c r="A2777" t="s">
        <v>5479</v>
      </c>
      <c r="B2777" t="s">
        <v>5479</v>
      </c>
      <c r="C2777" t="s">
        <v>271</v>
      </c>
      <c r="D2777" t="s">
        <v>269</v>
      </c>
      <c r="E2777">
        <v>5.2359699999999999E-4</v>
      </c>
      <c r="F2777" t="s">
        <v>233</v>
      </c>
      <c r="G2777" t="s">
        <v>234</v>
      </c>
      <c r="H2777">
        <v>3</v>
      </c>
    </row>
    <row r="2778" spans="1:8" x14ac:dyDescent="0.25">
      <c r="A2778" t="s">
        <v>5480</v>
      </c>
      <c r="B2778" t="s">
        <v>5480</v>
      </c>
      <c r="C2778" t="s">
        <v>271</v>
      </c>
      <c r="D2778" t="s">
        <v>269</v>
      </c>
      <c r="E2778">
        <v>5.2359699999999999E-4</v>
      </c>
      <c r="F2778" t="s">
        <v>233</v>
      </c>
      <c r="G2778" t="s">
        <v>234</v>
      </c>
      <c r="H2778">
        <v>3</v>
      </c>
    </row>
    <row r="2779" spans="1:8" x14ac:dyDescent="0.25">
      <c r="A2779" t="s">
        <v>5481</v>
      </c>
      <c r="B2779" t="s">
        <v>5481</v>
      </c>
      <c r="C2779" t="s">
        <v>271</v>
      </c>
      <c r="D2779" t="s">
        <v>269</v>
      </c>
      <c r="E2779">
        <v>5.2359699999999999E-4</v>
      </c>
      <c r="F2779" t="s">
        <v>233</v>
      </c>
      <c r="G2779" t="s">
        <v>234</v>
      </c>
      <c r="H2779">
        <v>3</v>
      </c>
    </row>
    <row r="2780" spans="1:8" x14ac:dyDescent="0.25">
      <c r="A2780" t="s">
        <v>5482</v>
      </c>
      <c r="B2780" t="s">
        <v>5482</v>
      </c>
      <c r="C2780" t="s">
        <v>271</v>
      </c>
      <c r="D2780" t="s">
        <v>269</v>
      </c>
      <c r="E2780">
        <v>5.2359699999999999E-4</v>
      </c>
      <c r="F2780" t="s">
        <v>233</v>
      </c>
      <c r="G2780" t="s">
        <v>234</v>
      </c>
      <c r="H2780">
        <v>3</v>
      </c>
    </row>
    <row r="2781" spans="1:8" x14ac:dyDescent="0.25">
      <c r="A2781" t="s">
        <v>5483</v>
      </c>
      <c r="B2781" t="s">
        <v>5483</v>
      </c>
      <c r="C2781" t="s">
        <v>271</v>
      </c>
      <c r="D2781" t="s">
        <v>269</v>
      </c>
      <c r="E2781">
        <v>5.2359699999999999E-4</v>
      </c>
      <c r="F2781" t="s">
        <v>233</v>
      </c>
      <c r="G2781" t="s">
        <v>234</v>
      </c>
      <c r="H2781">
        <v>3</v>
      </c>
    </row>
    <row r="2782" spans="1:8" x14ac:dyDescent="0.25">
      <c r="A2782" t="s">
        <v>5484</v>
      </c>
      <c r="B2782" t="s">
        <v>5484</v>
      </c>
      <c r="C2782" t="s">
        <v>271</v>
      </c>
      <c r="D2782" t="s">
        <v>269</v>
      </c>
      <c r="E2782">
        <v>5.2359699999999999E-4</v>
      </c>
      <c r="F2782" t="s">
        <v>233</v>
      </c>
      <c r="G2782" t="s">
        <v>234</v>
      </c>
      <c r="H2782">
        <v>3</v>
      </c>
    </row>
    <row r="2783" spans="1:8" x14ac:dyDescent="0.25">
      <c r="A2783" t="s">
        <v>5485</v>
      </c>
      <c r="B2783" t="s">
        <v>5485</v>
      </c>
      <c r="C2783" t="s">
        <v>271</v>
      </c>
      <c r="D2783" t="s">
        <v>269</v>
      </c>
      <c r="E2783">
        <v>5.2359699999999999E-4</v>
      </c>
      <c r="F2783" t="s">
        <v>233</v>
      </c>
      <c r="G2783" t="s">
        <v>234</v>
      </c>
      <c r="H2783">
        <v>3</v>
      </c>
    </row>
    <row r="2784" spans="1:8" x14ac:dyDescent="0.25">
      <c r="A2784" t="s">
        <v>5486</v>
      </c>
      <c r="B2784" t="s">
        <v>5486</v>
      </c>
      <c r="C2784" t="s">
        <v>271</v>
      </c>
      <c r="D2784" t="s">
        <v>269</v>
      </c>
      <c r="E2784">
        <v>5.2359699999999999E-4</v>
      </c>
      <c r="F2784" t="s">
        <v>233</v>
      </c>
      <c r="G2784" t="s">
        <v>234</v>
      </c>
      <c r="H2784">
        <v>3</v>
      </c>
    </row>
    <row r="2785" spans="1:8" x14ac:dyDescent="0.25">
      <c r="A2785" t="s">
        <v>5487</v>
      </c>
      <c r="B2785" t="s">
        <v>5487</v>
      </c>
      <c r="C2785" t="s">
        <v>271</v>
      </c>
      <c r="D2785" t="s">
        <v>269</v>
      </c>
      <c r="E2785">
        <v>5.2359699999999999E-4</v>
      </c>
      <c r="F2785" t="s">
        <v>233</v>
      </c>
      <c r="G2785" t="s">
        <v>234</v>
      </c>
      <c r="H2785">
        <v>3</v>
      </c>
    </row>
    <row r="2786" spans="1:8" x14ac:dyDescent="0.25">
      <c r="A2786" t="s">
        <v>5488</v>
      </c>
      <c r="B2786" t="s">
        <v>5488</v>
      </c>
      <c r="C2786" t="s">
        <v>271</v>
      </c>
      <c r="D2786" t="s">
        <v>269</v>
      </c>
      <c r="E2786">
        <v>5.2359699999999999E-4</v>
      </c>
      <c r="F2786" t="s">
        <v>233</v>
      </c>
      <c r="G2786" t="s">
        <v>234</v>
      </c>
      <c r="H2786">
        <v>3</v>
      </c>
    </row>
    <row r="2787" spans="1:8" x14ac:dyDescent="0.25">
      <c r="A2787" t="s">
        <v>5489</v>
      </c>
      <c r="B2787" t="s">
        <v>5489</v>
      </c>
      <c r="C2787" t="s">
        <v>271</v>
      </c>
      <c r="D2787" t="s">
        <v>269</v>
      </c>
      <c r="E2787">
        <v>5.2359699999999999E-4</v>
      </c>
      <c r="F2787" t="s">
        <v>233</v>
      </c>
      <c r="G2787" t="s">
        <v>234</v>
      </c>
      <c r="H2787">
        <v>3</v>
      </c>
    </row>
    <row r="2788" spans="1:8" x14ac:dyDescent="0.25">
      <c r="A2788" t="s">
        <v>5490</v>
      </c>
      <c r="B2788" t="s">
        <v>5490</v>
      </c>
      <c r="C2788" t="s">
        <v>271</v>
      </c>
      <c r="D2788" t="s">
        <v>269</v>
      </c>
      <c r="E2788">
        <v>5.2359699999999999E-4</v>
      </c>
      <c r="F2788" t="s">
        <v>233</v>
      </c>
      <c r="G2788" t="s">
        <v>234</v>
      </c>
      <c r="H2788">
        <v>3</v>
      </c>
    </row>
    <row r="2789" spans="1:8" x14ac:dyDescent="0.25">
      <c r="A2789" t="s">
        <v>5491</v>
      </c>
      <c r="B2789" t="s">
        <v>5491</v>
      </c>
      <c r="C2789" t="s">
        <v>271</v>
      </c>
      <c r="D2789" t="s">
        <v>269</v>
      </c>
      <c r="E2789">
        <v>5.2359699999999999E-4</v>
      </c>
      <c r="F2789" t="s">
        <v>233</v>
      </c>
      <c r="G2789" t="s">
        <v>234</v>
      </c>
      <c r="H2789">
        <v>3</v>
      </c>
    </row>
    <row r="2790" spans="1:8" x14ac:dyDescent="0.25">
      <c r="A2790" t="s">
        <v>5492</v>
      </c>
      <c r="B2790" t="s">
        <v>5492</v>
      </c>
      <c r="C2790" t="s">
        <v>271</v>
      </c>
      <c r="D2790" t="s">
        <v>269</v>
      </c>
      <c r="E2790">
        <v>5.2359699999999999E-4</v>
      </c>
      <c r="F2790" t="s">
        <v>233</v>
      </c>
      <c r="G2790" t="s">
        <v>234</v>
      </c>
      <c r="H2790">
        <v>3</v>
      </c>
    </row>
    <row r="2791" spans="1:8" x14ac:dyDescent="0.25">
      <c r="A2791" t="s">
        <v>5493</v>
      </c>
      <c r="B2791" t="s">
        <v>5493</v>
      </c>
      <c r="C2791" t="s">
        <v>271</v>
      </c>
      <c r="D2791" t="s">
        <v>269</v>
      </c>
      <c r="E2791">
        <v>5.2359699999999999E-4</v>
      </c>
      <c r="F2791" t="s">
        <v>233</v>
      </c>
      <c r="G2791" t="s">
        <v>234</v>
      </c>
      <c r="H2791">
        <v>3</v>
      </c>
    </row>
    <row r="2792" spans="1:8" x14ac:dyDescent="0.25">
      <c r="A2792" t="s">
        <v>5494</v>
      </c>
      <c r="B2792" t="s">
        <v>5494</v>
      </c>
      <c r="C2792" t="s">
        <v>271</v>
      </c>
      <c r="D2792" t="s">
        <v>269</v>
      </c>
      <c r="E2792">
        <v>5.2359699999999999E-4</v>
      </c>
      <c r="F2792" t="s">
        <v>233</v>
      </c>
      <c r="G2792" t="s">
        <v>234</v>
      </c>
      <c r="H2792">
        <v>3</v>
      </c>
    </row>
    <row r="2793" spans="1:8" x14ac:dyDescent="0.25">
      <c r="A2793" t="s">
        <v>5495</v>
      </c>
      <c r="B2793" t="s">
        <v>5495</v>
      </c>
      <c r="C2793" t="s">
        <v>271</v>
      </c>
      <c r="D2793" t="s">
        <v>269</v>
      </c>
      <c r="E2793">
        <v>5.2359699999999999E-4</v>
      </c>
      <c r="F2793" t="s">
        <v>233</v>
      </c>
      <c r="G2793" t="s">
        <v>234</v>
      </c>
      <c r="H2793">
        <v>3</v>
      </c>
    </row>
    <row r="2794" spans="1:8" x14ac:dyDescent="0.25">
      <c r="A2794" t="s">
        <v>5496</v>
      </c>
      <c r="B2794" t="s">
        <v>5496</v>
      </c>
      <c r="C2794" t="s">
        <v>271</v>
      </c>
      <c r="D2794" t="s">
        <v>269</v>
      </c>
      <c r="E2794">
        <v>5.2359699999999999E-4</v>
      </c>
      <c r="F2794" t="s">
        <v>233</v>
      </c>
      <c r="G2794" t="s">
        <v>234</v>
      </c>
      <c r="H2794">
        <v>3</v>
      </c>
    </row>
    <row r="2795" spans="1:8" x14ac:dyDescent="0.25">
      <c r="A2795" t="s">
        <v>5497</v>
      </c>
      <c r="B2795" t="s">
        <v>5497</v>
      </c>
      <c r="C2795" t="s">
        <v>301</v>
      </c>
      <c r="D2795" t="s">
        <v>299</v>
      </c>
      <c r="E2795">
        <v>6.3590900000000004E-4</v>
      </c>
      <c r="F2795" t="s">
        <v>233</v>
      </c>
      <c r="G2795" t="s">
        <v>234</v>
      </c>
      <c r="H2795">
        <v>3</v>
      </c>
    </row>
    <row r="2796" spans="1:8" x14ac:dyDescent="0.25">
      <c r="A2796" t="s">
        <v>5498</v>
      </c>
      <c r="B2796" t="s">
        <v>5498</v>
      </c>
      <c r="C2796" t="s">
        <v>271</v>
      </c>
      <c r="D2796" t="s">
        <v>269</v>
      </c>
      <c r="E2796">
        <v>5.2359699999999999E-4</v>
      </c>
      <c r="F2796" t="s">
        <v>233</v>
      </c>
      <c r="G2796" t="s">
        <v>234</v>
      </c>
      <c r="H2796">
        <v>3</v>
      </c>
    </row>
    <row r="2797" spans="1:8" x14ac:dyDescent="0.25">
      <c r="A2797" t="s">
        <v>5499</v>
      </c>
      <c r="B2797" t="s">
        <v>5499</v>
      </c>
      <c r="C2797" t="s">
        <v>271</v>
      </c>
      <c r="D2797" t="s">
        <v>269</v>
      </c>
      <c r="E2797">
        <v>5.2359699999999999E-4</v>
      </c>
      <c r="F2797" t="s">
        <v>233</v>
      </c>
      <c r="G2797" t="s">
        <v>234</v>
      </c>
      <c r="H2797">
        <v>3</v>
      </c>
    </row>
    <row r="2798" spans="1:8" x14ac:dyDescent="0.25">
      <c r="A2798" t="s">
        <v>5500</v>
      </c>
      <c r="B2798" t="s">
        <v>5500</v>
      </c>
      <c r="C2798" t="s">
        <v>271</v>
      </c>
      <c r="D2798" t="s">
        <v>269</v>
      </c>
      <c r="E2798">
        <v>5.2359699999999999E-4</v>
      </c>
      <c r="F2798" t="s">
        <v>233</v>
      </c>
      <c r="G2798" t="s">
        <v>234</v>
      </c>
      <c r="H2798">
        <v>3</v>
      </c>
    </row>
    <row r="2799" spans="1:8" x14ac:dyDescent="0.25">
      <c r="A2799" t="s">
        <v>5501</v>
      </c>
      <c r="B2799" t="s">
        <v>5501</v>
      </c>
      <c r="C2799" t="s">
        <v>271</v>
      </c>
      <c r="D2799" t="s">
        <v>269</v>
      </c>
      <c r="E2799">
        <v>5.2359699999999999E-4</v>
      </c>
      <c r="F2799" t="s">
        <v>233</v>
      </c>
      <c r="G2799" t="s">
        <v>234</v>
      </c>
      <c r="H2799">
        <v>3</v>
      </c>
    </row>
    <row r="2800" spans="1:8" x14ac:dyDescent="0.25">
      <c r="A2800" t="s">
        <v>5502</v>
      </c>
      <c r="B2800" t="s">
        <v>5502</v>
      </c>
      <c r="C2800" t="s">
        <v>271</v>
      </c>
      <c r="D2800" t="s">
        <v>269</v>
      </c>
      <c r="E2800">
        <v>5.2359699999999999E-4</v>
      </c>
      <c r="F2800" t="s">
        <v>233</v>
      </c>
      <c r="G2800" t="s">
        <v>234</v>
      </c>
      <c r="H2800">
        <v>3</v>
      </c>
    </row>
    <row r="2801" spans="1:8" x14ac:dyDescent="0.25">
      <c r="A2801" t="s">
        <v>5503</v>
      </c>
      <c r="B2801" t="s">
        <v>5503</v>
      </c>
      <c r="C2801" t="s">
        <v>271</v>
      </c>
      <c r="D2801" t="s">
        <v>269</v>
      </c>
      <c r="E2801">
        <v>5.2359699999999999E-4</v>
      </c>
      <c r="F2801" t="s">
        <v>233</v>
      </c>
      <c r="G2801" t="s">
        <v>234</v>
      </c>
      <c r="H2801">
        <v>3</v>
      </c>
    </row>
    <row r="2802" spans="1:8" x14ac:dyDescent="0.25">
      <c r="A2802" t="s">
        <v>5504</v>
      </c>
      <c r="B2802" t="s">
        <v>5504</v>
      </c>
      <c r="C2802" t="s">
        <v>271</v>
      </c>
      <c r="D2802" t="s">
        <v>269</v>
      </c>
      <c r="E2802">
        <v>5.2359699999999999E-4</v>
      </c>
      <c r="F2802" t="s">
        <v>233</v>
      </c>
      <c r="G2802" t="s">
        <v>234</v>
      </c>
      <c r="H2802">
        <v>3</v>
      </c>
    </row>
    <row r="2803" spans="1:8" x14ac:dyDescent="0.25">
      <c r="A2803" t="s">
        <v>5505</v>
      </c>
      <c r="B2803" t="s">
        <v>5505</v>
      </c>
      <c r="C2803" t="s">
        <v>271</v>
      </c>
      <c r="D2803" t="s">
        <v>269</v>
      </c>
      <c r="E2803">
        <v>5.2359699999999999E-4</v>
      </c>
      <c r="F2803" t="s">
        <v>233</v>
      </c>
      <c r="G2803" t="s">
        <v>234</v>
      </c>
      <c r="H2803">
        <v>3</v>
      </c>
    </row>
    <row r="2804" spans="1:8" x14ac:dyDescent="0.25">
      <c r="A2804" t="s">
        <v>5506</v>
      </c>
      <c r="B2804" t="s">
        <v>5506</v>
      </c>
      <c r="C2804" t="s">
        <v>271</v>
      </c>
      <c r="D2804" t="s">
        <v>269</v>
      </c>
      <c r="E2804">
        <v>5.2359699999999999E-4</v>
      </c>
      <c r="F2804" t="s">
        <v>233</v>
      </c>
      <c r="G2804" t="s">
        <v>234</v>
      </c>
      <c r="H2804">
        <v>3</v>
      </c>
    </row>
    <row r="2805" spans="1:8" x14ac:dyDescent="0.25">
      <c r="A2805" t="s">
        <v>5507</v>
      </c>
      <c r="B2805" t="s">
        <v>5507</v>
      </c>
      <c r="C2805" t="s">
        <v>271</v>
      </c>
      <c r="D2805" t="s">
        <v>269</v>
      </c>
      <c r="E2805">
        <v>5.2359699999999999E-4</v>
      </c>
      <c r="F2805" t="s">
        <v>233</v>
      </c>
      <c r="G2805" t="s">
        <v>234</v>
      </c>
      <c r="H2805">
        <v>3</v>
      </c>
    </row>
    <row r="2806" spans="1:8" x14ac:dyDescent="0.25">
      <c r="A2806" t="s">
        <v>5508</v>
      </c>
      <c r="B2806" t="s">
        <v>5508</v>
      </c>
      <c r="C2806" t="s">
        <v>271</v>
      </c>
      <c r="D2806" t="s">
        <v>269</v>
      </c>
      <c r="E2806">
        <v>5.2359699999999999E-4</v>
      </c>
      <c r="F2806" t="s">
        <v>233</v>
      </c>
      <c r="G2806" t="s">
        <v>234</v>
      </c>
      <c r="H2806">
        <v>3</v>
      </c>
    </row>
    <row r="2807" spans="1:8" x14ac:dyDescent="0.25">
      <c r="A2807" t="s">
        <v>5509</v>
      </c>
      <c r="B2807" t="s">
        <v>5509</v>
      </c>
      <c r="C2807" t="s">
        <v>274</v>
      </c>
      <c r="D2807" t="s">
        <v>272</v>
      </c>
      <c r="E2807">
        <v>6.1713999999999996E-4</v>
      </c>
      <c r="F2807" t="s">
        <v>233</v>
      </c>
      <c r="G2807" t="s">
        <v>234</v>
      </c>
      <c r="H2807">
        <v>3</v>
      </c>
    </row>
    <row r="2808" spans="1:8" x14ac:dyDescent="0.25">
      <c r="A2808" t="s">
        <v>5510</v>
      </c>
      <c r="B2808" t="s">
        <v>5510</v>
      </c>
      <c r="C2808" t="s">
        <v>256</v>
      </c>
      <c r="D2808" t="s">
        <v>254</v>
      </c>
      <c r="E2808">
        <v>8.1312799999999998E-4</v>
      </c>
      <c r="F2808" t="s">
        <v>233</v>
      </c>
      <c r="G2808" t="s">
        <v>234</v>
      </c>
      <c r="H2808">
        <v>3</v>
      </c>
    </row>
    <row r="2809" spans="1:8" x14ac:dyDescent="0.25">
      <c r="A2809" t="s">
        <v>5511</v>
      </c>
      <c r="B2809" t="s">
        <v>5511</v>
      </c>
      <c r="C2809" t="s">
        <v>271</v>
      </c>
      <c r="D2809" t="s">
        <v>269</v>
      </c>
      <c r="E2809">
        <v>5.2359699999999999E-4</v>
      </c>
      <c r="F2809" t="s">
        <v>233</v>
      </c>
      <c r="G2809" t="s">
        <v>234</v>
      </c>
      <c r="H2809">
        <v>3</v>
      </c>
    </row>
    <row r="2810" spans="1:8" x14ac:dyDescent="0.25">
      <c r="A2810" t="s">
        <v>5512</v>
      </c>
      <c r="B2810" t="s">
        <v>5512</v>
      </c>
      <c r="C2810" t="s">
        <v>271</v>
      </c>
      <c r="D2810" t="s">
        <v>269</v>
      </c>
      <c r="E2810">
        <v>5.2359699999999999E-4</v>
      </c>
      <c r="F2810" t="s">
        <v>233</v>
      </c>
      <c r="G2810" t="s">
        <v>234</v>
      </c>
      <c r="H2810">
        <v>3</v>
      </c>
    </row>
    <row r="2811" spans="1:8" x14ac:dyDescent="0.25">
      <c r="A2811" t="s">
        <v>3532</v>
      </c>
      <c r="B2811" t="s">
        <v>3532</v>
      </c>
      <c r="C2811" t="s">
        <v>265</v>
      </c>
      <c r="D2811" t="s">
        <v>263</v>
      </c>
      <c r="E2811">
        <v>3.0449399999999999E-4</v>
      </c>
      <c r="F2811" t="s">
        <v>233</v>
      </c>
      <c r="G2811" t="s">
        <v>234</v>
      </c>
      <c r="H2811">
        <v>3</v>
      </c>
    </row>
    <row r="2812" spans="1:8" x14ac:dyDescent="0.25">
      <c r="A2812" t="s">
        <v>5150</v>
      </c>
      <c r="B2812" t="s">
        <v>5150</v>
      </c>
      <c r="C2812" t="s">
        <v>265</v>
      </c>
      <c r="D2812" t="s">
        <v>263</v>
      </c>
      <c r="E2812">
        <v>3.0449399999999999E-4</v>
      </c>
      <c r="F2812" t="s">
        <v>233</v>
      </c>
      <c r="G2812" t="s">
        <v>234</v>
      </c>
      <c r="H2812">
        <v>3</v>
      </c>
    </row>
    <row r="2813" spans="1:8" x14ac:dyDescent="0.25">
      <c r="A2813" t="s">
        <v>5171</v>
      </c>
      <c r="B2813" t="s">
        <v>5171</v>
      </c>
      <c r="C2813" t="s">
        <v>301</v>
      </c>
      <c r="D2813" t="s">
        <v>299</v>
      </c>
      <c r="E2813">
        <v>6.3590900000000004E-4</v>
      </c>
      <c r="F2813" t="s">
        <v>233</v>
      </c>
      <c r="G2813" t="s">
        <v>234</v>
      </c>
      <c r="H2813">
        <v>3</v>
      </c>
    </row>
    <row r="2814" spans="1:8" x14ac:dyDescent="0.25">
      <c r="A2814" t="s">
        <v>5172</v>
      </c>
      <c r="B2814" t="s">
        <v>5172</v>
      </c>
      <c r="C2814" t="s">
        <v>301</v>
      </c>
      <c r="D2814" t="s">
        <v>299</v>
      </c>
      <c r="E2814">
        <v>6.3590900000000004E-4</v>
      </c>
      <c r="F2814" t="s">
        <v>233</v>
      </c>
      <c r="G2814" t="s">
        <v>234</v>
      </c>
      <c r="H2814">
        <v>3</v>
      </c>
    </row>
    <row r="2815" spans="1:8" x14ac:dyDescent="0.25">
      <c r="A2815" t="s">
        <v>5175</v>
      </c>
      <c r="B2815" t="s">
        <v>5175</v>
      </c>
      <c r="C2815" t="s">
        <v>301</v>
      </c>
      <c r="D2815" t="s">
        <v>299</v>
      </c>
      <c r="E2815">
        <v>6.3590900000000004E-4</v>
      </c>
      <c r="F2815" t="s">
        <v>233</v>
      </c>
      <c r="G2815" t="s">
        <v>234</v>
      </c>
      <c r="H2815">
        <v>3</v>
      </c>
    </row>
    <row r="2816" spans="1:8" x14ac:dyDescent="0.25">
      <c r="A2816" t="s">
        <v>5176</v>
      </c>
      <c r="B2816" t="s">
        <v>5176</v>
      </c>
      <c r="C2816" t="s">
        <v>265</v>
      </c>
      <c r="D2816" t="s">
        <v>263</v>
      </c>
      <c r="E2816">
        <v>3.0449399999999999E-4</v>
      </c>
      <c r="F2816" t="s">
        <v>233</v>
      </c>
      <c r="G2816" t="s">
        <v>234</v>
      </c>
      <c r="H2816">
        <v>3</v>
      </c>
    </row>
    <row r="2817" spans="1:8" x14ac:dyDescent="0.25">
      <c r="A2817" t="s">
        <v>5211</v>
      </c>
      <c r="B2817" t="s">
        <v>5211</v>
      </c>
      <c r="C2817" t="s">
        <v>301</v>
      </c>
      <c r="D2817" t="s">
        <v>299</v>
      </c>
      <c r="E2817">
        <v>6.3590900000000004E-4</v>
      </c>
      <c r="F2817" t="s">
        <v>233</v>
      </c>
      <c r="G2817" t="s">
        <v>234</v>
      </c>
      <c r="H2817">
        <v>3</v>
      </c>
    </row>
    <row r="2818" spans="1:8" x14ac:dyDescent="0.25">
      <c r="A2818" t="s">
        <v>5212</v>
      </c>
      <c r="B2818" t="s">
        <v>5212</v>
      </c>
      <c r="C2818" t="s">
        <v>301</v>
      </c>
      <c r="D2818" t="s">
        <v>299</v>
      </c>
      <c r="E2818">
        <v>6.3590900000000004E-4</v>
      </c>
      <c r="F2818" t="s">
        <v>233</v>
      </c>
      <c r="G2818" t="s">
        <v>234</v>
      </c>
      <c r="H2818">
        <v>3</v>
      </c>
    </row>
    <row r="2819" spans="1:8" x14ac:dyDescent="0.25">
      <c r="A2819" t="s">
        <v>5513</v>
      </c>
      <c r="B2819" t="s">
        <v>5513</v>
      </c>
      <c r="C2819" t="s">
        <v>301</v>
      </c>
      <c r="D2819" t="s">
        <v>299</v>
      </c>
      <c r="E2819">
        <v>6.3590900000000004E-4</v>
      </c>
      <c r="F2819" t="s">
        <v>233</v>
      </c>
      <c r="G2819" t="s">
        <v>234</v>
      </c>
      <c r="H2819">
        <v>3</v>
      </c>
    </row>
    <row r="2820" spans="1:8" x14ac:dyDescent="0.25">
      <c r="A2820" t="s">
        <v>5514</v>
      </c>
      <c r="B2820" t="s">
        <v>5514</v>
      </c>
      <c r="C2820" t="s">
        <v>346</v>
      </c>
      <c r="D2820" t="s">
        <v>347</v>
      </c>
      <c r="E2820">
        <v>2.10657E-4</v>
      </c>
      <c r="F2820" t="s">
        <v>233</v>
      </c>
      <c r="G2820" t="s">
        <v>234</v>
      </c>
      <c r="H2820">
        <v>3</v>
      </c>
    </row>
    <row r="2821" spans="1:8" x14ac:dyDescent="0.25">
      <c r="A2821" t="s">
        <v>5515</v>
      </c>
      <c r="B2821" t="s">
        <v>5515</v>
      </c>
      <c r="C2821" t="s">
        <v>265</v>
      </c>
      <c r="D2821" t="s">
        <v>263</v>
      </c>
      <c r="E2821">
        <v>3.0449399999999999E-4</v>
      </c>
      <c r="F2821" t="s">
        <v>233</v>
      </c>
      <c r="G2821" t="s">
        <v>234</v>
      </c>
      <c r="H2821">
        <v>3</v>
      </c>
    </row>
    <row r="2822" spans="1:8" x14ac:dyDescent="0.25">
      <c r="A2822" t="s">
        <v>5516</v>
      </c>
      <c r="B2822" t="s">
        <v>5516</v>
      </c>
      <c r="C2822" t="s">
        <v>265</v>
      </c>
      <c r="D2822" t="s">
        <v>263</v>
      </c>
      <c r="E2822">
        <v>3.0449399999999999E-4</v>
      </c>
      <c r="F2822" t="s">
        <v>233</v>
      </c>
      <c r="G2822" t="s">
        <v>234</v>
      </c>
      <c r="H2822">
        <v>3</v>
      </c>
    </row>
    <row r="2823" spans="1:8" x14ac:dyDescent="0.25">
      <c r="A2823" t="s">
        <v>5517</v>
      </c>
      <c r="B2823" t="s">
        <v>5517</v>
      </c>
      <c r="C2823" t="s">
        <v>271</v>
      </c>
      <c r="D2823" t="s">
        <v>269</v>
      </c>
      <c r="E2823">
        <v>5.2359699999999999E-4</v>
      </c>
      <c r="F2823" t="s">
        <v>233</v>
      </c>
      <c r="G2823" t="s">
        <v>234</v>
      </c>
      <c r="H2823">
        <v>3</v>
      </c>
    </row>
    <row r="2824" spans="1:8" x14ac:dyDescent="0.25">
      <c r="A2824" t="s">
        <v>5518</v>
      </c>
      <c r="B2824" t="s">
        <v>5518</v>
      </c>
      <c r="C2824" t="s">
        <v>271</v>
      </c>
      <c r="D2824" t="s">
        <v>269</v>
      </c>
      <c r="E2824">
        <v>5.2359699999999999E-4</v>
      </c>
      <c r="F2824" t="s">
        <v>233</v>
      </c>
      <c r="G2824" t="s">
        <v>234</v>
      </c>
      <c r="H2824">
        <v>3</v>
      </c>
    </row>
    <row r="2825" spans="1:8" x14ac:dyDescent="0.25">
      <c r="A2825" t="s">
        <v>5519</v>
      </c>
      <c r="B2825" t="s">
        <v>5519</v>
      </c>
      <c r="C2825" t="s">
        <v>271</v>
      </c>
      <c r="D2825" t="s">
        <v>269</v>
      </c>
      <c r="E2825">
        <v>5.2359699999999999E-4</v>
      </c>
      <c r="F2825" t="s">
        <v>233</v>
      </c>
      <c r="G2825" t="s">
        <v>234</v>
      </c>
      <c r="H2825">
        <v>3</v>
      </c>
    </row>
    <row r="2826" spans="1:8" x14ac:dyDescent="0.25">
      <c r="A2826" t="s">
        <v>5520</v>
      </c>
      <c r="B2826" t="s">
        <v>5520</v>
      </c>
      <c r="C2826" t="s">
        <v>271</v>
      </c>
      <c r="D2826" t="s">
        <v>269</v>
      </c>
      <c r="E2826">
        <v>5.2359699999999999E-4</v>
      </c>
      <c r="F2826" t="s">
        <v>233</v>
      </c>
      <c r="G2826" t="s">
        <v>234</v>
      </c>
      <c r="H2826">
        <v>3</v>
      </c>
    </row>
    <row r="2827" spans="1:8" x14ac:dyDescent="0.25">
      <c r="A2827" t="s">
        <v>5521</v>
      </c>
      <c r="B2827" t="s">
        <v>5521</v>
      </c>
      <c r="C2827" t="s">
        <v>274</v>
      </c>
      <c r="D2827" t="s">
        <v>272</v>
      </c>
      <c r="E2827">
        <v>6.1713999999999996E-4</v>
      </c>
      <c r="F2827" t="s">
        <v>233</v>
      </c>
      <c r="G2827" t="s">
        <v>234</v>
      </c>
      <c r="H2827">
        <v>3</v>
      </c>
    </row>
    <row r="2828" spans="1:8" x14ac:dyDescent="0.25">
      <c r="A2828" t="s">
        <v>5522</v>
      </c>
      <c r="B2828" t="s">
        <v>5522</v>
      </c>
      <c r="C2828" t="s">
        <v>346</v>
      </c>
      <c r="D2828" t="s">
        <v>347</v>
      </c>
      <c r="E2828">
        <v>2.10657E-4</v>
      </c>
      <c r="F2828" t="s">
        <v>233</v>
      </c>
      <c r="G2828" t="s">
        <v>234</v>
      </c>
      <c r="H2828">
        <v>3</v>
      </c>
    </row>
    <row r="2829" spans="1:8" x14ac:dyDescent="0.25">
      <c r="A2829" t="s">
        <v>5523</v>
      </c>
      <c r="B2829" t="s">
        <v>5523</v>
      </c>
      <c r="C2829" t="s">
        <v>346</v>
      </c>
      <c r="D2829" t="s">
        <v>347</v>
      </c>
      <c r="E2829">
        <v>2.10657E-4</v>
      </c>
      <c r="F2829" t="s">
        <v>233</v>
      </c>
      <c r="G2829" t="s">
        <v>234</v>
      </c>
      <c r="H2829">
        <v>3</v>
      </c>
    </row>
    <row r="2830" spans="1:8" x14ac:dyDescent="0.25">
      <c r="A2830" t="s">
        <v>5524</v>
      </c>
      <c r="B2830" t="s">
        <v>5524</v>
      </c>
      <c r="C2830" t="s">
        <v>726</v>
      </c>
      <c r="D2830" t="s">
        <v>727</v>
      </c>
      <c r="E2830">
        <v>1.3494000000000001E-4</v>
      </c>
      <c r="F2830" t="s">
        <v>233</v>
      </c>
      <c r="G2830" t="s">
        <v>234</v>
      </c>
      <c r="H2830">
        <v>3</v>
      </c>
    </row>
    <row r="2831" spans="1:8" x14ac:dyDescent="0.25">
      <c r="A2831" t="s">
        <v>5525</v>
      </c>
      <c r="B2831" t="s">
        <v>5525</v>
      </c>
      <c r="C2831" t="s">
        <v>346</v>
      </c>
      <c r="D2831" t="s">
        <v>347</v>
      </c>
      <c r="E2831">
        <v>2.10657E-4</v>
      </c>
      <c r="F2831" t="s">
        <v>233</v>
      </c>
      <c r="G2831" t="s">
        <v>234</v>
      </c>
      <c r="H2831">
        <v>3</v>
      </c>
    </row>
    <row r="2832" spans="1:8" x14ac:dyDescent="0.25">
      <c r="A2832" t="s">
        <v>5526</v>
      </c>
      <c r="B2832" t="s">
        <v>5526</v>
      </c>
      <c r="C2832" t="s">
        <v>465</v>
      </c>
      <c r="D2832" t="s">
        <v>466</v>
      </c>
      <c r="E2832">
        <v>2.2128299999999999E-4</v>
      </c>
      <c r="F2832" t="s">
        <v>233</v>
      </c>
      <c r="G2832" t="s">
        <v>234</v>
      </c>
      <c r="H2832">
        <v>3</v>
      </c>
    </row>
    <row r="2833" spans="1:8" x14ac:dyDescent="0.25">
      <c r="A2833" t="s">
        <v>5527</v>
      </c>
      <c r="B2833" t="s">
        <v>5527</v>
      </c>
      <c r="C2833" t="s">
        <v>346</v>
      </c>
      <c r="D2833" t="s">
        <v>347</v>
      </c>
      <c r="E2833">
        <v>2.10657E-4</v>
      </c>
      <c r="F2833" t="s">
        <v>233</v>
      </c>
      <c r="G2833" t="s">
        <v>234</v>
      </c>
      <c r="H2833">
        <v>3</v>
      </c>
    </row>
    <row r="2834" spans="1:8" x14ac:dyDescent="0.25">
      <c r="A2834" t="s">
        <v>5528</v>
      </c>
      <c r="B2834" t="s">
        <v>5528</v>
      </c>
      <c r="C2834" t="s">
        <v>346</v>
      </c>
      <c r="D2834" t="s">
        <v>347</v>
      </c>
      <c r="E2834">
        <v>2.10657E-4</v>
      </c>
      <c r="F2834" t="s">
        <v>233</v>
      </c>
      <c r="G2834" t="s">
        <v>234</v>
      </c>
      <c r="H2834">
        <v>3</v>
      </c>
    </row>
    <row r="2835" spans="1:8" x14ac:dyDescent="0.25">
      <c r="A2835" t="s">
        <v>5529</v>
      </c>
      <c r="B2835" t="s">
        <v>5529</v>
      </c>
      <c r="C2835" t="s">
        <v>413</v>
      </c>
      <c r="D2835" t="s">
        <v>414</v>
      </c>
      <c r="E2835">
        <v>3.1322199999999999E-4</v>
      </c>
      <c r="F2835" t="s">
        <v>233</v>
      </c>
      <c r="G2835" t="s">
        <v>234</v>
      </c>
      <c r="H2835">
        <v>3</v>
      </c>
    </row>
    <row r="2836" spans="1:8" x14ac:dyDescent="0.25">
      <c r="A2836" t="s">
        <v>5530</v>
      </c>
      <c r="B2836" t="s">
        <v>5530</v>
      </c>
      <c r="C2836" t="s">
        <v>413</v>
      </c>
      <c r="D2836" t="s">
        <v>414</v>
      </c>
      <c r="E2836">
        <v>3.1322199999999999E-4</v>
      </c>
      <c r="F2836" t="s">
        <v>233</v>
      </c>
      <c r="G2836" t="s">
        <v>234</v>
      </c>
      <c r="H2836">
        <v>3</v>
      </c>
    </row>
    <row r="2837" spans="1:8" x14ac:dyDescent="0.25">
      <c r="A2837" t="s">
        <v>5531</v>
      </c>
      <c r="B2837" t="s">
        <v>5531</v>
      </c>
      <c r="C2837" t="s">
        <v>737</v>
      </c>
      <c r="D2837" t="s">
        <v>738</v>
      </c>
      <c r="E2837">
        <v>1.81306E-4</v>
      </c>
      <c r="F2837" t="s">
        <v>233</v>
      </c>
      <c r="G2837" t="s">
        <v>234</v>
      </c>
      <c r="H2837">
        <v>3</v>
      </c>
    </row>
    <row r="2838" spans="1:8" x14ac:dyDescent="0.25">
      <c r="A2838" t="s">
        <v>5532</v>
      </c>
      <c r="B2838" t="s">
        <v>5532</v>
      </c>
      <c r="C2838" t="s">
        <v>465</v>
      </c>
      <c r="D2838" t="s">
        <v>466</v>
      </c>
      <c r="E2838">
        <v>2.2128299999999999E-4</v>
      </c>
      <c r="F2838" t="s">
        <v>233</v>
      </c>
      <c r="G2838" t="s">
        <v>234</v>
      </c>
      <c r="H2838">
        <v>3</v>
      </c>
    </row>
    <row r="2839" spans="1:8" x14ac:dyDescent="0.25">
      <c r="A2839" t="s">
        <v>5533</v>
      </c>
      <c r="B2839" t="s">
        <v>5533</v>
      </c>
      <c r="C2839" t="s">
        <v>346</v>
      </c>
      <c r="D2839" t="s">
        <v>347</v>
      </c>
      <c r="E2839">
        <v>2.10657E-4</v>
      </c>
      <c r="F2839" t="s">
        <v>233</v>
      </c>
      <c r="G2839" t="s">
        <v>234</v>
      </c>
      <c r="H2839">
        <v>3</v>
      </c>
    </row>
    <row r="2840" spans="1:8" x14ac:dyDescent="0.25">
      <c r="A2840" t="s">
        <v>5534</v>
      </c>
      <c r="B2840" t="s">
        <v>5534</v>
      </c>
      <c r="C2840" t="s">
        <v>346</v>
      </c>
      <c r="D2840" t="s">
        <v>347</v>
      </c>
      <c r="E2840">
        <v>2.10657E-4</v>
      </c>
      <c r="F2840" t="s">
        <v>233</v>
      </c>
      <c r="G2840" t="s">
        <v>234</v>
      </c>
      <c r="H2840">
        <v>3</v>
      </c>
    </row>
    <row r="2841" spans="1:8" x14ac:dyDescent="0.25">
      <c r="A2841" t="s">
        <v>5535</v>
      </c>
      <c r="B2841" t="s">
        <v>5535</v>
      </c>
      <c r="C2841" t="s">
        <v>346</v>
      </c>
      <c r="D2841" t="s">
        <v>347</v>
      </c>
      <c r="E2841">
        <v>2.10657E-4</v>
      </c>
      <c r="F2841" t="s">
        <v>233</v>
      </c>
      <c r="G2841" t="s">
        <v>234</v>
      </c>
      <c r="H2841">
        <v>3</v>
      </c>
    </row>
    <row r="2842" spans="1:8" x14ac:dyDescent="0.25">
      <c r="A2842" t="s">
        <v>5536</v>
      </c>
      <c r="B2842" t="s">
        <v>5536</v>
      </c>
      <c r="C2842" t="s">
        <v>346</v>
      </c>
      <c r="D2842" t="s">
        <v>347</v>
      </c>
      <c r="E2842">
        <v>2.10657E-4</v>
      </c>
      <c r="F2842" t="s">
        <v>233</v>
      </c>
      <c r="G2842" t="s">
        <v>234</v>
      </c>
      <c r="H2842">
        <v>3</v>
      </c>
    </row>
    <row r="2843" spans="1:8" x14ac:dyDescent="0.25">
      <c r="A2843" t="s">
        <v>5537</v>
      </c>
      <c r="B2843" t="s">
        <v>5537</v>
      </c>
      <c r="C2843" t="s">
        <v>301</v>
      </c>
      <c r="D2843" t="s">
        <v>299</v>
      </c>
      <c r="E2843">
        <v>6.3590900000000004E-4</v>
      </c>
      <c r="F2843" t="s">
        <v>233</v>
      </c>
      <c r="G2843" t="s">
        <v>234</v>
      </c>
      <c r="H2843">
        <v>3</v>
      </c>
    </row>
    <row r="2844" spans="1:8" x14ac:dyDescent="0.25">
      <c r="A2844" t="s">
        <v>5538</v>
      </c>
      <c r="B2844" t="s">
        <v>5538</v>
      </c>
      <c r="C2844" t="s">
        <v>271</v>
      </c>
      <c r="D2844" t="s">
        <v>269</v>
      </c>
      <c r="E2844">
        <v>5.2359699999999999E-4</v>
      </c>
      <c r="F2844" t="s">
        <v>233</v>
      </c>
      <c r="G2844" t="s">
        <v>234</v>
      </c>
      <c r="H2844">
        <v>3</v>
      </c>
    </row>
    <row r="2845" spans="1:8" x14ac:dyDescent="0.25">
      <c r="A2845" t="s">
        <v>5539</v>
      </c>
      <c r="B2845" t="s">
        <v>5539</v>
      </c>
      <c r="C2845" t="s">
        <v>271</v>
      </c>
      <c r="D2845" t="s">
        <v>269</v>
      </c>
      <c r="E2845">
        <v>5.2359699999999999E-4</v>
      </c>
      <c r="F2845" t="s">
        <v>233</v>
      </c>
      <c r="G2845" t="s">
        <v>234</v>
      </c>
      <c r="H2845">
        <v>3</v>
      </c>
    </row>
    <row r="2846" spans="1:8" x14ac:dyDescent="0.25">
      <c r="A2846" t="s">
        <v>5540</v>
      </c>
      <c r="B2846" t="s">
        <v>5540</v>
      </c>
      <c r="C2846" t="s">
        <v>271</v>
      </c>
      <c r="D2846" t="s">
        <v>269</v>
      </c>
      <c r="E2846">
        <v>5.2359699999999999E-4</v>
      </c>
      <c r="F2846" t="s">
        <v>233</v>
      </c>
      <c r="G2846" t="s">
        <v>234</v>
      </c>
      <c r="H2846">
        <v>3</v>
      </c>
    </row>
    <row r="2847" spans="1:8" x14ac:dyDescent="0.25">
      <c r="A2847" t="s">
        <v>5541</v>
      </c>
      <c r="B2847" t="s">
        <v>5541</v>
      </c>
      <c r="C2847" t="s">
        <v>301</v>
      </c>
      <c r="D2847" t="s">
        <v>299</v>
      </c>
      <c r="E2847">
        <v>6.3590900000000004E-4</v>
      </c>
      <c r="F2847" t="s">
        <v>233</v>
      </c>
      <c r="G2847" t="s">
        <v>234</v>
      </c>
      <c r="H2847">
        <v>3</v>
      </c>
    </row>
    <row r="2848" spans="1:8" x14ac:dyDescent="0.25">
      <c r="A2848" t="s">
        <v>5542</v>
      </c>
      <c r="B2848" t="s">
        <v>5542</v>
      </c>
      <c r="C2848" t="s">
        <v>271</v>
      </c>
      <c r="D2848" t="s">
        <v>269</v>
      </c>
      <c r="E2848">
        <v>5.2359699999999999E-4</v>
      </c>
      <c r="F2848" t="s">
        <v>233</v>
      </c>
      <c r="G2848" t="s">
        <v>234</v>
      </c>
      <c r="H2848">
        <v>3</v>
      </c>
    </row>
    <row r="2849" spans="1:8" x14ac:dyDescent="0.25">
      <c r="A2849" t="s">
        <v>5543</v>
      </c>
      <c r="B2849" t="s">
        <v>5543</v>
      </c>
      <c r="C2849" t="s">
        <v>268</v>
      </c>
      <c r="D2849" t="s">
        <v>266</v>
      </c>
      <c r="E2849">
        <v>5.4511299999999996E-4</v>
      </c>
      <c r="F2849" t="s">
        <v>233</v>
      </c>
      <c r="G2849" t="s">
        <v>234</v>
      </c>
      <c r="H2849">
        <v>3</v>
      </c>
    </row>
    <row r="2850" spans="1:8" x14ac:dyDescent="0.25">
      <c r="A2850" t="s">
        <v>5544</v>
      </c>
      <c r="B2850" t="s">
        <v>5544</v>
      </c>
      <c r="C2850" t="s">
        <v>271</v>
      </c>
      <c r="D2850" t="s">
        <v>269</v>
      </c>
      <c r="E2850">
        <v>5.2359699999999999E-4</v>
      </c>
      <c r="F2850" t="s">
        <v>233</v>
      </c>
      <c r="G2850" t="s">
        <v>234</v>
      </c>
      <c r="H2850">
        <v>3</v>
      </c>
    </row>
    <row r="2851" spans="1:8" x14ac:dyDescent="0.25">
      <c r="A2851" t="s">
        <v>5545</v>
      </c>
      <c r="B2851" t="s">
        <v>5545</v>
      </c>
      <c r="C2851" t="s">
        <v>301</v>
      </c>
      <c r="D2851" t="s">
        <v>299</v>
      </c>
      <c r="E2851">
        <v>6.3590900000000004E-4</v>
      </c>
      <c r="F2851" t="s">
        <v>233</v>
      </c>
      <c r="G2851" t="s">
        <v>234</v>
      </c>
      <c r="H2851">
        <v>3</v>
      </c>
    </row>
    <row r="2852" spans="1:8" x14ac:dyDescent="0.25">
      <c r="A2852" t="s">
        <v>5546</v>
      </c>
      <c r="B2852" t="s">
        <v>5546</v>
      </c>
      <c r="C2852" t="s">
        <v>271</v>
      </c>
      <c r="D2852" t="s">
        <v>269</v>
      </c>
      <c r="E2852">
        <v>5.2359699999999999E-4</v>
      </c>
      <c r="F2852" t="s">
        <v>233</v>
      </c>
      <c r="G2852" t="s">
        <v>234</v>
      </c>
      <c r="H2852">
        <v>3</v>
      </c>
    </row>
    <row r="2853" spans="1:8" x14ac:dyDescent="0.25">
      <c r="A2853" t="s">
        <v>5547</v>
      </c>
      <c r="B2853" t="s">
        <v>5547</v>
      </c>
      <c r="C2853" t="s">
        <v>301</v>
      </c>
      <c r="D2853" t="s">
        <v>299</v>
      </c>
      <c r="E2853">
        <v>6.3590900000000004E-4</v>
      </c>
      <c r="F2853" t="s">
        <v>233</v>
      </c>
      <c r="G2853" t="s">
        <v>234</v>
      </c>
      <c r="H2853">
        <v>3</v>
      </c>
    </row>
    <row r="2854" spans="1:8" x14ac:dyDescent="0.25">
      <c r="A2854" t="s">
        <v>5548</v>
      </c>
      <c r="B2854" t="s">
        <v>5548</v>
      </c>
      <c r="C2854" t="s">
        <v>301</v>
      </c>
      <c r="D2854" t="s">
        <v>299</v>
      </c>
      <c r="E2854">
        <v>6.3590900000000004E-4</v>
      </c>
      <c r="F2854" t="s">
        <v>233</v>
      </c>
      <c r="G2854" t="s">
        <v>234</v>
      </c>
      <c r="H2854">
        <v>3</v>
      </c>
    </row>
    <row r="2855" spans="1:8" x14ac:dyDescent="0.25">
      <c r="A2855" t="s">
        <v>5549</v>
      </c>
      <c r="B2855" t="s">
        <v>5549</v>
      </c>
      <c r="C2855" t="s">
        <v>271</v>
      </c>
      <c r="D2855" t="s">
        <v>269</v>
      </c>
      <c r="E2855">
        <v>5.2359699999999999E-4</v>
      </c>
      <c r="F2855" t="s">
        <v>233</v>
      </c>
      <c r="G2855" t="s">
        <v>234</v>
      </c>
      <c r="H2855">
        <v>3</v>
      </c>
    </row>
    <row r="2856" spans="1:8" x14ac:dyDescent="0.25">
      <c r="A2856" t="s">
        <v>5550</v>
      </c>
      <c r="B2856" t="s">
        <v>5550</v>
      </c>
      <c r="C2856" t="s">
        <v>244</v>
      </c>
      <c r="D2856" t="s">
        <v>242</v>
      </c>
      <c r="E2856">
        <v>5.4284299999999999E-4</v>
      </c>
      <c r="F2856" t="s">
        <v>233</v>
      </c>
      <c r="G2856" t="s">
        <v>234</v>
      </c>
      <c r="H2856">
        <v>3</v>
      </c>
    </row>
    <row r="2857" spans="1:8" x14ac:dyDescent="0.25">
      <c r="A2857" t="s">
        <v>5551</v>
      </c>
      <c r="B2857" t="s">
        <v>5551</v>
      </c>
      <c r="C2857" t="s">
        <v>268</v>
      </c>
      <c r="D2857" t="s">
        <v>266</v>
      </c>
      <c r="E2857">
        <v>5.4511299999999996E-4</v>
      </c>
      <c r="F2857" t="s">
        <v>233</v>
      </c>
      <c r="G2857" t="s">
        <v>234</v>
      </c>
      <c r="H2857">
        <v>3</v>
      </c>
    </row>
    <row r="2858" spans="1:8" x14ac:dyDescent="0.25">
      <c r="A2858" t="s">
        <v>5552</v>
      </c>
      <c r="B2858" t="s">
        <v>5552</v>
      </c>
      <c r="C2858" t="s">
        <v>271</v>
      </c>
      <c r="D2858" t="s">
        <v>269</v>
      </c>
      <c r="E2858">
        <v>5.2359699999999999E-4</v>
      </c>
      <c r="F2858" t="s">
        <v>233</v>
      </c>
      <c r="G2858" t="s">
        <v>234</v>
      </c>
      <c r="H2858">
        <v>3</v>
      </c>
    </row>
    <row r="2859" spans="1:8" x14ac:dyDescent="0.25">
      <c r="A2859" t="s">
        <v>5553</v>
      </c>
      <c r="B2859" t="s">
        <v>5553</v>
      </c>
      <c r="C2859" t="s">
        <v>271</v>
      </c>
      <c r="D2859" t="s">
        <v>269</v>
      </c>
      <c r="E2859">
        <v>5.2359699999999999E-4</v>
      </c>
      <c r="F2859" t="s">
        <v>233</v>
      </c>
      <c r="G2859" t="s">
        <v>234</v>
      </c>
      <c r="H2859">
        <v>3</v>
      </c>
    </row>
    <row r="2860" spans="1:8" x14ac:dyDescent="0.25">
      <c r="A2860" t="s">
        <v>5554</v>
      </c>
      <c r="B2860" t="s">
        <v>5554</v>
      </c>
      <c r="C2860" t="s">
        <v>265</v>
      </c>
      <c r="D2860" t="s">
        <v>263</v>
      </c>
      <c r="E2860">
        <v>3.0449399999999999E-4</v>
      </c>
      <c r="F2860" t="s">
        <v>233</v>
      </c>
      <c r="G2860" t="s">
        <v>234</v>
      </c>
      <c r="H2860">
        <v>3</v>
      </c>
    </row>
    <row r="2861" spans="1:8" x14ac:dyDescent="0.25">
      <c r="A2861" t="s">
        <v>5555</v>
      </c>
      <c r="B2861" t="s">
        <v>5555</v>
      </c>
      <c r="C2861" t="s">
        <v>265</v>
      </c>
      <c r="D2861" t="s">
        <v>263</v>
      </c>
      <c r="E2861">
        <v>3.0449399999999999E-4</v>
      </c>
      <c r="F2861" t="s">
        <v>233</v>
      </c>
      <c r="G2861" t="s">
        <v>234</v>
      </c>
      <c r="H2861">
        <v>3</v>
      </c>
    </row>
    <row r="2862" spans="1:8" x14ac:dyDescent="0.25">
      <c r="A2862" t="s">
        <v>5556</v>
      </c>
      <c r="B2862" t="s">
        <v>5556</v>
      </c>
      <c r="C2862" t="s">
        <v>268</v>
      </c>
      <c r="D2862" t="s">
        <v>266</v>
      </c>
      <c r="E2862">
        <v>5.4511299999999996E-4</v>
      </c>
      <c r="F2862" t="s">
        <v>233</v>
      </c>
      <c r="G2862" t="s">
        <v>234</v>
      </c>
      <c r="H2862">
        <v>3</v>
      </c>
    </row>
    <row r="2863" spans="1:8" x14ac:dyDescent="0.25">
      <c r="A2863" t="s">
        <v>5557</v>
      </c>
      <c r="B2863" t="s">
        <v>5557</v>
      </c>
      <c r="C2863" t="s">
        <v>271</v>
      </c>
      <c r="D2863" t="s">
        <v>269</v>
      </c>
      <c r="E2863">
        <v>5.2359699999999999E-4</v>
      </c>
      <c r="F2863" t="s">
        <v>233</v>
      </c>
      <c r="G2863" t="s">
        <v>234</v>
      </c>
      <c r="H2863">
        <v>3</v>
      </c>
    </row>
    <row r="2864" spans="1:8" x14ac:dyDescent="0.25">
      <c r="A2864" t="s">
        <v>5558</v>
      </c>
      <c r="B2864" t="s">
        <v>5558</v>
      </c>
      <c r="C2864" t="s">
        <v>271</v>
      </c>
      <c r="D2864" t="s">
        <v>269</v>
      </c>
      <c r="E2864">
        <v>5.2359699999999999E-4</v>
      </c>
      <c r="F2864" t="s">
        <v>233</v>
      </c>
      <c r="G2864" t="s">
        <v>234</v>
      </c>
      <c r="H2864">
        <v>3</v>
      </c>
    </row>
    <row r="2865" spans="1:8" x14ac:dyDescent="0.25">
      <c r="A2865" t="s">
        <v>5559</v>
      </c>
      <c r="B2865" t="s">
        <v>5559</v>
      </c>
      <c r="C2865" t="s">
        <v>271</v>
      </c>
      <c r="D2865" t="s">
        <v>269</v>
      </c>
      <c r="E2865">
        <v>5.2359699999999999E-4</v>
      </c>
      <c r="F2865" t="s">
        <v>233</v>
      </c>
      <c r="G2865" t="s">
        <v>234</v>
      </c>
      <c r="H2865">
        <v>3</v>
      </c>
    </row>
    <row r="2866" spans="1:8" x14ac:dyDescent="0.25">
      <c r="A2866" t="s">
        <v>5560</v>
      </c>
      <c r="B2866" t="s">
        <v>5560</v>
      </c>
      <c r="C2866" t="s">
        <v>271</v>
      </c>
      <c r="D2866" t="s">
        <v>269</v>
      </c>
      <c r="E2866">
        <v>5.2359699999999999E-4</v>
      </c>
      <c r="F2866" t="s">
        <v>233</v>
      </c>
      <c r="G2866" t="s">
        <v>234</v>
      </c>
      <c r="H2866">
        <v>3</v>
      </c>
    </row>
    <row r="2867" spans="1:8" x14ac:dyDescent="0.25">
      <c r="A2867" t="s">
        <v>5561</v>
      </c>
      <c r="B2867" t="s">
        <v>5561</v>
      </c>
      <c r="C2867" t="s">
        <v>271</v>
      </c>
      <c r="D2867" t="s">
        <v>269</v>
      </c>
      <c r="E2867">
        <v>5.2359699999999999E-4</v>
      </c>
      <c r="F2867" t="s">
        <v>233</v>
      </c>
      <c r="G2867" t="s">
        <v>234</v>
      </c>
      <c r="H2867">
        <v>3</v>
      </c>
    </row>
    <row r="2868" spans="1:8" x14ac:dyDescent="0.25">
      <c r="A2868" t="s">
        <v>5562</v>
      </c>
      <c r="B2868" t="s">
        <v>5562</v>
      </c>
      <c r="C2868" t="s">
        <v>271</v>
      </c>
      <c r="D2868" t="s">
        <v>269</v>
      </c>
      <c r="E2868">
        <v>5.2359699999999999E-4</v>
      </c>
      <c r="F2868" t="s">
        <v>233</v>
      </c>
      <c r="G2868" t="s">
        <v>234</v>
      </c>
      <c r="H2868">
        <v>3</v>
      </c>
    </row>
    <row r="2869" spans="1:8" x14ac:dyDescent="0.25">
      <c r="A2869" t="s">
        <v>5563</v>
      </c>
      <c r="B2869" t="s">
        <v>5563</v>
      </c>
      <c r="C2869" t="s">
        <v>271</v>
      </c>
      <c r="D2869" t="s">
        <v>269</v>
      </c>
      <c r="E2869">
        <v>5.2359699999999999E-4</v>
      </c>
      <c r="F2869" t="s">
        <v>233</v>
      </c>
      <c r="G2869" t="s">
        <v>234</v>
      </c>
      <c r="H2869">
        <v>3</v>
      </c>
    </row>
    <row r="2870" spans="1:8" x14ac:dyDescent="0.25">
      <c r="A2870" t="s">
        <v>5564</v>
      </c>
      <c r="B2870" t="s">
        <v>5564</v>
      </c>
      <c r="C2870" t="s">
        <v>256</v>
      </c>
      <c r="D2870" t="s">
        <v>254</v>
      </c>
      <c r="E2870">
        <v>8.1312799999999998E-4</v>
      </c>
      <c r="F2870" t="s">
        <v>233</v>
      </c>
      <c r="G2870" t="s">
        <v>234</v>
      </c>
      <c r="H2870">
        <v>3</v>
      </c>
    </row>
    <row r="2871" spans="1:8" x14ac:dyDescent="0.25">
      <c r="A2871" t="s">
        <v>5565</v>
      </c>
      <c r="B2871" t="s">
        <v>5565</v>
      </c>
      <c r="C2871" t="s">
        <v>271</v>
      </c>
      <c r="D2871" t="s">
        <v>269</v>
      </c>
      <c r="E2871">
        <v>5.2359699999999999E-4</v>
      </c>
      <c r="F2871" t="s">
        <v>233</v>
      </c>
      <c r="G2871" t="s">
        <v>234</v>
      </c>
      <c r="H2871">
        <v>3</v>
      </c>
    </row>
    <row r="2872" spans="1:8" x14ac:dyDescent="0.25">
      <c r="A2872" t="s">
        <v>5566</v>
      </c>
      <c r="B2872" t="s">
        <v>5566</v>
      </c>
      <c r="C2872" t="s">
        <v>271</v>
      </c>
      <c r="D2872" t="s">
        <v>269</v>
      </c>
      <c r="E2872">
        <v>5.2359699999999999E-4</v>
      </c>
      <c r="F2872" t="s">
        <v>233</v>
      </c>
      <c r="G2872" t="s">
        <v>234</v>
      </c>
      <c r="H2872">
        <v>3</v>
      </c>
    </row>
    <row r="2873" spans="1:8" x14ac:dyDescent="0.25">
      <c r="A2873" t="s">
        <v>5567</v>
      </c>
      <c r="B2873" t="s">
        <v>5567</v>
      </c>
      <c r="C2873" t="s">
        <v>271</v>
      </c>
      <c r="D2873" t="s">
        <v>269</v>
      </c>
      <c r="E2873">
        <v>5.2359699999999999E-4</v>
      </c>
      <c r="F2873" t="s">
        <v>233</v>
      </c>
      <c r="G2873" t="s">
        <v>234</v>
      </c>
      <c r="H2873">
        <v>3</v>
      </c>
    </row>
    <row r="2874" spans="1:8" x14ac:dyDescent="0.25">
      <c r="A2874" t="s">
        <v>5568</v>
      </c>
      <c r="B2874" t="s">
        <v>5568</v>
      </c>
      <c r="C2874" t="s">
        <v>301</v>
      </c>
      <c r="D2874" t="s">
        <v>299</v>
      </c>
      <c r="E2874">
        <v>6.3590900000000004E-4</v>
      </c>
      <c r="F2874" t="s">
        <v>233</v>
      </c>
      <c r="G2874" t="s">
        <v>234</v>
      </c>
      <c r="H2874">
        <v>3</v>
      </c>
    </row>
    <row r="2875" spans="1:8" x14ac:dyDescent="0.25">
      <c r="A2875" t="s">
        <v>5569</v>
      </c>
      <c r="B2875" t="s">
        <v>5569</v>
      </c>
      <c r="C2875" t="s">
        <v>301</v>
      </c>
      <c r="D2875" t="s">
        <v>299</v>
      </c>
      <c r="E2875">
        <v>6.3590900000000004E-4</v>
      </c>
      <c r="F2875" t="s">
        <v>233</v>
      </c>
      <c r="G2875" t="s">
        <v>234</v>
      </c>
      <c r="H2875">
        <v>3</v>
      </c>
    </row>
    <row r="2876" spans="1:8" x14ac:dyDescent="0.25">
      <c r="A2876" t="s">
        <v>5570</v>
      </c>
      <c r="B2876" t="s">
        <v>5570</v>
      </c>
      <c r="C2876" t="s">
        <v>271</v>
      </c>
      <c r="D2876" t="s">
        <v>269</v>
      </c>
      <c r="E2876">
        <v>5.2359699999999999E-4</v>
      </c>
      <c r="F2876" t="s">
        <v>233</v>
      </c>
      <c r="G2876" t="s">
        <v>234</v>
      </c>
      <c r="H2876">
        <v>3</v>
      </c>
    </row>
    <row r="2877" spans="1:8" x14ac:dyDescent="0.25">
      <c r="A2877" t="s">
        <v>5571</v>
      </c>
      <c r="B2877" t="s">
        <v>5571</v>
      </c>
      <c r="C2877" t="s">
        <v>271</v>
      </c>
      <c r="D2877" t="s">
        <v>269</v>
      </c>
      <c r="E2877">
        <v>5.2359699999999999E-4</v>
      </c>
      <c r="F2877" t="s">
        <v>233</v>
      </c>
      <c r="G2877" t="s">
        <v>234</v>
      </c>
      <c r="H2877">
        <v>3</v>
      </c>
    </row>
    <row r="2878" spans="1:8" x14ac:dyDescent="0.25">
      <c r="A2878" t="s">
        <v>5572</v>
      </c>
      <c r="B2878" t="s">
        <v>5572</v>
      </c>
      <c r="C2878" t="s">
        <v>271</v>
      </c>
      <c r="D2878" t="s">
        <v>269</v>
      </c>
      <c r="E2878">
        <v>5.2359699999999999E-4</v>
      </c>
      <c r="F2878" t="s">
        <v>233</v>
      </c>
      <c r="G2878" t="s">
        <v>234</v>
      </c>
      <c r="H2878">
        <v>3</v>
      </c>
    </row>
    <row r="2879" spans="1:8" x14ac:dyDescent="0.25">
      <c r="A2879" t="s">
        <v>5573</v>
      </c>
      <c r="B2879" t="s">
        <v>5573</v>
      </c>
      <c r="C2879" t="s">
        <v>268</v>
      </c>
      <c r="D2879" t="s">
        <v>266</v>
      </c>
      <c r="E2879">
        <v>5.4511299999999996E-4</v>
      </c>
      <c r="F2879" t="s">
        <v>233</v>
      </c>
      <c r="G2879" t="s">
        <v>234</v>
      </c>
      <c r="H2879">
        <v>3</v>
      </c>
    </row>
    <row r="2880" spans="1:8" x14ac:dyDescent="0.25">
      <c r="A2880" t="s">
        <v>5574</v>
      </c>
      <c r="B2880" t="s">
        <v>5574</v>
      </c>
      <c r="C2880" t="s">
        <v>271</v>
      </c>
      <c r="D2880" t="s">
        <v>269</v>
      </c>
      <c r="E2880">
        <v>5.2359699999999999E-4</v>
      </c>
      <c r="F2880" t="s">
        <v>233</v>
      </c>
      <c r="G2880" t="s">
        <v>234</v>
      </c>
      <c r="H2880">
        <v>3</v>
      </c>
    </row>
    <row r="2881" spans="1:8" x14ac:dyDescent="0.25">
      <c r="A2881" t="s">
        <v>5575</v>
      </c>
      <c r="B2881" t="s">
        <v>5575</v>
      </c>
      <c r="C2881" t="s">
        <v>271</v>
      </c>
      <c r="D2881" t="s">
        <v>269</v>
      </c>
      <c r="E2881">
        <v>5.2359699999999999E-4</v>
      </c>
      <c r="F2881" t="s">
        <v>233</v>
      </c>
      <c r="G2881" t="s">
        <v>234</v>
      </c>
      <c r="H2881">
        <v>3</v>
      </c>
    </row>
    <row r="2882" spans="1:8" x14ac:dyDescent="0.25">
      <c r="A2882" t="s">
        <v>5576</v>
      </c>
      <c r="B2882" t="s">
        <v>5576</v>
      </c>
      <c r="C2882" t="s">
        <v>271</v>
      </c>
      <c r="D2882" t="s">
        <v>269</v>
      </c>
      <c r="E2882">
        <v>5.2359699999999999E-4</v>
      </c>
      <c r="F2882" t="s">
        <v>233</v>
      </c>
      <c r="G2882" t="s">
        <v>234</v>
      </c>
      <c r="H2882">
        <v>3</v>
      </c>
    </row>
    <row r="2883" spans="1:8" x14ac:dyDescent="0.25">
      <c r="A2883" t="s">
        <v>5577</v>
      </c>
      <c r="B2883" t="s">
        <v>5577</v>
      </c>
      <c r="C2883" t="s">
        <v>244</v>
      </c>
      <c r="D2883" t="s">
        <v>242</v>
      </c>
      <c r="E2883">
        <v>5.4284299999999999E-4</v>
      </c>
      <c r="F2883" t="s">
        <v>233</v>
      </c>
      <c r="G2883" t="s">
        <v>234</v>
      </c>
      <c r="H2883">
        <v>3</v>
      </c>
    </row>
    <row r="2884" spans="1:8" x14ac:dyDescent="0.25">
      <c r="A2884" t="s">
        <v>5578</v>
      </c>
      <c r="B2884" t="s">
        <v>5578</v>
      </c>
      <c r="C2884" t="s">
        <v>271</v>
      </c>
      <c r="D2884" t="s">
        <v>269</v>
      </c>
      <c r="E2884">
        <v>5.2359699999999999E-4</v>
      </c>
      <c r="F2884" t="s">
        <v>233</v>
      </c>
      <c r="G2884" t="s">
        <v>234</v>
      </c>
      <c r="H2884">
        <v>3</v>
      </c>
    </row>
    <row r="2885" spans="1:8" x14ac:dyDescent="0.25">
      <c r="A2885" t="s">
        <v>5579</v>
      </c>
      <c r="B2885" t="s">
        <v>5579</v>
      </c>
      <c r="C2885" t="s">
        <v>244</v>
      </c>
      <c r="D2885" t="s">
        <v>242</v>
      </c>
      <c r="E2885">
        <v>5.4284299999999999E-4</v>
      </c>
      <c r="F2885" t="s">
        <v>233</v>
      </c>
      <c r="G2885" t="s">
        <v>234</v>
      </c>
      <c r="H2885">
        <v>3</v>
      </c>
    </row>
    <row r="2886" spans="1:8" x14ac:dyDescent="0.25">
      <c r="A2886" t="s">
        <v>5580</v>
      </c>
      <c r="B2886" t="s">
        <v>5580</v>
      </c>
      <c r="C2886" t="s">
        <v>244</v>
      </c>
      <c r="D2886" t="s">
        <v>242</v>
      </c>
      <c r="E2886">
        <v>5.4284299999999999E-4</v>
      </c>
      <c r="F2886" t="s">
        <v>233</v>
      </c>
      <c r="G2886" t="s">
        <v>234</v>
      </c>
      <c r="H2886">
        <v>3</v>
      </c>
    </row>
    <row r="2887" spans="1:8" x14ac:dyDescent="0.25">
      <c r="A2887" t="s">
        <v>5581</v>
      </c>
      <c r="B2887" t="s">
        <v>5581</v>
      </c>
      <c r="C2887" t="s">
        <v>244</v>
      </c>
      <c r="D2887" t="s">
        <v>242</v>
      </c>
      <c r="E2887">
        <v>5.4284299999999999E-4</v>
      </c>
      <c r="F2887" t="s">
        <v>233</v>
      </c>
      <c r="G2887" t="s">
        <v>234</v>
      </c>
      <c r="H2887">
        <v>3</v>
      </c>
    </row>
    <row r="2888" spans="1:8" x14ac:dyDescent="0.25">
      <c r="A2888" t="s">
        <v>5582</v>
      </c>
      <c r="B2888" t="s">
        <v>5582</v>
      </c>
      <c r="C2888" t="s">
        <v>271</v>
      </c>
      <c r="D2888" t="s">
        <v>269</v>
      </c>
      <c r="E2888">
        <v>5.2359699999999999E-4</v>
      </c>
      <c r="F2888" t="s">
        <v>233</v>
      </c>
      <c r="G2888" t="s">
        <v>234</v>
      </c>
      <c r="H2888">
        <v>3</v>
      </c>
    </row>
    <row r="2889" spans="1:8" x14ac:dyDescent="0.25">
      <c r="A2889" t="s">
        <v>5583</v>
      </c>
      <c r="B2889" t="s">
        <v>5583</v>
      </c>
      <c r="C2889" t="s">
        <v>244</v>
      </c>
      <c r="D2889" t="s">
        <v>242</v>
      </c>
      <c r="E2889">
        <v>5.4284299999999999E-4</v>
      </c>
      <c r="F2889" t="s">
        <v>233</v>
      </c>
      <c r="G2889" t="s">
        <v>234</v>
      </c>
      <c r="H2889">
        <v>3</v>
      </c>
    </row>
    <row r="2890" spans="1:8" x14ac:dyDescent="0.25">
      <c r="A2890" t="s">
        <v>5584</v>
      </c>
      <c r="B2890" t="s">
        <v>5584</v>
      </c>
      <c r="C2890" t="s">
        <v>265</v>
      </c>
      <c r="D2890" t="s">
        <v>263</v>
      </c>
      <c r="E2890">
        <v>3.0449399999999999E-4</v>
      </c>
      <c r="F2890" t="s">
        <v>233</v>
      </c>
      <c r="G2890" t="s">
        <v>234</v>
      </c>
      <c r="H2890">
        <v>3</v>
      </c>
    </row>
    <row r="2891" spans="1:8" x14ac:dyDescent="0.25">
      <c r="A2891" t="s">
        <v>5585</v>
      </c>
      <c r="B2891" t="s">
        <v>5585</v>
      </c>
      <c r="C2891" t="s">
        <v>271</v>
      </c>
      <c r="D2891" t="s">
        <v>269</v>
      </c>
      <c r="E2891">
        <v>5.2359699999999999E-4</v>
      </c>
      <c r="F2891" t="s">
        <v>233</v>
      </c>
      <c r="G2891" t="s">
        <v>234</v>
      </c>
      <c r="H2891">
        <v>3</v>
      </c>
    </row>
    <row r="2892" spans="1:8" x14ac:dyDescent="0.25">
      <c r="A2892" t="s">
        <v>5586</v>
      </c>
      <c r="B2892" t="s">
        <v>5586</v>
      </c>
      <c r="C2892" t="s">
        <v>301</v>
      </c>
      <c r="D2892" t="s">
        <v>299</v>
      </c>
      <c r="E2892">
        <v>6.3590900000000004E-4</v>
      </c>
      <c r="F2892" t="s">
        <v>233</v>
      </c>
      <c r="G2892" t="s">
        <v>234</v>
      </c>
      <c r="H2892">
        <v>3</v>
      </c>
    </row>
    <row r="2893" spans="1:8" x14ac:dyDescent="0.25">
      <c r="A2893" t="s">
        <v>5587</v>
      </c>
      <c r="B2893" t="s">
        <v>5587</v>
      </c>
      <c r="C2893" t="s">
        <v>271</v>
      </c>
      <c r="D2893" t="s">
        <v>269</v>
      </c>
      <c r="E2893">
        <v>5.2359699999999999E-4</v>
      </c>
      <c r="F2893" t="s">
        <v>233</v>
      </c>
      <c r="G2893" t="s">
        <v>234</v>
      </c>
      <c r="H2893">
        <v>3</v>
      </c>
    </row>
    <row r="2894" spans="1:8" x14ac:dyDescent="0.25">
      <c r="A2894" t="s">
        <v>5588</v>
      </c>
      <c r="B2894" t="s">
        <v>5588</v>
      </c>
      <c r="C2894" t="s">
        <v>244</v>
      </c>
      <c r="D2894" t="s">
        <v>242</v>
      </c>
      <c r="E2894">
        <v>5.4284299999999999E-4</v>
      </c>
      <c r="F2894" t="s">
        <v>233</v>
      </c>
      <c r="G2894" t="s">
        <v>234</v>
      </c>
      <c r="H2894">
        <v>3</v>
      </c>
    </row>
    <row r="2895" spans="1:8" x14ac:dyDescent="0.25">
      <c r="A2895" t="s">
        <v>5589</v>
      </c>
      <c r="B2895" t="s">
        <v>5589</v>
      </c>
      <c r="C2895" t="s">
        <v>301</v>
      </c>
      <c r="D2895" t="s">
        <v>299</v>
      </c>
      <c r="E2895">
        <v>6.3590900000000004E-4</v>
      </c>
      <c r="F2895" t="s">
        <v>233</v>
      </c>
      <c r="G2895" t="s">
        <v>234</v>
      </c>
      <c r="H2895">
        <v>3</v>
      </c>
    </row>
    <row r="2896" spans="1:8" x14ac:dyDescent="0.25">
      <c r="A2896" t="s">
        <v>5590</v>
      </c>
      <c r="B2896" t="s">
        <v>5590</v>
      </c>
      <c r="C2896" t="s">
        <v>271</v>
      </c>
      <c r="D2896" t="s">
        <v>269</v>
      </c>
      <c r="E2896">
        <v>5.2359699999999999E-4</v>
      </c>
      <c r="F2896" t="s">
        <v>233</v>
      </c>
      <c r="G2896" t="s">
        <v>234</v>
      </c>
      <c r="H2896">
        <v>3</v>
      </c>
    </row>
    <row r="2897" spans="1:8" x14ac:dyDescent="0.25">
      <c r="A2897" t="s">
        <v>5591</v>
      </c>
      <c r="B2897" t="s">
        <v>5591</v>
      </c>
      <c r="C2897" t="s">
        <v>301</v>
      </c>
      <c r="D2897" t="s">
        <v>299</v>
      </c>
      <c r="E2897">
        <v>6.3590900000000004E-4</v>
      </c>
      <c r="F2897" t="s">
        <v>233</v>
      </c>
      <c r="G2897" t="s">
        <v>234</v>
      </c>
      <c r="H2897">
        <v>3</v>
      </c>
    </row>
    <row r="2898" spans="1:8" x14ac:dyDescent="0.25">
      <c r="A2898" t="s">
        <v>5592</v>
      </c>
      <c r="B2898" t="s">
        <v>5592</v>
      </c>
      <c r="C2898" t="s">
        <v>268</v>
      </c>
      <c r="D2898" t="s">
        <v>266</v>
      </c>
      <c r="E2898">
        <v>5.4511299999999996E-4</v>
      </c>
      <c r="F2898" t="s">
        <v>233</v>
      </c>
      <c r="G2898" t="s">
        <v>234</v>
      </c>
      <c r="H2898">
        <v>3</v>
      </c>
    </row>
    <row r="2899" spans="1:8" x14ac:dyDescent="0.25">
      <c r="A2899" t="s">
        <v>5593</v>
      </c>
      <c r="B2899" t="s">
        <v>5593</v>
      </c>
      <c r="C2899" t="s">
        <v>743</v>
      </c>
      <c r="D2899" t="s">
        <v>944</v>
      </c>
      <c r="E2899">
        <v>2.2128299999999999E-4</v>
      </c>
      <c r="F2899" t="s">
        <v>233</v>
      </c>
      <c r="G2899" t="s">
        <v>234</v>
      </c>
      <c r="H2899">
        <v>3</v>
      </c>
    </row>
    <row r="2900" spans="1:8" x14ac:dyDescent="0.25">
      <c r="A2900" t="s">
        <v>5594</v>
      </c>
      <c r="B2900" t="s">
        <v>5594</v>
      </c>
      <c r="C2900" t="s">
        <v>743</v>
      </c>
      <c r="D2900" t="s">
        <v>944</v>
      </c>
      <c r="E2900">
        <v>2.2128299999999999E-4</v>
      </c>
      <c r="F2900" t="s">
        <v>233</v>
      </c>
      <c r="G2900" t="s">
        <v>234</v>
      </c>
      <c r="H2900">
        <v>3</v>
      </c>
    </row>
    <row r="2901" spans="1:8" x14ac:dyDescent="0.25">
      <c r="A2901" t="s">
        <v>5595</v>
      </c>
      <c r="B2901" t="s">
        <v>5595</v>
      </c>
      <c r="C2901" t="s">
        <v>743</v>
      </c>
      <c r="D2901" t="s">
        <v>944</v>
      </c>
      <c r="E2901">
        <v>2.2128299999999999E-4</v>
      </c>
      <c r="F2901" t="s">
        <v>233</v>
      </c>
      <c r="G2901" t="s">
        <v>234</v>
      </c>
      <c r="H2901">
        <v>3</v>
      </c>
    </row>
    <row r="2902" spans="1:8" x14ac:dyDescent="0.25">
      <c r="A2902" t="s">
        <v>5596</v>
      </c>
      <c r="B2902" t="s">
        <v>5596</v>
      </c>
      <c r="C2902" t="s">
        <v>271</v>
      </c>
      <c r="D2902" t="s">
        <v>269</v>
      </c>
      <c r="E2902">
        <v>5.2359699999999999E-4</v>
      </c>
      <c r="F2902" t="s">
        <v>233</v>
      </c>
      <c r="G2902" t="s">
        <v>234</v>
      </c>
      <c r="H2902">
        <v>3</v>
      </c>
    </row>
    <row r="2903" spans="1:8" x14ac:dyDescent="0.25">
      <c r="A2903" t="s">
        <v>5597</v>
      </c>
      <c r="B2903" t="s">
        <v>5597</v>
      </c>
      <c r="C2903" t="s">
        <v>271</v>
      </c>
      <c r="D2903" t="s">
        <v>269</v>
      </c>
      <c r="E2903">
        <v>5.2359699999999999E-4</v>
      </c>
      <c r="F2903" t="s">
        <v>233</v>
      </c>
      <c r="G2903" t="s">
        <v>234</v>
      </c>
      <c r="H2903">
        <v>3</v>
      </c>
    </row>
    <row r="2904" spans="1:8" x14ac:dyDescent="0.25">
      <c r="A2904" t="s">
        <v>5598</v>
      </c>
      <c r="B2904" t="s">
        <v>5598</v>
      </c>
      <c r="C2904" t="s">
        <v>271</v>
      </c>
      <c r="D2904" t="s">
        <v>269</v>
      </c>
      <c r="E2904">
        <v>5.2359699999999999E-4</v>
      </c>
      <c r="F2904" t="s">
        <v>233</v>
      </c>
      <c r="G2904" t="s">
        <v>234</v>
      </c>
      <c r="H2904">
        <v>3</v>
      </c>
    </row>
    <row r="2905" spans="1:8" x14ac:dyDescent="0.25">
      <c r="A2905" t="s">
        <v>5651</v>
      </c>
      <c r="B2905" t="s">
        <v>5651</v>
      </c>
      <c r="C2905" t="s">
        <v>271</v>
      </c>
      <c r="D2905" t="s">
        <v>269</v>
      </c>
      <c r="E2905">
        <v>5.2359699999999999E-4</v>
      </c>
      <c r="F2905" t="s">
        <v>233</v>
      </c>
      <c r="G2905" t="s">
        <v>234</v>
      </c>
      <c r="H2905">
        <v>3</v>
      </c>
    </row>
    <row r="2906" spans="1:8" x14ac:dyDescent="0.25">
      <c r="A2906" t="s">
        <v>5652</v>
      </c>
      <c r="B2906" t="s">
        <v>5653</v>
      </c>
      <c r="C2906" t="s">
        <v>301</v>
      </c>
      <c r="D2906" t="s">
        <v>299</v>
      </c>
      <c r="E2906">
        <v>6.3590900000000004E-4</v>
      </c>
      <c r="F2906" t="s">
        <v>233</v>
      </c>
      <c r="G2906" t="s">
        <v>234</v>
      </c>
      <c r="H2906">
        <v>3</v>
      </c>
    </row>
    <row r="2907" spans="1:8" x14ac:dyDescent="0.25">
      <c r="A2907" t="s">
        <v>5654</v>
      </c>
      <c r="B2907" t="s">
        <v>5655</v>
      </c>
      <c r="C2907" t="s">
        <v>310</v>
      </c>
      <c r="D2907" t="s">
        <v>308</v>
      </c>
      <c r="E2907">
        <v>5.3341800000000002E-4</v>
      </c>
      <c r="F2907" t="s">
        <v>233</v>
      </c>
      <c r="G2907" t="s">
        <v>234</v>
      </c>
      <c r="H2907">
        <v>3</v>
      </c>
    </row>
    <row r="2908" spans="1:8" x14ac:dyDescent="0.25">
      <c r="A2908" t="s">
        <v>5656</v>
      </c>
      <c r="B2908" t="s">
        <v>5657</v>
      </c>
      <c r="C2908" t="s">
        <v>310</v>
      </c>
      <c r="D2908" t="s">
        <v>308</v>
      </c>
      <c r="E2908">
        <v>5.3341800000000002E-4</v>
      </c>
      <c r="F2908" t="s">
        <v>233</v>
      </c>
      <c r="G2908" t="s">
        <v>234</v>
      </c>
      <c r="H2908">
        <v>3</v>
      </c>
    </row>
    <row r="2909" spans="1:8" x14ac:dyDescent="0.25">
      <c r="A2909" t="s">
        <v>5658</v>
      </c>
      <c r="B2909" t="s">
        <v>5659</v>
      </c>
      <c r="C2909" t="s">
        <v>265</v>
      </c>
      <c r="D2909" t="s">
        <v>263</v>
      </c>
      <c r="E2909">
        <v>3.0449399999999999E-4</v>
      </c>
      <c r="F2909" t="s">
        <v>233</v>
      </c>
      <c r="G2909" t="s">
        <v>234</v>
      </c>
      <c r="H2909">
        <v>3</v>
      </c>
    </row>
    <row r="2910" spans="1:8" x14ac:dyDescent="0.25">
      <c r="A2910" t="s">
        <v>5660</v>
      </c>
      <c r="B2910" t="s">
        <v>5661</v>
      </c>
      <c r="C2910" t="s">
        <v>265</v>
      </c>
      <c r="D2910" t="s">
        <v>263</v>
      </c>
      <c r="E2910">
        <v>3.0449399999999999E-4</v>
      </c>
      <c r="F2910" t="s">
        <v>233</v>
      </c>
      <c r="G2910" t="s">
        <v>234</v>
      </c>
      <c r="H2910">
        <v>3</v>
      </c>
    </row>
    <row r="2911" spans="1:8" x14ac:dyDescent="0.25">
      <c r="A2911" t="s">
        <v>5662</v>
      </c>
      <c r="B2911" t="s">
        <v>5663</v>
      </c>
      <c r="C2911" t="s">
        <v>265</v>
      </c>
      <c r="D2911" t="s">
        <v>263</v>
      </c>
      <c r="E2911">
        <v>3.0449399999999999E-4</v>
      </c>
      <c r="F2911" t="s">
        <v>233</v>
      </c>
      <c r="G2911" t="s">
        <v>234</v>
      </c>
      <c r="H2911">
        <v>3</v>
      </c>
    </row>
    <row r="2912" spans="1:8" x14ac:dyDescent="0.25">
      <c r="A2912" t="s">
        <v>5664</v>
      </c>
      <c r="B2912" t="s">
        <v>5665</v>
      </c>
      <c r="C2912" t="s">
        <v>280</v>
      </c>
      <c r="D2912" t="s">
        <v>278</v>
      </c>
      <c r="E2912">
        <v>6.2829699999999999E-4</v>
      </c>
      <c r="F2912" t="s">
        <v>233</v>
      </c>
      <c r="G2912" t="s">
        <v>234</v>
      </c>
      <c r="H2912">
        <v>3</v>
      </c>
    </row>
    <row r="2913" spans="1:8" x14ac:dyDescent="0.25">
      <c r="A2913" t="s">
        <v>5666</v>
      </c>
      <c r="B2913" t="s">
        <v>5657</v>
      </c>
      <c r="C2913" t="s">
        <v>310</v>
      </c>
      <c r="D2913" t="s">
        <v>308</v>
      </c>
      <c r="E2913">
        <v>5.3341800000000002E-4</v>
      </c>
      <c r="F2913" t="s">
        <v>233</v>
      </c>
      <c r="G2913" t="s">
        <v>234</v>
      </c>
      <c r="H2913">
        <v>3</v>
      </c>
    </row>
    <row r="2914" spans="1:8" x14ac:dyDescent="0.25">
      <c r="A2914" t="s">
        <v>5667</v>
      </c>
      <c r="B2914" t="s">
        <v>5668</v>
      </c>
      <c r="C2914" t="s">
        <v>256</v>
      </c>
      <c r="D2914" t="s">
        <v>254</v>
      </c>
      <c r="E2914">
        <v>8.1312799999999998E-4</v>
      </c>
      <c r="F2914" t="s">
        <v>233</v>
      </c>
      <c r="G2914" t="s">
        <v>234</v>
      </c>
      <c r="H2914">
        <v>3</v>
      </c>
    </row>
    <row r="2915" spans="1:8" x14ac:dyDescent="0.25">
      <c r="A2915" t="s">
        <v>5669</v>
      </c>
      <c r="B2915" t="s">
        <v>5670</v>
      </c>
      <c r="C2915" t="s">
        <v>301</v>
      </c>
      <c r="D2915" t="s">
        <v>299</v>
      </c>
      <c r="E2915">
        <v>6.3590900000000004E-4</v>
      </c>
      <c r="F2915" t="s">
        <v>233</v>
      </c>
      <c r="G2915" t="s">
        <v>234</v>
      </c>
      <c r="H2915">
        <v>3</v>
      </c>
    </row>
    <row r="2916" spans="1:8" x14ac:dyDescent="0.25">
      <c r="A2916" t="s">
        <v>5671</v>
      </c>
      <c r="B2916" t="s">
        <v>5670</v>
      </c>
      <c r="C2916" t="s">
        <v>301</v>
      </c>
      <c r="D2916" t="s">
        <v>299</v>
      </c>
      <c r="E2916">
        <v>6.3590900000000004E-4</v>
      </c>
      <c r="F2916" t="s">
        <v>233</v>
      </c>
      <c r="G2916" t="s">
        <v>234</v>
      </c>
      <c r="H2916">
        <v>3</v>
      </c>
    </row>
    <row r="2917" spans="1:8" x14ac:dyDescent="0.25">
      <c r="A2917" t="s">
        <v>5672</v>
      </c>
      <c r="B2917" t="s">
        <v>5673</v>
      </c>
      <c r="C2917" t="s">
        <v>726</v>
      </c>
      <c r="D2917" t="s">
        <v>727</v>
      </c>
      <c r="E2917">
        <v>1.3494000000000001E-4</v>
      </c>
      <c r="F2917" t="s">
        <v>233</v>
      </c>
      <c r="G2917" t="s">
        <v>234</v>
      </c>
      <c r="H2917">
        <v>3</v>
      </c>
    </row>
    <row r="2918" spans="1:8" x14ac:dyDescent="0.25">
      <c r="A2918" t="s">
        <v>5674</v>
      </c>
      <c r="B2918" t="s">
        <v>5675</v>
      </c>
      <c r="C2918" t="s">
        <v>737</v>
      </c>
      <c r="D2918" t="s">
        <v>738</v>
      </c>
      <c r="E2918">
        <v>1.81306E-4</v>
      </c>
      <c r="F2918" t="s">
        <v>233</v>
      </c>
      <c r="G2918" t="s">
        <v>234</v>
      </c>
      <c r="H2918">
        <v>3</v>
      </c>
    </row>
    <row r="2919" spans="1:8" x14ac:dyDescent="0.25">
      <c r="A2919" t="s">
        <v>5676</v>
      </c>
      <c r="B2919" t="s">
        <v>5677</v>
      </c>
      <c r="C2919" t="s">
        <v>413</v>
      </c>
      <c r="D2919" t="s">
        <v>414</v>
      </c>
      <c r="E2919">
        <v>3.1322199999999999E-4</v>
      </c>
      <c r="F2919" t="s">
        <v>233</v>
      </c>
      <c r="G2919" t="s">
        <v>234</v>
      </c>
      <c r="H2919">
        <v>3</v>
      </c>
    </row>
    <row r="2920" spans="1:8" x14ac:dyDescent="0.25">
      <c r="A2920" t="s">
        <v>5678</v>
      </c>
      <c r="B2920" t="s">
        <v>5679</v>
      </c>
      <c r="C2920" t="s">
        <v>1330</v>
      </c>
      <c r="D2920" t="s">
        <v>1331</v>
      </c>
      <c r="E2920">
        <v>2.4606500000000001E-4</v>
      </c>
      <c r="F2920" t="s">
        <v>233</v>
      </c>
      <c r="G2920" t="s">
        <v>234</v>
      </c>
      <c r="H2920">
        <v>3</v>
      </c>
    </row>
    <row r="2921" spans="1:8" x14ac:dyDescent="0.25">
      <c r="A2921" t="s">
        <v>5680</v>
      </c>
      <c r="B2921" t="s">
        <v>5681</v>
      </c>
      <c r="C2921" t="s">
        <v>743</v>
      </c>
      <c r="D2921" t="s">
        <v>744</v>
      </c>
      <c r="E2921">
        <v>3.813E-4</v>
      </c>
      <c r="F2921" t="s">
        <v>233</v>
      </c>
      <c r="G2921" t="s">
        <v>316</v>
      </c>
      <c r="H2921">
        <v>3</v>
      </c>
    </row>
    <row r="2922" spans="1:8" x14ac:dyDescent="0.25">
      <c r="A2922" t="s">
        <v>5682</v>
      </c>
      <c r="B2922" t="s">
        <v>5683</v>
      </c>
      <c r="C2922" t="s">
        <v>407</v>
      </c>
      <c r="D2922" t="s">
        <v>408</v>
      </c>
      <c r="E2922">
        <v>1.6713599999999999E-4</v>
      </c>
      <c r="F2922" t="s">
        <v>233</v>
      </c>
      <c r="G2922" t="s">
        <v>234</v>
      </c>
      <c r="H2922">
        <v>3</v>
      </c>
    </row>
    <row r="2923" spans="1:8" x14ac:dyDescent="0.25">
      <c r="A2923" t="s">
        <v>5684</v>
      </c>
      <c r="B2923" t="s">
        <v>5685</v>
      </c>
      <c r="C2923" t="s">
        <v>271</v>
      </c>
      <c r="D2923" t="s">
        <v>269</v>
      </c>
      <c r="E2923">
        <v>5.2359699999999999E-4</v>
      </c>
      <c r="F2923" t="s">
        <v>233</v>
      </c>
      <c r="G2923" t="s">
        <v>234</v>
      </c>
      <c r="H2923">
        <v>3</v>
      </c>
    </row>
    <row r="2924" spans="1:8" x14ac:dyDescent="0.25">
      <c r="A2924" t="s">
        <v>5686</v>
      </c>
      <c r="B2924" t="s">
        <v>5687</v>
      </c>
      <c r="C2924" t="s">
        <v>346</v>
      </c>
      <c r="D2924" t="s">
        <v>347</v>
      </c>
      <c r="E2924">
        <v>2.10657E-4</v>
      </c>
      <c r="F2924" t="s">
        <v>233</v>
      </c>
      <c r="G2924" t="s">
        <v>234</v>
      </c>
      <c r="H2924">
        <v>3</v>
      </c>
    </row>
    <row r="2925" spans="1:8" x14ac:dyDescent="0.25">
      <c r="A2925" t="s">
        <v>5688</v>
      </c>
      <c r="B2925" t="s">
        <v>359</v>
      </c>
      <c r="C2925" t="s">
        <v>283</v>
      </c>
      <c r="D2925" t="s">
        <v>281</v>
      </c>
      <c r="E2925">
        <v>5.4019300000000001E-4</v>
      </c>
      <c r="F2925" t="s">
        <v>233</v>
      </c>
      <c r="G2925" t="s">
        <v>234</v>
      </c>
      <c r="H2925">
        <v>3</v>
      </c>
    </row>
    <row r="2926" spans="1:8" x14ac:dyDescent="0.25">
      <c r="A2926" t="s">
        <v>5689</v>
      </c>
      <c r="B2926" t="s">
        <v>777</v>
      </c>
      <c r="C2926" t="s">
        <v>743</v>
      </c>
      <c r="D2926" t="s">
        <v>744</v>
      </c>
      <c r="E2926">
        <v>3.813E-4</v>
      </c>
      <c r="F2926" t="s">
        <v>233</v>
      </c>
      <c r="G2926" t="s">
        <v>316</v>
      </c>
      <c r="H2926">
        <v>3</v>
      </c>
    </row>
    <row r="2927" spans="1:8" x14ac:dyDescent="0.25">
      <c r="A2927" t="s">
        <v>5690</v>
      </c>
      <c r="B2927" t="s">
        <v>1340</v>
      </c>
      <c r="C2927" t="s">
        <v>465</v>
      </c>
      <c r="D2927" t="s">
        <v>466</v>
      </c>
      <c r="E2927">
        <v>2.2128299999999999E-4</v>
      </c>
      <c r="F2927" t="s">
        <v>233</v>
      </c>
      <c r="G2927" t="s">
        <v>234</v>
      </c>
      <c r="H2927">
        <v>3</v>
      </c>
    </row>
    <row r="2928" spans="1:8" x14ac:dyDescent="0.25">
      <c r="A2928" t="s">
        <v>5691</v>
      </c>
      <c r="B2928" t="s">
        <v>5692</v>
      </c>
      <c r="C2928" t="s">
        <v>353</v>
      </c>
      <c r="D2928" t="s">
        <v>354</v>
      </c>
      <c r="E2928">
        <v>2.78752E-4</v>
      </c>
      <c r="F2928" t="s">
        <v>233</v>
      </c>
      <c r="G2928" t="s">
        <v>234</v>
      </c>
      <c r="H2928">
        <v>3</v>
      </c>
    </row>
    <row r="2929" spans="1:8" x14ac:dyDescent="0.25">
      <c r="A2929" t="s">
        <v>5693</v>
      </c>
      <c r="B2929" t="s">
        <v>5694</v>
      </c>
      <c r="C2929" t="s">
        <v>346</v>
      </c>
      <c r="D2929" t="s">
        <v>347</v>
      </c>
      <c r="E2929">
        <v>2.10657E-4</v>
      </c>
      <c r="F2929" t="s">
        <v>233</v>
      </c>
      <c r="G2929" t="s">
        <v>234</v>
      </c>
      <c r="H2929">
        <v>3</v>
      </c>
    </row>
    <row r="2930" spans="1:8" x14ac:dyDescent="0.25">
      <c r="A2930" t="s">
        <v>5672</v>
      </c>
      <c r="B2930" t="s">
        <v>5673</v>
      </c>
      <c r="C2930" t="s">
        <v>726</v>
      </c>
      <c r="D2930" t="s">
        <v>727</v>
      </c>
      <c r="E2930">
        <v>1.3494000000000001E-4</v>
      </c>
      <c r="F2930" t="s">
        <v>233</v>
      </c>
      <c r="G2930" t="s">
        <v>234</v>
      </c>
      <c r="H2930">
        <v>3</v>
      </c>
    </row>
    <row r="2931" spans="1:8" x14ac:dyDescent="0.25">
      <c r="A2931" t="s">
        <v>5674</v>
      </c>
      <c r="B2931" t="s">
        <v>5695</v>
      </c>
      <c r="C2931" t="s">
        <v>737</v>
      </c>
      <c r="D2931" t="s">
        <v>738</v>
      </c>
      <c r="E2931">
        <v>1.81306E-4</v>
      </c>
      <c r="F2931" t="s">
        <v>233</v>
      </c>
      <c r="G2931" t="s">
        <v>234</v>
      </c>
      <c r="H2931">
        <v>3</v>
      </c>
    </row>
    <row r="2932" spans="1:8" x14ac:dyDescent="0.25">
      <c r="A2932" t="s">
        <v>5676</v>
      </c>
      <c r="B2932" t="s">
        <v>5677</v>
      </c>
      <c r="C2932" t="s">
        <v>413</v>
      </c>
      <c r="D2932" t="s">
        <v>414</v>
      </c>
      <c r="E2932">
        <v>3.1322199999999999E-4</v>
      </c>
      <c r="F2932" t="s">
        <v>233</v>
      </c>
      <c r="G2932" t="s">
        <v>234</v>
      </c>
      <c r="H2932">
        <v>3</v>
      </c>
    </row>
    <row r="2933" spans="1:8" x14ac:dyDescent="0.25">
      <c r="A2933" t="s">
        <v>5678</v>
      </c>
      <c r="B2933" t="s">
        <v>5679</v>
      </c>
      <c r="C2933" t="s">
        <v>1330</v>
      </c>
      <c r="D2933" t="s">
        <v>1331</v>
      </c>
      <c r="E2933">
        <v>2.4606500000000001E-4</v>
      </c>
      <c r="F2933" t="s">
        <v>233</v>
      </c>
      <c r="G2933" t="s">
        <v>234</v>
      </c>
      <c r="H2933">
        <v>3</v>
      </c>
    </row>
    <row r="2934" spans="1:8" x14ac:dyDescent="0.25">
      <c r="A2934" t="s">
        <v>5680</v>
      </c>
      <c r="B2934" t="s">
        <v>5681</v>
      </c>
      <c r="C2934" t="s">
        <v>743</v>
      </c>
      <c r="D2934" t="s">
        <v>744</v>
      </c>
      <c r="E2934">
        <v>3.813E-4</v>
      </c>
      <c r="F2934" t="s">
        <v>233</v>
      </c>
      <c r="G2934" t="s">
        <v>316</v>
      </c>
      <c r="H2934">
        <v>3</v>
      </c>
    </row>
    <row r="2935" spans="1:8" x14ac:dyDescent="0.25">
      <c r="A2935" t="s">
        <v>5689</v>
      </c>
      <c r="B2935" t="s">
        <v>777</v>
      </c>
      <c r="C2935" t="s">
        <v>743</v>
      </c>
      <c r="D2935" t="s">
        <v>744</v>
      </c>
      <c r="E2935">
        <v>3.813E-4</v>
      </c>
      <c r="F2935" t="s">
        <v>233</v>
      </c>
      <c r="G2935" t="s">
        <v>316</v>
      </c>
      <c r="H2935">
        <v>3</v>
      </c>
    </row>
    <row r="2936" spans="1:8" x14ac:dyDescent="0.25">
      <c r="A2936" t="s">
        <v>5690</v>
      </c>
      <c r="B2936" t="s">
        <v>1340</v>
      </c>
      <c r="C2936" t="s">
        <v>465</v>
      </c>
      <c r="D2936" t="s">
        <v>466</v>
      </c>
      <c r="E2936">
        <v>2.2128299999999999E-4</v>
      </c>
      <c r="F2936" t="s">
        <v>233</v>
      </c>
      <c r="G2936" t="s">
        <v>234</v>
      </c>
      <c r="H2936">
        <v>3</v>
      </c>
    </row>
    <row r="2937" spans="1:8" x14ac:dyDescent="0.25">
      <c r="A2937" t="s">
        <v>5691</v>
      </c>
      <c r="B2937" t="s">
        <v>5692</v>
      </c>
      <c r="C2937" t="s">
        <v>353</v>
      </c>
      <c r="D2937" t="s">
        <v>354</v>
      </c>
      <c r="E2937">
        <v>2.78752E-4</v>
      </c>
      <c r="F2937" t="s">
        <v>233</v>
      </c>
      <c r="G2937" t="s">
        <v>234</v>
      </c>
      <c r="H2937">
        <v>3</v>
      </c>
    </row>
    <row r="2938" spans="1:8" x14ac:dyDescent="0.25">
      <c r="A2938" t="s">
        <v>5693</v>
      </c>
      <c r="B2938" t="s">
        <v>5694</v>
      </c>
      <c r="C2938" t="s">
        <v>346</v>
      </c>
      <c r="D2938" t="s">
        <v>347</v>
      </c>
      <c r="E2938">
        <v>2.10657E-4</v>
      </c>
      <c r="F2938" t="s">
        <v>233</v>
      </c>
      <c r="G2938" t="s">
        <v>234</v>
      </c>
      <c r="H2938">
        <v>3</v>
      </c>
    </row>
    <row r="2939" spans="1:8" x14ac:dyDescent="0.25">
      <c r="A2939" t="s">
        <v>5672</v>
      </c>
      <c r="B2939" t="s">
        <v>5673</v>
      </c>
      <c r="C2939" t="s">
        <v>726</v>
      </c>
      <c r="D2939" t="s">
        <v>727</v>
      </c>
      <c r="E2939">
        <v>1.3494000000000001E-4</v>
      </c>
      <c r="F2939" t="s">
        <v>233</v>
      </c>
      <c r="G2939" t="s">
        <v>234</v>
      </c>
      <c r="H2939">
        <v>3</v>
      </c>
    </row>
    <row r="2940" spans="1:8" x14ac:dyDescent="0.25">
      <c r="A2940" t="s">
        <v>5674</v>
      </c>
      <c r="B2940" t="s">
        <v>5695</v>
      </c>
      <c r="C2940" t="s">
        <v>737</v>
      </c>
      <c r="D2940" t="s">
        <v>738</v>
      </c>
      <c r="E2940">
        <v>1.81306E-4</v>
      </c>
      <c r="F2940" t="s">
        <v>233</v>
      </c>
      <c r="G2940" t="s">
        <v>234</v>
      </c>
      <c r="H2940">
        <v>3</v>
      </c>
    </row>
    <row r="2941" spans="1:8" x14ac:dyDescent="0.25">
      <c r="A2941" t="s">
        <v>5676</v>
      </c>
      <c r="B2941" t="s">
        <v>5677</v>
      </c>
      <c r="C2941" t="s">
        <v>413</v>
      </c>
      <c r="D2941" t="s">
        <v>414</v>
      </c>
      <c r="E2941">
        <v>3.1322199999999999E-4</v>
      </c>
      <c r="F2941" t="s">
        <v>233</v>
      </c>
      <c r="G2941" t="s">
        <v>234</v>
      </c>
      <c r="H2941">
        <v>3</v>
      </c>
    </row>
    <row r="2942" spans="1:8" x14ac:dyDescent="0.25">
      <c r="A2942" t="s">
        <v>5678</v>
      </c>
      <c r="B2942" t="s">
        <v>5679</v>
      </c>
      <c r="C2942" t="s">
        <v>1330</v>
      </c>
      <c r="D2942" t="s">
        <v>1331</v>
      </c>
      <c r="E2942">
        <v>2.4606500000000001E-4</v>
      </c>
      <c r="F2942" t="s">
        <v>233</v>
      </c>
      <c r="G2942" t="s">
        <v>234</v>
      </c>
      <c r="H2942">
        <v>3</v>
      </c>
    </row>
    <row r="2943" spans="1:8" x14ac:dyDescent="0.25">
      <c r="A2943" t="s">
        <v>5680</v>
      </c>
      <c r="B2943" t="s">
        <v>5681</v>
      </c>
      <c r="C2943" t="s">
        <v>743</v>
      </c>
      <c r="D2943" t="s">
        <v>744</v>
      </c>
      <c r="E2943">
        <v>3.813E-4</v>
      </c>
      <c r="F2943" t="s">
        <v>233</v>
      </c>
      <c r="G2943" t="s">
        <v>316</v>
      </c>
      <c r="H2943">
        <v>3</v>
      </c>
    </row>
    <row r="2944" spans="1:8" x14ac:dyDescent="0.25">
      <c r="A2944" t="s">
        <v>5682</v>
      </c>
      <c r="B2944" t="s">
        <v>5683</v>
      </c>
      <c r="C2944" t="s">
        <v>407</v>
      </c>
      <c r="D2944" t="s">
        <v>408</v>
      </c>
      <c r="E2944">
        <v>1.6713599999999999E-4</v>
      </c>
      <c r="F2944" t="s">
        <v>233</v>
      </c>
      <c r="G2944" t="s">
        <v>234</v>
      </c>
      <c r="H2944">
        <v>3</v>
      </c>
    </row>
    <row r="2945" spans="1:8" x14ac:dyDescent="0.25">
      <c r="A2945" t="s">
        <v>5684</v>
      </c>
      <c r="B2945" t="s">
        <v>5685</v>
      </c>
      <c r="C2945" t="s">
        <v>271</v>
      </c>
      <c r="D2945" t="s">
        <v>269</v>
      </c>
      <c r="E2945">
        <v>5.2359699999999999E-4</v>
      </c>
      <c r="F2945" t="s">
        <v>233</v>
      </c>
      <c r="G2945" t="s">
        <v>234</v>
      </c>
      <c r="H2945">
        <v>3</v>
      </c>
    </row>
    <row r="2946" spans="1:8" x14ac:dyDescent="0.25">
      <c r="A2946" t="s">
        <v>5686</v>
      </c>
      <c r="B2946" t="s">
        <v>5687</v>
      </c>
      <c r="C2946" t="s">
        <v>346</v>
      </c>
      <c r="D2946" t="s">
        <v>347</v>
      </c>
      <c r="E2946">
        <v>2.10657E-4</v>
      </c>
      <c r="F2946" t="s">
        <v>233</v>
      </c>
      <c r="G2946" t="s">
        <v>234</v>
      </c>
      <c r="H2946">
        <v>3</v>
      </c>
    </row>
    <row r="2947" spans="1:8" x14ac:dyDescent="0.25">
      <c r="A2947" t="s">
        <v>5688</v>
      </c>
      <c r="B2947" t="s">
        <v>359</v>
      </c>
      <c r="C2947" t="s">
        <v>283</v>
      </c>
      <c r="D2947" t="s">
        <v>281</v>
      </c>
      <c r="E2947">
        <v>5.4019300000000001E-4</v>
      </c>
      <c r="F2947" t="s">
        <v>233</v>
      </c>
      <c r="G2947" t="s">
        <v>234</v>
      </c>
      <c r="H2947">
        <v>3</v>
      </c>
    </row>
    <row r="2948" spans="1:8" x14ac:dyDescent="0.25">
      <c r="A2948" t="s">
        <v>5674</v>
      </c>
      <c r="B2948" t="s">
        <v>5695</v>
      </c>
      <c r="C2948" t="s">
        <v>737</v>
      </c>
      <c r="D2948" t="s">
        <v>738</v>
      </c>
      <c r="E2948">
        <v>1.81306E-4</v>
      </c>
      <c r="F2948" t="s">
        <v>233</v>
      </c>
      <c r="G2948" t="s">
        <v>234</v>
      </c>
      <c r="H2948">
        <v>3</v>
      </c>
    </row>
    <row r="2949" spans="1:8" x14ac:dyDescent="0.25">
      <c r="A2949" t="s">
        <v>5676</v>
      </c>
      <c r="B2949" t="s">
        <v>5677</v>
      </c>
      <c r="C2949" t="s">
        <v>413</v>
      </c>
      <c r="D2949" t="s">
        <v>414</v>
      </c>
      <c r="E2949">
        <v>3.1322199999999999E-4</v>
      </c>
      <c r="F2949" t="s">
        <v>233</v>
      </c>
      <c r="G2949" t="s">
        <v>234</v>
      </c>
      <c r="H2949">
        <v>3</v>
      </c>
    </row>
    <row r="2950" spans="1:8" x14ac:dyDescent="0.25">
      <c r="A2950" t="s">
        <v>5678</v>
      </c>
      <c r="B2950" t="s">
        <v>5679</v>
      </c>
      <c r="C2950" t="s">
        <v>1330</v>
      </c>
      <c r="D2950" t="s">
        <v>1331</v>
      </c>
      <c r="E2950">
        <v>2.4606500000000001E-4</v>
      </c>
      <c r="F2950" t="s">
        <v>233</v>
      </c>
      <c r="G2950" t="s">
        <v>234</v>
      </c>
      <c r="H2950">
        <v>3</v>
      </c>
    </row>
    <row r="2951" spans="1:8" x14ac:dyDescent="0.25">
      <c r="A2951" t="s">
        <v>5680</v>
      </c>
      <c r="B2951" t="s">
        <v>5681</v>
      </c>
      <c r="C2951" t="s">
        <v>743</v>
      </c>
      <c r="D2951" t="s">
        <v>744</v>
      </c>
      <c r="E2951">
        <v>3.813E-4</v>
      </c>
      <c r="F2951" t="s">
        <v>233</v>
      </c>
      <c r="G2951" t="s">
        <v>316</v>
      </c>
      <c r="H2951">
        <v>3</v>
      </c>
    </row>
    <row r="2952" spans="1:8" x14ac:dyDescent="0.25">
      <c r="A2952" t="s">
        <v>5682</v>
      </c>
      <c r="B2952" t="s">
        <v>5683</v>
      </c>
      <c r="C2952" t="s">
        <v>407</v>
      </c>
      <c r="D2952" t="s">
        <v>408</v>
      </c>
      <c r="E2952">
        <v>1.6713599999999999E-4</v>
      </c>
      <c r="F2952" t="s">
        <v>233</v>
      </c>
      <c r="G2952" t="s">
        <v>234</v>
      </c>
      <c r="H2952">
        <v>3</v>
      </c>
    </row>
    <row r="2953" spans="1:8" x14ac:dyDescent="0.25">
      <c r="A2953" t="s">
        <v>5684</v>
      </c>
      <c r="B2953" t="s">
        <v>5685</v>
      </c>
      <c r="C2953" t="s">
        <v>271</v>
      </c>
      <c r="D2953" t="s">
        <v>269</v>
      </c>
      <c r="E2953">
        <v>5.2359699999999999E-4</v>
      </c>
      <c r="F2953" t="s">
        <v>233</v>
      </c>
      <c r="G2953" t="s">
        <v>234</v>
      </c>
      <c r="H2953">
        <v>3</v>
      </c>
    </row>
    <row r="2954" spans="1:8" x14ac:dyDescent="0.25">
      <c r="A2954" t="s">
        <v>5686</v>
      </c>
      <c r="B2954" t="s">
        <v>5687</v>
      </c>
      <c r="C2954" t="s">
        <v>346</v>
      </c>
      <c r="D2954" t="s">
        <v>347</v>
      </c>
      <c r="E2954">
        <v>2.10657E-4</v>
      </c>
      <c r="F2954" t="s">
        <v>233</v>
      </c>
      <c r="G2954" t="s">
        <v>234</v>
      </c>
      <c r="H2954">
        <v>3</v>
      </c>
    </row>
    <row r="2955" spans="1:8" x14ac:dyDescent="0.25">
      <c r="A2955" t="s">
        <v>5688</v>
      </c>
      <c r="B2955" t="s">
        <v>359</v>
      </c>
      <c r="C2955" t="s">
        <v>283</v>
      </c>
      <c r="D2955" t="s">
        <v>281</v>
      </c>
      <c r="E2955">
        <v>5.4019300000000001E-4</v>
      </c>
      <c r="F2955" t="s">
        <v>233</v>
      </c>
      <c r="G2955" t="s">
        <v>234</v>
      </c>
      <c r="H2955">
        <v>3</v>
      </c>
    </row>
    <row r="2956" spans="1:8" x14ac:dyDescent="0.25">
      <c r="A2956" t="s">
        <v>5689</v>
      </c>
      <c r="B2956" t="s">
        <v>777</v>
      </c>
      <c r="C2956" t="s">
        <v>743</v>
      </c>
      <c r="D2956" t="s">
        <v>744</v>
      </c>
      <c r="E2956">
        <v>3.813E-4</v>
      </c>
      <c r="F2956" t="s">
        <v>233</v>
      </c>
      <c r="G2956" t="s">
        <v>316</v>
      </c>
      <c r="H2956">
        <v>3</v>
      </c>
    </row>
    <row r="2957" spans="1:8" x14ac:dyDescent="0.25">
      <c r="A2957" t="s">
        <v>5690</v>
      </c>
      <c r="B2957" t="s">
        <v>1340</v>
      </c>
      <c r="C2957" t="s">
        <v>465</v>
      </c>
      <c r="D2957" t="s">
        <v>466</v>
      </c>
      <c r="E2957">
        <v>2.2128299999999999E-4</v>
      </c>
      <c r="F2957" t="s">
        <v>233</v>
      </c>
      <c r="G2957" t="s">
        <v>234</v>
      </c>
      <c r="H2957">
        <v>3</v>
      </c>
    </row>
    <row r="2958" spans="1:8" x14ac:dyDescent="0.25">
      <c r="A2958" t="s">
        <v>5691</v>
      </c>
      <c r="B2958" t="s">
        <v>5692</v>
      </c>
      <c r="C2958" t="s">
        <v>353</v>
      </c>
      <c r="D2958" t="s">
        <v>354</v>
      </c>
      <c r="E2958">
        <v>2.78752E-4</v>
      </c>
      <c r="F2958" t="s">
        <v>233</v>
      </c>
      <c r="G2958" t="s">
        <v>234</v>
      </c>
      <c r="H2958">
        <v>3</v>
      </c>
    </row>
    <row r="2959" spans="1:8" x14ac:dyDescent="0.25">
      <c r="A2959" t="s">
        <v>5693</v>
      </c>
      <c r="B2959" t="s">
        <v>5694</v>
      </c>
      <c r="C2959" t="s">
        <v>346</v>
      </c>
      <c r="D2959" t="s">
        <v>347</v>
      </c>
      <c r="E2959">
        <v>2.10657E-4</v>
      </c>
      <c r="F2959" t="s">
        <v>233</v>
      </c>
      <c r="G2959" t="s">
        <v>234</v>
      </c>
      <c r="H2959">
        <v>3</v>
      </c>
    </row>
    <row r="2960" spans="1:8" x14ac:dyDescent="0.25">
      <c r="A2960" t="s">
        <v>5696</v>
      </c>
      <c r="B2960" t="s">
        <v>5697</v>
      </c>
      <c r="C2960" t="s">
        <v>256</v>
      </c>
      <c r="D2960" t="s">
        <v>254</v>
      </c>
      <c r="E2960">
        <v>8.1312799999999998E-4</v>
      </c>
      <c r="F2960" t="s">
        <v>233</v>
      </c>
      <c r="G2960" t="s">
        <v>234</v>
      </c>
      <c r="H2960">
        <v>3</v>
      </c>
    </row>
    <row r="2961" spans="1:8" x14ac:dyDescent="0.25">
      <c r="A2961" t="s">
        <v>5698</v>
      </c>
      <c r="B2961" t="s">
        <v>5699</v>
      </c>
      <c r="C2961" t="s">
        <v>301</v>
      </c>
      <c r="D2961" t="s">
        <v>299</v>
      </c>
      <c r="E2961">
        <v>6.3590900000000004E-4</v>
      </c>
      <c r="F2961" t="s">
        <v>233</v>
      </c>
      <c r="G2961" t="s">
        <v>234</v>
      </c>
      <c r="H2961">
        <v>3</v>
      </c>
    </row>
    <row r="2962" spans="1:8" x14ac:dyDescent="0.25">
      <c r="A2962" t="s">
        <v>5700</v>
      </c>
      <c r="B2962" t="s">
        <v>5701</v>
      </c>
      <c r="C2962" t="s">
        <v>301</v>
      </c>
      <c r="D2962" t="s">
        <v>299</v>
      </c>
      <c r="E2962">
        <v>6.3590900000000004E-4</v>
      </c>
      <c r="F2962" t="s">
        <v>233</v>
      </c>
      <c r="G2962" t="s">
        <v>234</v>
      </c>
      <c r="H2962">
        <v>3</v>
      </c>
    </row>
    <row r="2963" spans="1:8" x14ac:dyDescent="0.25">
      <c r="A2963" t="s">
        <v>5702</v>
      </c>
      <c r="B2963" t="s">
        <v>5703</v>
      </c>
      <c r="C2963" t="s">
        <v>250</v>
      </c>
      <c r="D2963" t="s">
        <v>248</v>
      </c>
      <c r="E2963">
        <v>4.3868599999999998E-4</v>
      </c>
      <c r="F2963" t="s">
        <v>233</v>
      </c>
      <c r="G2963" t="s">
        <v>234</v>
      </c>
      <c r="H2963">
        <v>3</v>
      </c>
    </row>
    <row r="2964" spans="1:8" x14ac:dyDescent="0.25">
      <c r="A2964" t="s">
        <v>5704</v>
      </c>
      <c r="B2964" t="s">
        <v>5705</v>
      </c>
      <c r="C2964" t="s">
        <v>250</v>
      </c>
      <c r="D2964" t="s">
        <v>248</v>
      </c>
      <c r="E2964">
        <v>4.3868599999999998E-4</v>
      </c>
      <c r="F2964" t="s">
        <v>233</v>
      </c>
      <c r="G2964" t="s">
        <v>234</v>
      </c>
      <c r="H2964">
        <v>3</v>
      </c>
    </row>
    <row r="2965" spans="1:8" x14ac:dyDescent="0.25">
      <c r="A2965" t="s">
        <v>5706</v>
      </c>
      <c r="B2965" t="s">
        <v>5707</v>
      </c>
      <c r="C2965" t="s">
        <v>271</v>
      </c>
      <c r="D2965" t="s">
        <v>269</v>
      </c>
      <c r="E2965">
        <v>5.2359699999999999E-4</v>
      </c>
      <c r="F2965" t="s">
        <v>233</v>
      </c>
      <c r="G2965" t="s">
        <v>234</v>
      </c>
      <c r="H2965">
        <v>3</v>
      </c>
    </row>
    <row r="2966" spans="1:8" x14ac:dyDescent="0.25">
      <c r="A2966" t="s">
        <v>5708</v>
      </c>
      <c r="B2966" t="s">
        <v>5709</v>
      </c>
      <c r="C2966" t="s">
        <v>247</v>
      </c>
      <c r="D2966" t="s">
        <v>245</v>
      </c>
      <c r="E2966">
        <v>1.0475809999999999E-3</v>
      </c>
      <c r="F2966" t="s">
        <v>233</v>
      </c>
      <c r="G2966" t="s">
        <v>234</v>
      </c>
      <c r="H2966">
        <v>3</v>
      </c>
    </row>
    <row r="2967" spans="1:8" x14ac:dyDescent="0.25">
      <c r="A2967" t="s">
        <v>5710</v>
      </c>
      <c r="B2967" t="s">
        <v>5711</v>
      </c>
      <c r="C2967" t="s">
        <v>407</v>
      </c>
      <c r="D2967" t="s">
        <v>408</v>
      </c>
      <c r="E2967">
        <v>1.6713599999999999E-4</v>
      </c>
      <c r="F2967" t="s">
        <v>233</v>
      </c>
      <c r="G2967" t="s">
        <v>234</v>
      </c>
      <c r="H2967">
        <v>3</v>
      </c>
    </row>
    <row r="2968" spans="1:8" x14ac:dyDescent="0.25">
      <c r="A2968" t="s">
        <v>5712</v>
      </c>
      <c r="B2968" t="s">
        <v>5713</v>
      </c>
      <c r="C2968" t="s">
        <v>413</v>
      </c>
      <c r="D2968" t="s">
        <v>414</v>
      </c>
      <c r="E2968">
        <v>3.1322199999999999E-4</v>
      </c>
      <c r="F2968" t="s">
        <v>233</v>
      </c>
      <c r="G2968" t="s">
        <v>234</v>
      </c>
      <c r="H2968">
        <v>3</v>
      </c>
    </row>
    <row r="2969" spans="1:8" x14ac:dyDescent="0.25">
      <c r="A2969" t="s">
        <v>5714</v>
      </c>
      <c r="B2969" t="s">
        <v>5715</v>
      </c>
      <c r="C2969" t="s">
        <v>2885</v>
      </c>
      <c r="D2969" t="s">
        <v>2883</v>
      </c>
      <c r="E2969">
        <v>2.45865E-4</v>
      </c>
      <c r="F2969" t="s">
        <v>233</v>
      </c>
      <c r="G2969" t="s">
        <v>234</v>
      </c>
      <c r="H2969">
        <v>3</v>
      </c>
    </row>
    <row r="2970" spans="1:8" x14ac:dyDescent="0.25">
      <c r="A2970" t="s">
        <v>5716</v>
      </c>
      <c r="B2970" t="s">
        <v>5694</v>
      </c>
      <c r="C2970" t="s">
        <v>346</v>
      </c>
      <c r="D2970" t="s">
        <v>347</v>
      </c>
      <c r="E2970">
        <v>2.10657E-4</v>
      </c>
      <c r="F2970" t="s">
        <v>233</v>
      </c>
      <c r="G2970" t="s">
        <v>234</v>
      </c>
      <c r="H2970">
        <v>3</v>
      </c>
    </row>
    <row r="2971" spans="1:8" x14ac:dyDescent="0.25">
      <c r="A2971" t="s">
        <v>5717</v>
      </c>
      <c r="B2971" t="s">
        <v>5718</v>
      </c>
      <c r="C2971" t="s">
        <v>465</v>
      </c>
      <c r="D2971" t="s">
        <v>466</v>
      </c>
      <c r="E2971">
        <v>2.2128299999999999E-4</v>
      </c>
      <c r="F2971" t="s">
        <v>233</v>
      </c>
      <c r="G2971" t="s">
        <v>234</v>
      </c>
      <c r="H2971">
        <v>3</v>
      </c>
    </row>
    <row r="2972" spans="1:8" x14ac:dyDescent="0.25">
      <c r="A2972" t="s">
        <v>5719</v>
      </c>
      <c r="B2972" t="s">
        <v>5720</v>
      </c>
      <c r="C2972" t="s">
        <v>256</v>
      </c>
      <c r="D2972" t="s">
        <v>254</v>
      </c>
      <c r="E2972">
        <v>8.1312799999999998E-4</v>
      </c>
      <c r="F2972" t="s">
        <v>233</v>
      </c>
      <c r="G2972" t="s">
        <v>234</v>
      </c>
      <c r="H2972">
        <v>3</v>
      </c>
    </row>
    <row r="2973" spans="1:8" x14ac:dyDescent="0.25">
      <c r="A2973" t="s">
        <v>5721</v>
      </c>
      <c r="B2973" t="s">
        <v>5722</v>
      </c>
      <c r="C2973" t="s">
        <v>280</v>
      </c>
      <c r="D2973" t="s">
        <v>278</v>
      </c>
      <c r="E2973">
        <v>6.2829699999999999E-4</v>
      </c>
      <c r="F2973" t="s">
        <v>233</v>
      </c>
      <c r="G2973" t="s">
        <v>234</v>
      </c>
      <c r="H2973">
        <v>3</v>
      </c>
    </row>
    <row r="2974" spans="1:8" x14ac:dyDescent="0.25">
      <c r="A2974" t="s">
        <v>5723</v>
      </c>
      <c r="B2974" t="s">
        <v>5724</v>
      </c>
      <c r="C2974" t="s">
        <v>346</v>
      </c>
      <c r="D2974" t="s">
        <v>347</v>
      </c>
      <c r="E2974">
        <v>2.10657E-4</v>
      </c>
      <c r="F2974" t="s">
        <v>233</v>
      </c>
      <c r="G2974" t="s">
        <v>234</v>
      </c>
      <c r="H2974">
        <v>3</v>
      </c>
    </row>
    <row r="2975" spans="1:8" x14ac:dyDescent="0.25">
      <c r="A2975" t="s">
        <v>5725</v>
      </c>
      <c r="B2975" t="s">
        <v>5726</v>
      </c>
      <c r="C2975" t="s">
        <v>743</v>
      </c>
      <c r="D2975" t="s">
        <v>744</v>
      </c>
      <c r="E2975">
        <v>3.813E-4</v>
      </c>
      <c r="F2975" t="s">
        <v>233</v>
      </c>
      <c r="G2975" t="s">
        <v>316</v>
      </c>
      <c r="H2975">
        <v>3</v>
      </c>
    </row>
    <row r="2976" spans="1:8" x14ac:dyDescent="0.25">
      <c r="A2976" t="s">
        <v>5727</v>
      </c>
      <c r="B2976" t="s">
        <v>5728</v>
      </c>
      <c r="C2976" t="s">
        <v>295</v>
      </c>
      <c r="D2976" t="s">
        <v>293</v>
      </c>
      <c r="E2976">
        <v>4.8170899999999998E-4</v>
      </c>
      <c r="F2976" t="s">
        <v>233</v>
      </c>
      <c r="G2976" t="s">
        <v>234</v>
      </c>
      <c r="H2976">
        <v>3</v>
      </c>
    </row>
    <row r="2977" spans="1:8" x14ac:dyDescent="0.25">
      <c r="A2977" t="s">
        <v>5729</v>
      </c>
      <c r="B2977" t="s">
        <v>5730</v>
      </c>
      <c r="C2977" t="s">
        <v>250</v>
      </c>
      <c r="D2977" t="s">
        <v>248</v>
      </c>
      <c r="E2977">
        <v>4.3868599999999998E-4</v>
      </c>
      <c r="F2977" t="s">
        <v>233</v>
      </c>
      <c r="G2977" t="s">
        <v>234</v>
      </c>
      <c r="H2977">
        <v>3</v>
      </c>
    </row>
    <row r="2978" spans="1:8" x14ac:dyDescent="0.25">
      <c r="A2978" t="s">
        <v>5731</v>
      </c>
      <c r="B2978" t="s">
        <v>5732</v>
      </c>
      <c r="C2978" t="s">
        <v>737</v>
      </c>
      <c r="D2978" t="s">
        <v>738</v>
      </c>
      <c r="E2978">
        <v>1.81306E-4</v>
      </c>
      <c r="F2978" t="s">
        <v>233</v>
      </c>
      <c r="G2978" t="s">
        <v>234</v>
      </c>
      <c r="H2978">
        <v>3</v>
      </c>
    </row>
    <row r="2979" spans="1:8" x14ac:dyDescent="0.25">
      <c r="A2979" t="s">
        <v>5733</v>
      </c>
      <c r="B2979" t="s">
        <v>5734</v>
      </c>
      <c r="C2979" t="s">
        <v>280</v>
      </c>
      <c r="D2979" t="s">
        <v>278</v>
      </c>
      <c r="E2979">
        <v>6.2829699999999999E-4</v>
      </c>
      <c r="F2979" t="s">
        <v>233</v>
      </c>
      <c r="G2979" t="s">
        <v>234</v>
      </c>
      <c r="H2979">
        <v>3</v>
      </c>
    </row>
    <row r="2980" spans="1:8" x14ac:dyDescent="0.25">
      <c r="A2980" t="s">
        <v>5735</v>
      </c>
      <c r="B2980" t="s">
        <v>5736</v>
      </c>
      <c r="C2980" t="s">
        <v>346</v>
      </c>
      <c r="D2980" t="s">
        <v>347</v>
      </c>
      <c r="E2980">
        <v>2.10657E-4</v>
      </c>
      <c r="F2980" t="s">
        <v>233</v>
      </c>
      <c r="G2980" t="s">
        <v>234</v>
      </c>
      <c r="H2980">
        <v>3</v>
      </c>
    </row>
    <row r="2981" spans="1:8" x14ac:dyDescent="0.25">
      <c r="A2981" t="s">
        <v>5737</v>
      </c>
      <c r="B2981" t="s">
        <v>5738</v>
      </c>
      <c r="C2981" t="s">
        <v>250</v>
      </c>
      <c r="D2981" t="s">
        <v>248</v>
      </c>
      <c r="E2981">
        <v>4.3868599999999998E-4</v>
      </c>
      <c r="F2981" t="s">
        <v>233</v>
      </c>
      <c r="G2981" t="s">
        <v>234</v>
      </c>
      <c r="H2981">
        <v>3</v>
      </c>
    </row>
    <row r="2982" spans="1:8" x14ac:dyDescent="0.25">
      <c r="A2982" t="s">
        <v>5739</v>
      </c>
      <c r="B2982" t="s">
        <v>5740</v>
      </c>
      <c r="C2982" t="s">
        <v>346</v>
      </c>
      <c r="D2982" t="s">
        <v>347</v>
      </c>
      <c r="E2982">
        <v>2.10657E-4</v>
      </c>
      <c r="F2982" t="s">
        <v>233</v>
      </c>
      <c r="G2982" t="s">
        <v>234</v>
      </c>
      <c r="H2982">
        <v>3</v>
      </c>
    </row>
    <row r="2983" spans="1:8" x14ac:dyDescent="0.25">
      <c r="A2983" t="s">
        <v>5741</v>
      </c>
      <c r="B2983" t="s">
        <v>5740</v>
      </c>
      <c r="C2983" t="s">
        <v>346</v>
      </c>
      <c r="D2983" t="s">
        <v>347</v>
      </c>
      <c r="E2983">
        <v>2.10657E-4</v>
      </c>
      <c r="F2983" t="s">
        <v>233</v>
      </c>
      <c r="G2983" t="s">
        <v>234</v>
      </c>
      <c r="H2983">
        <v>3</v>
      </c>
    </row>
    <row r="2984" spans="1:8" x14ac:dyDescent="0.25">
      <c r="A2984" t="s">
        <v>5742</v>
      </c>
      <c r="B2984" t="s">
        <v>5740</v>
      </c>
      <c r="C2984" t="s">
        <v>346</v>
      </c>
      <c r="D2984" t="s">
        <v>347</v>
      </c>
      <c r="E2984">
        <v>2.10657E-4</v>
      </c>
      <c r="F2984" t="s">
        <v>233</v>
      </c>
      <c r="G2984" t="s">
        <v>234</v>
      </c>
      <c r="H2984">
        <v>3</v>
      </c>
    </row>
    <row r="2985" spans="1:8" x14ac:dyDescent="0.25">
      <c r="A2985" t="s">
        <v>5743</v>
      </c>
      <c r="B2985" t="s">
        <v>5740</v>
      </c>
      <c r="C2985" t="s">
        <v>346</v>
      </c>
      <c r="D2985" t="s">
        <v>347</v>
      </c>
      <c r="E2985">
        <v>2.10657E-4</v>
      </c>
      <c r="F2985" t="s">
        <v>233</v>
      </c>
      <c r="G2985" t="s">
        <v>234</v>
      </c>
      <c r="H2985">
        <v>3</v>
      </c>
    </row>
    <row r="2986" spans="1:8" x14ac:dyDescent="0.25">
      <c r="A2986" t="s">
        <v>5744</v>
      </c>
      <c r="B2986" t="s">
        <v>5740</v>
      </c>
      <c r="C2986" t="s">
        <v>346</v>
      </c>
      <c r="D2986" t="s">
        <v>347</v>
      </c>
      <c r="E2986">
        <v>2.10657E-4</v>
      </c>
      <c r="F2986" t="s">
        <v>233</v>
      </c>
      <c r="G2986" t="s">
        <v>234</v>
      </c>
      <c r="H2986">
        <v>3</v>
      </c>
    </row>
    <row r="2987" spans="1:8" x14ac:dyDescent="0.25">
      <c r="A2987" t="s">
        <v>5745</v>
      </c>
      <c r="B2987" t="s">
        <v>5740</v>
      </c>
      <c r="C2987" t="s">
        <v>346</v>
      </c>
      <c r="D2987" t="s">
        <v>347</v>
      </c>
      <c r="E2987">
        <v>2.10657E-4</v>
      </c>
      <c r="F2987" t="s">
        <v>233</v>
      </c>
      <c r="G2987" t="s">
        <v>234</v>
      </c>
      <c r="H2987">
        <v>3</v>
      </c>
    </row>
    <row r="2988" spans="1:8" x14ac:dyDescent="0.25">
      <c r="A2988" t="s">
        <v>5746</v>
      </c>
      <c r="B2988" t="s">
        <v>5747</v>
      </c>
      <c r="C2988" t="s">
        <v>413</v>
      </c>
      <c r="D2988" t="s">
        <v>414</v>
      </c>
      <c r="E2988">
        <v>3.1322199999999999E-4</v>
      </c>
      <c r="F2988" t="s">
        <v>233</v>
      </c>
      <c r="G2988" t="s">
        <v>234</v>
      </c>
      <c r="H2988">
        <v>3</v>
      </c>
    </row>
    <row r="2989" spans="1:8" x14ac:dyDescent="0.25">
      <c r="A2989" t="s">
        <v>5748</v>
      </c>
      <c r="B2989" t="s">
        <v>5736</v>
      </c>
      <c r="C2989" t="s">
        <v>346</v>
      </c>
      <c r="D2989" t="s">
        <v>347</v>
      </c>
      <c r="E2989">
        <v>2.10657E-4</v>
      </c>
      <c r="F2989" t="s">
        <v>233</v>
      </c>
      <c r="G2989" t="s">
        <v>234</v>
      </c>
      <c r="H2989">
        <v>3</v>
      </c>
    </row>
    <row r="2990" spans="1:8" x14ac:dyDescent="0.25">
      <c r="A2990" t="s">
        <v>5749</v>
      </c>
      <c r="B2990" t="s">
        <v>5750</v>
      </c>
      <c r="C2990" t="s">
        <v>413</v>
      </c>
      <c r="D2990" t="s">
        <v>414</v>
      </c>
      <c r="E2990">
        <v>3.1322199999999999E-4</v>
      </c>
      <c r="F2990" t="s">
        <v>233</v>
      </c>
      <c r="G2990" t="s">
        <v>234</v>
      </c>
      <c r="H2990">
        <v>3</v>
      </c>
    </row>
    <row r="2991" spans="1:8" x14ac:dyDescent="0.25">
      <c r="A2991" t="s">
        <v>5723</v>
      </c>
      <c r="B2991" t="s">
        <v>5724</v>
      </c>
      <c r="C2991" t="s">
        <v>346</v>
      </c>
      <c r="D2991" t="s">
        <v>347</v>
      </c>
      <c r="E2991">
        <v>2.10657E-4</v>
      </c>
      <c r="F2991" t="s">
        <v>233</v>
      </c>
      <c r="G2991" t="s">
        <v>234</v>
      </c>
      <c r="H2991">
        <v>3</v>
      </c>
    </row>
    <row r="2992" spans="1:8" x14ac:dyDescent="0.25">
      <c r="A2992" t="s">
        <v>5751</v>
      </c>
      <c r="B2992" t="s">
        <v>1294</v>
      </c>
      <c r="C2992" t="s">
        <v>346</v>
      </c>
      <c r="D2992" t="s">
        <v>347</v>
      </c>
      <c r="E2992">
        <v>2.10657E-4</v>
      </c>
      <c r="F2992" t="s">
        <v>233</v>
      </c>
      <c r="G2992" t="s">
        <v>234</v>
      </c>
      <c r="H2992">
        <v>3</v>
      </c>
    </row>
    <row r="2993" spans="1:8" x14ac:dyDescent="0.25">
      <c r="A2993" t="s">
        <v>5752</v>
      </c>
      <c r="B2993" t="s">
        <v>5753</v>
      </c>
      <c r="C2993" t="s">
        <v>271</v>
      </c>
      <c r="D2993" t="s">
        <v>269</v>
      </c>
      <c r="E2993">
        <v>5.2359699999999999E-4</v>
      </c>
      <c r="F2993" t="s">
        <v>233</v>
      </c>
      <c r="G2993" t="s">
        <v>234</v>
      </c>
      <c r="H2993">
        <v>3</v>
      </c>
    </row>
    <row r="2994" spans="1:8" x14ac:dyDescent="0.25">
      <c r="A2994" t="s">
        <v>5754</v>
      </c>
      <c r="B2994" t="s">
        <v>5755</v>
      </c>
      <c r="C2994" t="s">
        <v>353</v>
      </c>
      <c r="D2994" t="s">
        <v>354</v>
      </c>
      <c r="E2994">
        <v>2.78752E-4</v>
      </c>
      <c r="F2994" t="s">
        <v>233</v>
      </c>
      <c r="G2994" t="s">
        <v>234</v>
      </c>
      <c r="H2994">
        <v>3</v>
      </c>
    </row>
    <row r="2995" spans="1:8" x14ac:dyDescent="0.25">
      <c r="A2995" t="s">
        <v>5756</v>
      </c>
      <c r="B2995" t="s">
        <v>5757</v>
      </c>
      <c r="C2995" t="s">
        <v>247</v>
      </c>
      <c r="D2995" t="s">
        <v>245</v>
      </c>
      <c r="E2995">
        <v>1.0475809999999999E-3</v>
      </c>
      <c r="F2995" t="s">
        <v>233</v>
      </c>
      <c r="G2995" t="s">
        <v>234</v>
      </c>
      <c r="H2995">
        <v>3</v>
      </c>
    </row>
    <row r="2996" spans="1:8" x14ac:dyDescent="0.25">
      <c r="A2996" t="s">
        <v>5758</v>
      </c>
      <c r="B2996" t="s">
        <v>5759</v>
      </c>
      <c r="C2996" t="s">
        <v>247</v>
      </c>
      <c r="D2996" t="s">
        <v>245</v>
      </c>
      <c r="E2996">
        <v>1.0475809999999999E-3</v>
      </c>
      <c r="F2996" t="s">
        <v>233</v>
      </c>
      <c r="G2996" t="s">
        <v>234</v>
      </c>
      <c r="H2996">
        <v>3</v>
      </c>
    </row>
    <row r="2997" spans="1:8" x14ac:dyDescent="0.25">
      <c r="A2997" t="s">
        <v>5760</v>
      </c>
      <c r="B2997" t="s">
        <v>5761</v>
      </c>
      <c r="C2997" t="s">
        <v>407</v>
      </c>
      <c r="D2997" t="s">
        <v>408</v>
      </c>
      <c r="E2997">
        <v>1.6713599999999999E-4</v>
      </c>
      <c r="F2997" t="s">
        <v>233</v>
      </c>
      <c r="G2997" t="s">
        <v>234</v>
      </c>
      <c r="H2997">
        <v>3</v>
      </c>
    </row>
    <row r="2998" spans="1:8" x14ac:dyDescent="0.25">
      <c r="A2998" t="s">
        <v>5762</v>
      </c>
      <c r="B2998" t="s">
        <v>5763</v>
      </c>
      <c r="C2998" t="s">
        <v>247</v>
      </c>
      <c r="D2998" t="s">
        <v>245</v>
      </c>
      <c r="E2998">
        <v>1.0475809999999999E-3</v>
      </c>
      <c r="F2998" t="s">
        <v>233</v>
      </c>
      <c r="G2998" t="s">
        <v>234</v>
      </c>
      <c r="H2998">
        <v>3</v>
      </c>
    </row>
    <row r="2999" spans="1:8" x14ac:dyDescent="0.25">
      <c r="A2999" t="s">
        <v>5764</v>
      </c>
      <c r="B2999" t="s">
        <v>5765</v>
      </c>
      <c r="C2999" t="s">
        <v>256</v>
      </c>
      <c r="D2999" t="s">
        <v>254</v>
      </c>
      <c r="E2999">
        <v>8.1312799999999998E-4</v>
      </c>
      <c r="F2999" t="s">
        <v>233</v>
      </c>
      <c r="G2999" t="s">
        <v>234</v>
      </c>
      <c r="H2999">
        <v>3</v>
      </c>
    </row>
    <row r="3000" spans="1:8" x14ac:dyDescent="0.25">
      <c r="A3000" t="s">
        <v>5766</v>
      </c>
      <c r="B3000" t="s">
        <v>5767</v>
      </c>
      <c r="C3000" t="s">
        <v>250</v>
      </c>
      <c r="D3000" t="s">
        <v>248</v>
      </c>
      <c r="E3000">
        <v>4.3868599999999998E-4</v>
      </c>
      <c r="F3000" t="s">
        <v>233</v>
      </c>
      <c r="G3000" t="s">
        <v>234</v>
      </c>
      <c r="H3000">
        <v>3</v>
      </c>
    </row>
    <row r="3001" spans="1:8" x14ac:dyDescent="0.25">
      <c r="A3001" t="s">
        <v>5768</v>
      </c>
      <c r="B3001" t="s">
        <v>5769</v>
      </c>
      <c r="C3001" t="s">
        <v>2885</v>
      </c>
      <c r="D3001" t="s">
        <v>2883</v>
      </c>
      <c r="E3001">
        <v>2.45865E-4</v>
      </c>
      <c r="F3001" t="s">
        <v>233</v>
      </c>
      <c r="G3001" t="s">
        <v>234</v>
      </c>
      <c r="H3001">
        <v>3</v>
      </c>
    </row>
    <row r="3002" spans="1:8" x14ac:dyDescent="0.25">
      <c r="A3002" t="s">
        <v>5770</v>
      </c>
      <c r="B3002" t="s">
        <v>5771</v>
      </c>
      <c r="C3002" t="s">
        <v>256</v>
      </c>
      <c r="D3002" t="s">
        <v>254</v>
      </c>
      <c r="E3002">
        <v>8.1312799999999998E-4</v>
      </c>
      <c r="F3002" t="s">
        <v>233</v>
      </c>
      <c r="G3002" t="s">
        <v>234</v>
      </c>
      <c r="H3002">
        <v>3</v>
      </c>
    </row>
    <row r="3003" spans="1:8" x14ac:dyDescent="0.25">
      <c r="A3003" t="s">
        <v>5772</v>
      </c>
      <c r="B3003" t="s">
        <v>5773</v>
      </c>
      <c r="C3003" t="s">
        <v>280</v>
      </c>
      <c r="D3003" t="s">
        <v>278</v>
      </c>
      <c r="E3003">
        <v>6.2829699999999999E-4</v>
      </c>
      <c r="F3003" t="s">
        <v>233</v>
      </c>
      <c r="G3003" t="s">
        <v>234</v>
      </c>
      <c r="H3003">
        <v>3</v>
      </c>
    </row>
    <row r="3004" spans="1:8" x14ac:dyDescent="0.25">
      <c r="A3004" t="s">
        <v>5774</v>
      </c>
      <c r="B3004" t="s">
        <v>5775</v>
      </c>
      <c r="C3004" t="s">
        <v>250</v>
      </c>
      <c r="D3004" t="s">
        <v>248</v>
      </c>
      <c r="E3004">
        <v>4.3868599999999998E-4</v>
      </c>
      <c r="F3004" t="s">
        <v>233</v>
      </c>
      <c r="G3004" t="s">
        <v>234</v>
      </c>
      <c r="H3004">
        <v>3</v>
      </c>
    </row>
    <row r="3005" spans="1:8" x14ac:dyDescent="0.25">
      <c r="A3005" t="s">
        <v>5776</v>
      </c>
      <c r="B3005" t="s">
        <v>5777</v>
      </c>
      <c r="C3005" t="s">
        <v>407</v>
      </c>
      <c r="D3005" t="s">
        <v>408</v>
      </c>
      <c r="E3005">
        <v>1.6713599999999999E-4</v>
      </c>
      <c r="F3005" t="s">
        <v>233</v>
      </c>
      <c r="G3005" t="s">
        <v>234</v>
      </c>
      <c r="H3005">
        <v>3</v>
      </c>
    </row>
    <row r="3006" spans="1:8" x14ac:dyDescent="0.25">
      <c r="A3006" t="s">
        <v>5778</v>
      </c>
      <c r="B3006" t="s">
        <v>5779</v>
      </c>
      <c r="C3006" t="s">
        <v>346</v>
      </c>
      <c r="D3006" t="s">
        <v>347</v>
      </c>
      <c r="E3006">
        <v>2.10657E-4</v>
      </c>
      <c r="F3006" t="s">
        <v>233</v>
      </c>
      <c r="G3006" t="s">
        <v>234</v>
      </c>
      <c r="H3006">
        <v>3</v>
      </c>
    </row>
    <row r="3007" spans="1:8" x14ac:dyDescent="0.25">
      <c r="A3007" t="s">
        <v>5780</v>
      </c>
      <c r="B3007" t="s">
        <v>5781</v>
      </c>
      <c r="C3007" t="s">
        <v>295</v>
      </c>
      <c r="D3007" t="s">
        <v>293</v>
      </c>
      <c r="E3007">
        <v>4.8170899999999998E-4</v>
      </c>
      <c r="F3007" t="s">
        <v>233</v>
      </c>
      <c r="G3007" t="s">
        <v>234</v>
      </c>
      <c r="H3007">
        <v>3</v>
      </c>
    </row>
    <row r="3008" spans="1:8" x14ac:dyDescent="0.25">
      <c r="A3008" t="s">
        <v>5782</v>
      </c>
      <c r="B3008" t="s">
        <v>5783</v>
      </c>
      <c r="C3008" t="s">
        <v>346</v>
      </c>
      <c r="D3008" t="s">
        <v>347</v>
      </c>
      <c r="E3008">
        <v>2.10657E-4</v>
      </c>
      <c r="F3008" t="s">
        <v>233</v>
      </c>
      <c r="G3008" t="s">
        <v>234</v>
      </c>
      <c r="H3008">
        <v>3</v>
      </c>
    </row>
    <row r="3009" spans="1:8" x14ac:dyDescent="0.25">
      <c r="A3009" t="s">
        <v>5784</v>
      </c>
      <c r="B3009" t="s">
        <v>5785</v>
      </c>
      <c r="C3009" t="s">
        <v>737</v>
      </c>
      <c r="D3009" t="s">
        <v>738</v>
      </c>
      <c r="E3009">
        <v>1.81306E-4</v>
      </c>
      <c r="F3009" t="s">
        <v>233</v>
      </c>
      <c r="G3009" t="s">
        <v>234</v>
      </c>
      <c r="H3009">
        <v>3</v>
      </c>
    </row>
    <row r="3010" spans="1:8" x14ac:dyDescent="0.25">
      <c r="A3010" t="s">
        <v>5786</v>
      </c>
      <c r="B3010" t="s">
        <v>4704</v>
      </c>
      <c r="C3010" t="s">
        <v>256</v>
      </c>
      <c r="D3010" t="s">
        <v>254</v>
      </c>
      <c r="E3010">
        <v>8.1312799999999998E-4</v>
      </c>
      <c r="F3010" t="s">
        <v>233</v>
      </c>
      <c r="G3010" t="s">
        <v>234</v>
      </c>
      <c r="H3010">
        <v>3</v>
      </c>
    </row>
    <row r="3011" spans="1:8" x14ac:dyDescent="0.25">
      <c r="A3011" t="s">
        <v>5787</v>
      </c>
      <c r="B3011" t="s">
        <v>5788</v>
      </c>
      <c r="C3011" t="s">
        <v>346</v>
      </c>
      <c r="D3011" t="s">
        <v>347</v>
      </c>
      <c r="E3011">
        <v>2.10657E-4</v>
      </c>
      <c r="F3011" t="s">
        <v>233</v>
      </c>
      <c r="G3011" t="s">
        <v>234</v>
      </c>
      <c r="H3011">
        <v>3</v>
      </c>
    </row>
    <row r="3012" spans="1:8" x14ac:dyDescent="0.25">
      <c r="A3012" t="s">
        <v>5789</v>
      </c>
      <c r="B3012" t="s">
        <v>5790</v>
      </c>
      <c r="C3012" t="s">
        <v>346</v>
      </c>
      <c r="D3012" t="s">
        <v>347</v>
      </c>
      <c r="E3012">
        <v>2.10657E-4</v>
      </c>
      <c r="F3012" t="s">
        <v>233</v>
      </c>
      <c r="G3012" t="s">
        <v>234</v>
      </c>
      <c r="H3012">
        <v>3</v>
      </c>
    </row>
    <row r="3013" spans="1:8" x14ac:dyDescent="0.25">
      <c r="A3013" t="s">
        <v>5810</v>
      </c>
      <c r="B3013" t="s">
        <v>5724</v>
      </c>
      <c r="C3013" t="s">
        <v>346</v>
      </c>
      <c r="D3013" t="s">
        <v>347</v>
      </c>
      <c r="E3013">
        <v>2.10657E-4</v>
      </c>
      <c r="F3013" t="s">
        <v>233</v>
      </c>
      <c r="G3013" t="s">
        <v>234</v>
      </c>
      <c r="H3013">
        <v>3</v>
      </c>
    </row>
    <row r="3014" spans="1:8" x14ac:dyDescent="0.25">
      <c r="A3014" t="s">
        <v>5811</v>
      </c>
      <c r="B3014" t="s">
        <v>5812</v>
      </c>
      <c r="C3014" t="s">
        <v>271</v>
      </c>
      <c r="D3014" t="s">
        <v>269</v>
      </c>
      <c r="E3014">
        <v>5.2359699999999999E-4</v>
      </c>
      <c r="F3014" t="s">
        <v>233</v>
      </c>
      <c r="G3014" t="s">
        <v>234</v>
      </c>
      <c r="H3014">
        <v>3</v>
      </c>
    </row>
    <row r="3015" spans="1:8" x14ac:dyDescent="0.25">
      <c r="A3015" t="s">
        <v>5813</v>
      </c>
      <c r="B3015" t="s">
        <v>5814</v>
      </c>
      <c r="C3015" t="s">
        <v>346</v>
      </c>
      <c r="D3015" t="s">
        <v>347</v>
      </c>
      <c r="E3015">
        <v>2.10657E-4</v>
      </c>
      <c r="F3015" t="s">
        <v>233</v>
      </c>
      <c r="G3015" t="s">
        <v>234</v>
      </c>
      <c r="H3015">
        <v>3</v>
      </c>
    </row>
    <row r="3016" spans="1:8" x14ac:dyDescent="0.25">
      <c r="A3016" t="s">
        <v>5815</v>
      </c>
      <c r="B3016" t="s">
        <v>5757</v>
      </c>
      <c r="C3016" t="s">
        <v>247</v>
      </c>
      <c r="D3016" t="s">
        <v>245</v>
      </c>
      <c r="E3016">
        <v>1.0475809999999999E-3</v>
      </c>
      <c r="F3016" t="s">
        <v>233</v>
      </c>
      <c r="G3016" t="s">
        <v>234</v>
      </c>
      <c r="H3016">
        <v>3</v>
      </c>
    </row>
    <row r="3017" spans="1:8" x14ac:dyDescent="0.25">
      <c r="A3017" t="s">
        <v>5816</v>
      </c>
      <c r="B3017" t="s">
        <v>5759</v>
      </c>
      <c r="C3017" t="s">
        <v>247</v>
      </c>
      <c r="D3017" t="s">
        <v>245</v>
      </c>
      <c r="E3017">
        <v>1.0475809999999999E-3</v>
      </c>
      <c r="F3017" t="s">
        <v>233</v>
      </c>
      <c r="G3017" t="s">
        <v>234</v>
      </c>
      <c r="H3017">
        <v>3</v>
      </c>
    </row>
    <row r="3018" spans="1:8" x14ac:dyDescent="0.25">
      <c r="A3018" t="s">
        <v>5817</v>
      </c>
      <c r="B3018" t="s">
        <v>5761</v>
      </c>
      <c r="C3018" t="s">
        <v>407</v>
      </c>
      <c r="D3018" t="s">
        <v>408</v>
      </c>
      <c r="E3018">
        <v>1.6713599999999999E-4</v>
      </c>
      <c r="F3018" t="s">
        <v>233</v>
      </c>
      <c r="G3018" t="s">
        <v>234</v>
      </c>
      <c r="H3018">
        <v>3</v>
      </c>
    </row>
    <row r="3019" spans="1:8" x14ac:dyDescent="0.25">
      <c r="A3019" t="s">
        <v>5818</v>
      </c>
      <c r="B3019" t="s">
        <v>5819</v>
      </c>
      <c r="C3019" t="s">
        <v>346</v>
      </c>
      <c r="D3019" t="s">
        <v>347</v>
      </c>
      <c r="E3019">
        <v>2.10657E-4</v>
      </c>
      <c r="F3019" t="s">
        <v>233</v>
      </c>
      <c r="G3019" t="s">
        <v>234</v>
      </c>
      <c r="H3019">
        <v>3</v>
      </c>
    </row>
    <row r="3020" spans="1:8" x14ac:dyDescent="0.25">
      <c r="A3020" t="s">
        <v>5820</v>
      </c>
      <c r="B3020" t="s">
        <v>5763</v>
      </c>
      <c r="C3020" t="s">
        <v>247</v>
      </c>
      <c r="D3020" t="s">
        <v>245</v>
      </c>
      <c r="E3020">
        <v>1.0475809999999999E-3</v>
      </c>
      <c r="F3020" t="s">
        <v>233</v>
      </c>
      <c r="G3020" t="s">
        <v>234</v>
      </c>
      <c r="H3020">
        <v>3</v>
      </c>
    </row>
    <row r="3021" spans="1:8" x14ac:dyDescent="0.25">
      <c r="A3021" t="s">
        <v>5821</v>
      </c>
      <c r="B3021" t="s">
        <v>5765</v>
      </c>
      <c r="C3021" t="s">
        <v>256</v>
      </c>
      <c r="D3021" t="s">
        <v>254</v>
      </c>
      <c r="E3021">
        <v>8.1312799999999998E-4</v>
      </c>
      <c r="F3021" t="s">
        <v>233</v>
      </c>
      <c r="G3021" t="s">
        <v>234</v>
      </c>
      <c r="H3021">
        <v>3</v>
      </c>
    </row>
    <row r="3022" spans="1:8" x14ac:dyDescent="0.25">
      <c r="A3022" t="s">
        <v>5822</v>
      </c>
      <c r="B3022" t="s">
        <v>5767</v>
      </c>
      <c r="C3022" t="s">
        <v>250</v>
      </c>
      <c r="D3022" t="s">
        <v>248</v>
      </c>
      <c r="E3022">
        <v>4.3868599999999998E-4</v>
      </c>
      <c r="F3022" t="s">
        <v>233</v>
      </c>
      <c r="G3022" t="s">
        <v>234</v>
      </c>
      <c r="H3022">
        <v>3</v>
      </c>
    </row>
    <row r="3023" spans="1:8" x14ac:dyDescent="0.25">
      <c r="A3023" t="s">
        <v>5823</v>
      </c>
      <c r="B3023" t="s">
        <v>5769</v>
      </c>
      <c r="C3023" t="s">
        <v>2885</v>
      </c>
      <c r="D3023" t="s">
        <v>2883</v>
      </c>
      <c r="E3023">
        <v>2.45865E-4</v>
      </c>
      <c r="F3023" t="s">
        <v>233</v>
      </c>
      <c r="G3023" t="s">
        <v>234</v>
      </c>
      <c r="H3023">
        <v>3</v>
      </c>
    </row>
    <row r="3024" spans="1:8" x14ac:dyDescent="0.25">
      <c r="A3024" t="s">
        <v>5824</v>
      </c>
      <c r="B3024" t="s">
        <v>5694</v>
      </c>
      <c r="C3024" t="s">
        <v>346</v>
      </c>
      <c r="D3024" t="s">
        <v>347</v>
      </c>
      <c r="E3024">
        <v>2.10657E-4</v>
      </c>
      <c r="F3024" t="s">
        <v>233</v>
      </c>
      <c r="G3024" t="s">
        <v>234</v>
      </c>
      <c r="H3024">
        <v>3</v>
      </c>
    </row>
    <row r="3025" spans="1:8" x14ac:dyDescent="0.25">
      <c r="A3025" t="s">
        <v>5825</v>
      </c>
      <c r="B3025" t="s">
        <v>5771</v>
      </c>
      <c r="C3025" t="s">
        <v>256</v>
      </c>
      <c r="D3025" t="s">
        <v>254</v>
      </c>
      <c r="E3025">
        <v>8.1312799999999998E-4</v>
      </c>
      <c r="F3025" t="s">
        <v>233</v>
      </c>
      <c r="G3025" t="s">
        <v>234</v>
      </c>
      <c r="H3025">
        <v>3</v>
      </c>
    </row>
    <row r="3026" spans="1:8" x14ac:dyDescent="0.25">
      <c r="A3026" t="s">
        <v>5826</v>
      </c>
      <c r="B3026" t="s">
        <v>5773</v>
      </c>
      <c r="C3026" t="s">
        <v>280</v>
      </c>
      <c r="D3026" t="s">
        <v>278</v>
      </c>
      <c r="E3026">
        <v>6.2829699999999999E-4</v>
      </c>
      <c r="F3026" t="s">
        <v>233</v>
      </c>
      <c r="G3026" t="s">
        <v>234</v>
      </c>
      <c r="H3026">
        <v>3</v>
      </c>
    </row>
    <row r="3027" spans="1:8" x14ac:dyDescent="0.25">
      <c r="A3027" t="s">
        <v>5827</v>
      </c>
      <c r="B3027" t="s">
        <v>5828</v>
      </c>
      <c r="C3027" t="s">
        <v>346</v>
      </c>
      <c r="D3027" t="s">
        <v>347</v>
      </c>
      <c r="E3027">
        <v>2.10657E-4</v>
      </c>
      <c r="F3027" t="s">
        <v>233</v>
      </c>
      <c r="G3027" t="s">
        <v>234</v>
      </c>
      <c r="H3027">
        <v>3</v>
      </c>
    </row>
    <row r="3028" spans="1:8" x14ac:dyDescent="0.25">
      <c r="A3028" t="s">
        <v>5829</v>
      </c>
      <c r="B3028" t="s">
        <v>5777</v>
      </c>
      <c r="C3028" t="s">
        <v>407</v>
      </c>
      <c r="D3028" t="s">
        <v>408</v>
      </c>
      <c r="E3028">
        <v>1.6713599999999999E-4</v>
      </c>
      <c r="F3028" t="s">
        <v>233</v>
      </c>
      <c r="G3028" t="s">
        <v>234</v>
      </c>
      <c r="H3028">
        <v>3</v>
      </c>
    </row>
    <row r="3029" spans="1:8" x14ac:dyDescent="0.25">
      <c r="A3029" t="s">
        <v>5830</v>
      </c>
      <c r="B3029" t="s">
        <v>5777</v>
      </c>
      <c r="C3029" t="s">
        <v>407</v>
      </c>
      <c r="D3029" t="s">
        <v>408</v>
      </c>
      <c r="E3029">
        <v>1.6713599999999999E-4</v>
      </c>
      <c r="F3029" t="s">
        <v>233</v>
      </c>
      <c r="G3029" t="s">
        <v>234</v>
      </c>
      <c r="H3029">
        <v>3</v>
      </c>
    </row>
    <row r="3030" spans="1:8" x14ac:dyDescent="0.25">
      <c r="A3030" t="s">
        <v>5831</v>
      </c>
      <c r="B3030" t="s">
        <v>5832</v>
      </c>
      <c r="C3030" t="s">
        <v>346</v>
      </c>
      <c r="D3030" t="s">
        <v>347</v>
      </c>
      <c r="E3030">
        <v>2.10657E-4</v>
      </c>
      <c r="F3030" t="s">
        <v>233</v>
      </c>
      <c r="G3030" t="s">
        <v>234</v>
      </c>
      <c r="H3030">
        <v>3</v>
      </c>
    </row>
    <row r="3031" spans="1:8" x14ac:dyDescent="0.25">
      <c r="A3031" t="s">
        <v>5833</v>
      </c>
      <c r="B3031" t="s">
        <v>5781</v>
      </c>
      <c r="C3031" t="s">
        <v>295</v>
      </c>
      <c r="D3031" t="s">
        <v>293</v>
      </c>
      <c r="E3031">
        <v>4.8170899999999998E-4</v>
      </c>
      <c r="F3031" t="s">
        <v>233</v>
      </c>
      <c r="G3031" t="s">
        <v>234</v>
      </c>
      <c r="H3031">
        <v>3</v>
      </c>
    </row>
    <row r="3032" spans="1:8" x14ac:dyDescent="0.25">
      <c r="A3032" t="s">
        <v>5834</v>
      </c>
      <c r="B3032" t="s">
        <v>5835</v>
      </c>
      <c r="C3032" t="s">
        <v>346</v>
      </c>
      <c r="D3032" t="s">
        <v>347</v>
      </c>
      <c r="E3032">
        <v>2.10657E-4</v>
      </c>
      <c r="F3032" t="s">
        <v>233</v>
      </c>
      <c r="G3032" t="s">
        <v>234</v>
      </c>
      <c r="H3032">
        <v>3</v>
      </c>
    </row>
    <row r="3033" spans="1:8" x14ac:dyDescent="0.25">
      <c r="A3033" t="s">
        <v>5836</v>
      </c>
      <c r="B3033" t="s">
        <v>5837</v>
      </c>
      <c r="C3033" t="s">
        <v>346</v>
      </c>
      <c r="D3033" t="s">
        <v>347</v>
      </c>
      <c r="E3033">
        <v>2.10657E-4</v>
      </c>
      <c r="F3033" t="s">
        <v>233</v>
      </c>
      <c r="G3033" t="s">
        <v>234</v>
      </c>
      <c r="H3033">
        <v>3</v>
      </c>
    </row>
    <row r="3034" spans="1:8" x14ac:dyDescent="0.25">
      <c r="A3034" t="s">
        <v>5838</v>
      </c>
      <c r="B3034" t="s">
        <v>5839</v>
      </c>
      <c r="C3034" t="s">
        <v>346</v>
      </c>
      <c r="D3034" t="s">
        <v>347</v>
      </c>
      <c r="E3034">
        <v>2.10657E-4</v>
      </c>
      <c r="F3034" t="s">
        <v>233</v>
      </c>
      <c r="G3034" t="s">
        <v>234</v>
      </c>
      <c r="H3034">
        <v>3</v>
      </c>
    </row>
    <row r="3035" spans="1:8" x14ac:dyDescent="0.25">
      <c r="A3035" t="s">
        <v>5840</v>
      </c>
      <c r="B3035" t="s">
        <v>5785</v>
      </c>
      <c r="C3035" t="s">
        <v>737</v>
      </c>
      <c r="D3035" t="s">
        <v>738</v>
      </c>
      <c r="E3035">
        <v>1.81306E-4</v>
      </c>
      <c r="F3035" t="s">
        <v>233</v>
      </c>
      <c r="G3035" t="s">
        <v>234</v>
      </c>
      <c r="H3035">
        <v>3</v>
      </c>
    </row>
    <row r="3036" spans="1:8" x14ac:dyDescent="0.25">
      <c r="A3036" t="s">
        <v>5841</v>
      </c>
      <c r="B3036" t="s">
        <v>4704</v>
      </c>
      <c r="C3036" t="s">
        <v>256</v>
      </c>
      <c r="D3036" t="s">
        <v>254</v>
      </c>
      <c r="E3036">
        <v>8.1312799999999998E-4</v>
      </c>
      <c r="F3036" t="s">
        <v>233</v>
      </c>
      <c r="G3036" t="s">
        <v>234</v>
      </c>
      <c r="H3036">
        <v>3</v>
      </c>
    </row>
    <row r="3037" spans="1:8" x14ac:dyDescent="0.25">
      <c r="A3037" t="s">
        <v>5842</v>
      </c>
      <c r="B3037" t="s">
        <v>5843</v>
      </c>
      <c r="C3037" t="s">
        <v>346</v>
      </c>
      <c r="D3037" t="s">
        <v>347</v>
      </c>
      <c r="E3037">
        <v>0</v>
      </c>
      <c r="F3037" t="s">
        <v>233</v>
      </c>
      <c r="G3037" t="s">
        <v>234</v>
      </c>
      <c r="H3037">
        <v>3</v>
      </c>
    </row>
    <row r="3038" spans="1:8" x14ac:dyDescent="0.25">
      <c r="A3038" t="s">
        <v>5844</v>
      </c>
      <c r="B3038" t="s">
        <v>5843</v>
      </c>
      <c r="C3038" t="s">
        <v>346</v>
      </c>
      <c r="D3038" t="s">
        <v>347</v>
      </c>
      <c r="E3038">
        <v>0</v>
      </c>
      <c r="F3038" t="s">
        <v>233</v>
      </c>
      <c r="G3038" t="s">
        <v>234</v>
      </c>
      <c r="H3038">
        <v>3</v>
      </c>
    </row>
    <row r="3039" spans="1:8" x14ac:dyDescent="0.25">
      <c r="A3039" t="s">
        <v>5860</v>
      </c>
      <c r="B3039" t="s">
        <v>5860</v>
      </c>
      <c r="C3039" t="s">
        <v>283</v>
      </c>
      <c r="D3039" t="s">
        <v>281</v>
      </c>
      <c r="E3039">
        <v>5.4019300000000001E-4</v>
      </c>
      <c r="F3039" t="s">
        <v>233</v>
      </c>
      <c r="G3039" t="s">
        <v>234</v>
      </c>
      <c r="H3039">
        <v>3</v>
      </c>
    </row>
    <row r="3040" spans="1:8" x14ac:dyDescent="0.25">
      <c r="A3040" t="s">
        <v>5861</v>
      </c>
      <c r="B3040" t="s">
        <v>324</v>
      </c>
      <c r="C3040" t="s">
        <v>241</v>
      </c>
      <c r="D3040" t="s">
        <v>239</v>
      </c>
      <c r="E3040">
        <v>4.9712300000000003E-4</v>
      </c>
      <c r="F3040" t="s">
        <v>233</v>
      </c>
      <c r="G3040" t="s">
        <v>234</v>
      </c>
      <c r="H3040">
        <v>3</v>
      </c>
    </row>
    <row r="3041" spans="1:8" x14ac:dyDescent="0.25">
      <c r="A3041" t="s">
        <v>5862</v>
      </c>
      <c r="B3041" t="s">
        <v>5862</v>
      </c>
      <c r="C3041" t="s">
        <v>286</v>
      </c>
      <c r="D3041" t="s">
        <v>284</v>
      </c>
      <c r="E3041">
        <v>2.5428000000000001E-4</v>
      </c>
      <c r="F3041" t="s">
        <v>233</v>
      </c>
      <c r="G3041" t="s">
        <v>234</v>
      </c>
      <c r="H3041">
        <v>3</v>
      </c>
    </row>
    <row r="3042" spans="1:8" x14ac:dyDescent="0.25">
      <c r="A3042" t="s">
        <v>5863</v>
      </c>
      <c r="B3042" t="s">
        <v>5863</v>
      </c>
      <c r="C3042" t="s">
        <v>274</v>
      </c>
      <c r="D3042" t="s">
        <v>272</v>
      </c>
      <c r="E3042">
        <v>6.1713999999999996E-4</v>
      </c>
      <c r="F3042" t="s">
        <v>233</v>
      </c>
      <c r="G3042" t="s">
        <v>234</v>
      </c>
      <c r="H3042">
        <v>3</v>
      </c>
    </row>
    <row r="3043" spans="1:8" x14ac:dyDescent="0.25">
      <c r="A3043" t="s">
        <v>5864</v>
      </c>
      <c r="B3043" t="s">
        <v>5864</v>
      </c>
      <c r="C3043" t="s">
        <v>307</v>
      </c>
      <c r="D3043" t="s">
        <v>305</v>
      </c>
      <c r="E3043">
        <v>6.3372199999999997E-4</v>
      </c>
      <c r="F3043" t="s">
        <v>233</v>
      </c>
      <c r="G3043" t="s">
        <v>234</v>
      </c>
      <c r="H3043">
        <v>3</v>
      </c>
    </row>
    <row r="3044" spans="1:8" x14ac:dyDescent="0.25">
      <c r="A3044" t="s">
        <v>5865</v>
      </c>
      <c r="B3044" t="s">
        <v>5865</v>
      </c>
      <c r="C3044" t="s">
        <v>301</v>
      </c>
      <c r="D3044" t="s">
        <v>299</v>
      </c>
      <c r="E3044">
        <v>6.3590900000000004E-4</v>
      </c>
      <c r="F3044" t="s">
        <v>233</v>
      </c>
      <c r="G3044" t="s">
        <v>234</v>
      </c>
      <c r="H3044">
        <v>3</v>
      </c>
    </row>
    <row r="3045" spans="1:8" x14ac:dyDescent="0.25">
      <c r="A3045" t="s">
        <v>5866</v>
      </c>
      <c r="B3045" t="s">
        <v>5866</v>
      </c>
      <c r="C3045" t="s">
        <v>271</v>
      </c>
      <c r="D3045" t="s">
        <v>269</v>
      </c>
      <c r="E3045">
        <v>5.2359699999999999E-4</v>
      </c>
      <c r="F3045" t="s">
        <v>233</v>
      </c>
      <c r="G3045" t="s">
        <v>234</v>
      </c>
      <c r="H3045">
        <v>3</v>
      </c>
    </row>
    <row r="3046" spans="1:8" x14ac:dyDescent="0.25">
      <c r="A3046" t="s">
        <v>5867</v>
      </c>
      <c r="B3046" t="s">
        <v>5867</v>
      </c>
      <c r="C3046" t="s">
        <v>271</v>
      </c>
      <c r="D3046" t="s">
        <v>269</v>
      </c>
      <c r="E3046">
        <v>5.2359699999999999E-4</v>
      </c>
      <c r="F3046" t="s">
        <v>233</v>
      </c>
      <c r="G3046" t="s">
        <v>234</v>
      </c>
      <c r="H3046">
        <v>3</v>
      </c>
    </row>
    <row r="3047" spans="1:8" x14ac:dyDescent="0.25">
      <c r="A3047" t="s">
        <v>5868</v>
      </c>
      <c r="B3047" t="s">
        <v>5868</v>
      </c>
      <c r="C3047" t="s">
        <v>271</v>
      </c>
      <c r="D3047" t="s">
        <v>269</v>
      </c>
      <c r="E3047">
        <v>5.2359699999999999E-4</v>
      </c>
      <c r="F3047" t="s">
        <v>233</v>
      </c>
      <c r="G3047" t="s">
        <v>234</v>
      </c>
      <c r="H3047">
        <v>3</v>
      </c>
    </row>
    <row r="3048" spans="1:8" x14ac:dyDescent="0.25">
      <c r="A3048" t="s">
        <v>5869</v>
      </c>
      <c r="B3048" t="s">
        <v>5869</v>
      </c>
      <c r="C3048" t="s">
        <v>271</v>
      </c>
      <c r="D3048" t="s">
        <v>269</v>
      </c>
      <c r="E3048">
        <v>5.2359699999999999E-4</v>
      </c>
      <c r="F3048" t="s">
        <v>233</v>
      </c>
      <c r="G3048" t="s">
        <v>234</v>
      </c>
      <c r="H3048">
        <v>3</v>
      </c>
    </row>
    <row r="3049" spans="1:8" x14ac:dyDescent="0.25">
      <c r="A3049" t="s">
        <v>5870</v>
      </c>
      <c r="B3049" t="s">
        <v>5870</v>
      </c>
      <c r="C3049" t="s">
        <v>271</v>
      </c>
      <c r="D3049" t="s">
        <v>269</v>
      </c>
      <c r="E3049">
        <v>5.2359699999999999E-4</v>
      </c>
      <c r="F3049" t="s">
        <v>233</v>
      </c>
      <c r="G3049" t="s">
        <v>234</v>
      </c>
      <c r="H3049">
        <v>3</v>
      </c>
    </row>
    <row r="3050" spans="1:8" x14ac:dyDescent="0.25">
      <c r="A3050" t="s">
        <v>5871</v>
      </c>
      <c r="B3050" t="s">
        <v>5871</v>
      </c>
      <c r="C3050" t="s">
        <v>271</v>
      </c>
      <c r="D3050" t="s">
        <v>269</v>
      </c>
      <c r="E3050">
        <v>5.2359699999999999E-4</v>
      </c>
      <c r="F3050" t="s">
        <v>233</v>
      </c>
      <c r="G3050" t="s">
        <v>234</v>
      </c>
      <c r="H3050">
        <v>3</v>
      </c>
    </row>
    <row r="3051" spans="1:8" x14ac:dyDescent="0.25">
      <c r="A3051" t="s">
        <v>5872</v>
      </c>
      <c r="B3051" t="s">
        <v>5872</v>
      </c>
      <c r="C3051" t="s">
        <v>271</v>
      </c>
      <c r="D3051" t="s">
        <v>269</v>
      </c>
      <c r="E3051">
        <v>5.2359699999999999E-4</v>
      </c>
      <c r="F3051" t="s">
        <v>233</v>
      </c>
      <c r="G3051" t="s">
        <v>234</v>
      </c>
      <c r="H3051">
        <v>3</v>
      </c>
    </row>
    <row r="3052" spans="1:8" x14ac:dyDescent="0.25">
      <c r="A3052" t="s">
        <v>5873</v>
      </c>
      <c r="B3052" t="s">
        <v>5873</v>
      </c>
      <c r="C3052" t="s">
        <v>271</v>
      </c>
      <c r="D3052" t="s">
        <v>269</v>
      </c>
      <c r="E3052">
        <v>5.2359699999999999E-4</v>
      </c>
      <c r="F3052" t="s">
        <v>233</v>
      </c>
      <c r="G3052" t="s">
        <v>234</v>
      </c>
      <c r="H3052">
        <v>3</v>
      </c>
    </row>
    <row r="3053" spans="1:8" x14ac:dyDescent="0.25">
      <c r="A3053" t="s">
        <v>5874</v>
      </c>
      <c r="B3053" t="s">
        <v>5874</v>
      </c>
      <c r="C3053" t="s">
        <v>271</v>
      </c>
      <c r="D3053" t="s">
        <v>269</v>
      </c>
      <c r="E3053">
        <v>5.2359699999999999E-4</v>
      </c>
      <c r="F3053" t="s">
        <v>233</v>
      </c>
      <c r="G3053" t="s">
        <v>234</v>
      </c>
      <c r="H3053">
        <v>3</v>
      </c>
    </row>
    <row r="3054" spans="1:8" x14ac:dyDescent="0.25">
      <c r="A3054" t="s">
        <v>5875</v>
      </c>
      <c r="B3054" t="s">
        <v>5875</v>
      </c>
      <c r="C3054" t="s">
        <v>271</v>
      </c>
      <c r="D3054" t="s">
        <v>269</v>
      </c>
      <c r="E3054">
        <v>5.2359699999999999E-4</v>
      </c>
      <c r="F3054" t="s">
        <v>233</v>
      </c>
      <c r="G3054" t="s">
        <v>234</v>
      </c>
      <c r="H3054">
        <v>3</v>
      </c>
    </row>
    <row r="3055" spans="1:8" x14ac:dyDescent="0.25">
      <c r="A3055" t="s">
        <v>5876</v>
      </c>
      <c r="B3055" t="s">
        <v>5876</v>
      </c>
      <c r="C3055" t="s">
        <v>271</v>
      </c>
      <c r="D3055" t="s">
        <v>269</v>
      </c>
      <c r="E3055">
        <v>5.2359699999999999E-4</v>
      </c>
      <c r="F3055" t="s">
        <v>233</v>
      </c>
      <c r="G3055" t="s">
        <v>234</v>
      </c>
      <c r="H3055">
        <v>3</v>
      </c>
    </row>
    <row r="3056" spans="1:8" x14ac:dyDescent="0.25">
      <c r="A3056" t="s">
        <v>5877</v>
      </c>
      <c r="B3056" t="s">
        <v>5877</v>
      </c>
      <c r="C3056" t="s">
        <v>271</v>
      </c>
      <c r="D3056" t="s">
        <v>269</v>
      </c>
      <c r="E3056">
        <v>5.2359699999999999E-4</v>
      </c>
      <c r="F3056" t="s">
        <v>233</v>
      </c>
      <c r="G3056" t="s">
        <v>234</v>
      </c>
      <c r="H3056">
        <v>3</v>
      </c>
    </row>
    <row r="3057" spans="1:8" x14ac:dyDescent="0.25">
      <c r="A3057" t="s">
        <v>5878</v>
      </c>
      <c r="B3057" t="s">
        <v>5878</v>
      </c>
      <c r="C3057" t="s">
        <v>271</v>
      </c>
      <c r="D3057" t="s">
        <v>269</v>
      </c>
      <c r="E3057">
        <v>5.2359699999999999E-4</v>
      </c>
      <c r="F3057" t="s">
        <v>233</v>
      </c>
      <c r="G3057" t="s">
        <v>234</v>
      </c>
      <c r="H3057">
        <v>3</v>
      </c>
    </row>
    <row r="3058" spans="1:8" x14ac:dyDescent="0.25">
      <c r="A3058" t="s">
        <v>5879</v>
      </c>
      <c r="B3058" t="s">
        <v>5879</v>
      </c>
      <c r="C3058" t="s">
        <v>271</v>
      </c>
      <c r="D3058" t="s">
        <v>269</v>
      </c>
      <c r="E3058">
        <v>5.2359699999999999E-4</v>
      </c>
      <c r="F3058" t="s">
        <v>233</v>
      </c>
      <c r="G3058" t="s">
        <v>234</v>
      </c>
      <c r="H3058">
        <v>3</v>
      </c>
    </row>
    <row r="3059" spans="1:8" x14ac:dyDescent="0.25">
      <c r="A3059" t="s">
        <v>5880</v>
      </c>
      <c r="B3059" t="s">
        <v>5880</v>
      </c>
      <c r="C3059" t="s">
        <v>271</v>
      </c>
      <c r="D3059" t="s">
        <v>269</v>
      </c>
      <c r="E3059">
        <v>5.2359699999999999E-4</v>
      </c>
      <c r="F3059" t="s">
        <v>233</v>
      </c>
      <c r="G3059" t="s">
        <v>234</v>
      </c>
      <c r="H3059">
        <v>3</v>
      </c>
    </row>
    <row r="3060" spans="1:8" x14ac:dyDescent="0.25">
      <c r="A3060" t="s">
        <v>5881</v>
      </c>
      <c r="B3060" t="s">
        <v>5881</v>
      </c>
      <c r="C3060" t="s">
        <v>271</v>
      </c>
      <c r="D3060" t="s">
        <v>269</v>
      </c>
      <c r="E3060">
        <v>5.2359699999999999E-4</v>
      </c>
      <c r="F3060" t="s">
        <v>233</v>
      </c>
      <c r="G3060" t="s">
        <v>234</v>
      </c>
      <c r="H3060">
        <v>3</v>
      </c>
    </row>
    <row r="3061" spans="1:8" x14ac:dyDescent="0.25">
      <c r="A3061" t="s">
        <v>5882</v>
      </c>
      <c r="B3061" t="s">
        <v>5882</v>
      </c>
      <c r="C3061" t="s">
        <v>271</v>
      </c>
      <c r="D3061" t="s">
        <v>269</v>
      </c>
      <c r="E3061">
        <v>5.2359699999999999E-4</v>
      </c>
      <c r="F3061" t="s">
        <v>233</v>
      </c>
      <c r="G3061" t="s">
        <v>234</v>
      </c>
      <c r="H3061">
        <v>3</v>
      </c>
    </row>
    <row r="3062" spans="1:8" x14ac:dyDescent="0.25">
      <c r="A3062" t="s">
        <v>5883</v>
      </c>
      <c r="B3062" t="s">
        <v>5883</v>
      </c>
      <c r="C3062" t="s">
        <v>271</v>
      </c>
      <c r="D3062" t="s">
        <v>269</v>
      </c>
      <c r="E3062">
        <v>5.2359699999999999E-4</v>
      </c>
      <c r="F3062" t="s">
        <v>233</v>
      </c>
      <c r="G3062" t="s">
        <v>234</v>
      </c>
      <c r="H3062">
        <v>3</v>
      </c>
    </row>
    <row r="3063" spans="1:8" x14ac:dyDescent="0.25">
      <c r="A3063" t="s">
        <v>5884</v>
      </c>
      <c r="B3063" t="s">
        <v>5884</v>
      </c>
      <c r="C3063" t="s">
        <v>301</v>
      </c>
      <c r="D3063" t="s">
        <v>299</v>
      </c>
      <c r="E3063">
        <v>6.3590900000000004E-4</v>
      </c>
      <c r="F3063" t="s">
        <v>233</v>
      </c>
      <c r="G3063" t="s">
        <v>234</v>
      </c>
      <c r="H3063">
        <v>3</v>
      </c>
    </row>
    <row r="3064" spans="1:8" x14ac:dyDescent="0.25">
      <c r="A3064" t="s">
        <v>5885</v>
      </c>
      <c r="B3064" t="s">
        <v>5885</v>
      </c>
      <c r="C3064" t="s">
        <v>271</v>
      </c>
      <c r="D3064" t="s">
        <v>269</v>
      </c>
      <c r="E3064">
        <v>5.2359699999999999E-4</v>
      </c>
      <c r="F3064" t="s">
        <v>233</v>
      </c>
      <c r="G3064" t="s">
        <v>234</v>
      </c>
      <c r="H3064">
        <v>3</v>
      </c>
    </row>
    <row r="3065" spans="1:8" x14ac:dyDescent="0.25">
      <c r="A3065" t="s">
        <v>5886</v>
      </c>
      <c r="B3065" t="s">
        <v>5886</v>
      </c>
      <c r="C3065" t="s">
        <v>271</v>
      </c>
      <c r="D3065" t="s">
        <v>269</v>
      </c>
      <c r="E3065">
        <v>5.2359699999999999E-4</v>
      </c>
      <c r="F3065" t="s">
        <v>233</v>
      </c>
      <c r="G3065" t="s">
        <v>234</v>
      </c>
      <c r="H3065">
        <v>3</v>
      </c>
    </row>
    <row r="3066" spans="1:8" x14ac:dyDescent="0.25">
      <c r="A3066" t="s">
        <v>5887</v>
      </c>
      <c r="B3066" t="s">
        <v>5887</v>
      </c>
      <c r="C3066" t="s">
        <v>271</v>
      </c>
      <c r="D3066" t="s">
        <v>269</v>
      </c>
      <c r="E3066">
        <v>5.2359699999999999E-4</v>
      </c>
      <c r="F3066" t="s">
        <v>233</v>
      </c>
      <c r="G3066" t="s">
        <v>234</v>
      </c>
      <c r="H3066">
        <v>3</v>
      </c>
    </row>
    <row r="3067" spans="1:8" x14ac:dyDescent="0.25">
      <c r="A3067" t="s">
        <v>5888</v>
      </c>
      <c r="B3067" t="s">
        <v>5888</v>
      </c>
      <c r="C3067" t="s">
        <v>271</v>
      </c>
      <c r="D3067" t="s">
        <v>269</v>
      </c>
      <c r="E3067">
        <v>5.2359699999999999E-4</v>
      </c>
      <c r="F3067" t="s">
        <v>233</v>
      </c>
      <c r="G3067" t="s">
        <v>234</v>
      </c>
      <c r="H3067">
        <v>3</v>
      </c>
    </row>
    <row r="3068" spans="1:8" x14ac:dyDescent="0.25">
      <c r="A3068" t="s">
        <v>5889</v>
      </c>
      <c r="B3068" t="s">
        <v>5889</v>
      </c>
      <c r="C3068" t="s">
        <v>271</v>
      </c>
      <c r="D3068" t="s">
        <v>269</v>
      </c>
      <c r="E3068">
        <v>5.2359699999999999E-4</v>
      </c>
      <c r="F3068" t="s">
        <v>233</v>
      </c>
      <c r="G3068" t="s">
        <v>234</v>
      </c>
      <c r="H3068">
        <v>3</v>
      </c>
    </row>
    <row r="3069" spans="1:8" x14ac:dyDescent="0.25">
      <c r="A3069" t="s">
        <v>5890</v>
      </c>
      <c r="B3069" t="s">
        <v>5890</v>
      </c>
      <c r="C3069" t="s">
        <v>346</v>
      </c>
      <c r="D3069" t="s">
        <v>347</v>
      </c>
      <c r="E3069">
        <v>2.10657E-4</v>
      </c>
      <c r="F3069" t="s">
        <v>233</v>
      </c>
      <c r="G3069" t="s">
        <v>234</v>
      </c>
      <c r="H3069">
        <v>3</v>
      </c>
    </row>
    <row r="3070" spans="1:8" x14ac:dyDescent="0.25">
      <c r="A3070" t="s">
        <v>930</v>
      </c>
      <c r="B3070" t="s">
        <v>930</v>
      </c>
      <c r="C3070" t="s">
        <v>256</v>
      </c>
      <c r="D3070" t="s">
        <v>254</v>
      </c>
      <c r="E3070">
        <v>8.1312799999999998E-4</v>
      </c>
      <c r="F3070" t="s">
        <v>233</v>
      </c>
      <c r="G3070" t="s">
        <v>234</v>
      </c>
      <c r="H3070">
        <v>3</v>
      </c>
    </row>
    <row r="3071" spans="1:8" x14ac:dyDescent="0.25">
      <c r="A3071" t="s">
        <v>5512</v>
      </c>
      <c r="B3071" t="s">
        <v>5512</v>
      </c>
      <c r="C3071" t="s">
        <v>280</v>
      </c>
      <c r="D3071" t="s">
        <v>278</v>
      </c>
      <c r="E3071">
        <v>6.2829699999999999E-4</v>
      </c>
      <c r="F3071" t="s">
        <v>233</v>
      </c>
      <c r="G3071" t="s">
        <v>234</v>
      </c>
      <c r="H3071">
        <v>3</v>
      </c>
    </row>
    <row r="3072" spans="1:8" x14ac:dyDescent="0.25">
      <c r="A3072" t="s">
        <v>606</v>
      </c>
      <c r="B3072" t="s">
        <v>606</v>
      </c>
      <c r="C3072" t="s">
        <v>280</v>
      </c>
      <c r="D3072" t="s">
        <v>278</v>
      </c>
      <c r="E3072">
        <v>6.2829699999999999E-4</v>
      </c>
      <c r="F3072" t="s">
        <v>233</v>
      </c>
      <c r="G3072" t="s">
        <v>234</v>
      </c>
      <c r="H3072">
        <v>3</v>
      </c>
    </row>
    <row r="3073" spans="1:8" x14ac:dyDescent="0.25">
      <c r="A3073" t="s">
        <v>613</v>
      </c>
      <c r="B3073" t="s">
        <v>613</v>
      </c>
      <c r="C3073" t="s">
        <v>265</v>
      </c>
      <c r="D3073" t="s">
        <v>263</v>
      </c>
      <c r="E3073">
        <v>3.0449399999999999E-4</v>
      </c>
      <c r="F3073" t="s">
        <v>233</v>
      </c>
      <c r="G3073" t="s">
        <v>234</v>
      </c>
      <c r="H3073">
        <v>3</v>
      </c>
    </row>
    <row r="3074" spans="1:8" x14ac:dyDescent="0.25">
      <c r="A3074" t="s">
        <v>1403</v>
      </c>
      <c r="B3074" t="s">
        <v>1403</v>
      </c>
      <c r="C3074" t="s">
        <v>280</v>
      </c>
      <c r="D3074" t="s">
        <v>278</v>
      </c>
      <c r="E3074">
        <v>6.2829699999999999E-4</v>
      </c>
      <c r="F3074" t="s">
        <v>233</v>
      </c>
      <c r="G3074" t="s">
        <v>234</v>
      </c>
      <c r="H3074">
        <v>3</v>
      </c>
    </row>
    <row r="3075" spans="1:8" x14ac:dyDescent="0.25">
      <c r="A3075" t="s">
        <v>608</v>
      </c>
      <c r="B3075" t="s">
        <v>608</v>
      </c>
      <c r="C3075" t="s">
        <v>265</v>
      </c>
      <c r="D3075" t="s">
        <v>263</v>
      </c>
      <c r="E3075">
        <v>3.0449399999999999E-4</v>
      </c>
      <c r="F3075" t="s">
        <v>233</v>
      </c>
      <c r="G3075" t="s">
        <v>234</v>
      </c>
      <c r="H3075">
        <v>3</v>
      </c>
    </row>
    <row r="3076" spans="1:8" x14ac:dyDescent="0.25">
      <c r="A3076" t="s">
        <v>621</v>
      </c>
      <c r="B3076" t="s">
        <v>621</v>
      </c>
      <c r="C3076" t="s">
        <v>256</v>
      </c>
      <c r="D3076" t="s">
        <v>254</v>
      </c>
      <c r="E3076">
        <v>8.1312799999999998E-4</v>
      </c>
      <c r="F3076" t="s">
        <v>233</v>
      </c>
      <c r="G3076" t="s">
        <v>234</v>
      </c>
      <c r="H3076">
        <v>3</v>
      </c>
    </row>
    <row r="3077" spans="1:8" x14ac:dyDescent="0.25">
      <c r="A3077" t="s">
        <v>1406</v>
      </c>
      <c r="B3077" t="s">
        <v>1406</v>
      </c>
      <c r="C3077" t="s">
        <v>280</v>
      </c>
      <c r="D3077" t="s">
        <v>278</v>
      </c>
      <c r="E3077">
        <v>6.2829699999999999E-4</v>
      </c>
      <c r="F3077" t="s">
        <v>233</v>
      </c>
      <c r="G3077" t="s">
        <v>234</v>
      </c>
      <c r="H3077">
        <v>3</v>
      </c>
    </row>
    <row r="3078" spans="1:8" x14ac:dyDescent="0.25">
      <c r="A3078" t="s">
        <v>5891</v>
      </c>
      <c r="B3078" t="s">
        <v>5891</v>
      </c>
      <c r="C3078" t="s">
        <v>407</v>
      </c>
      <c r="D3078" t="s">
        <v>408</v>
      </c>
      <c r="E3078">
        <v>1.6713599999999999E-4</v>
      </c>
      <c r="F3078" t="s">
        <v>233</v>
      </c>
      <c r="G3078" t="s">
        <v>234</v>
      </c>
      <c r="H3078">
        <v>3</v>
      </c>
    </row>
    <row r="3079" spans="1:8" x14ac:dyDescent="0.25">
      <c r="A3079" t="s">
        <v>625</v>
      </c>
      <c r="B3079" t="s">
        <v>625</v>
      </c>
      <c r="C3079" t="s">
        <v>280</v>
      </c>
      <c r="D3079" t="s">
        <v>278</v>
      </c>
      <c r="E3079">
        <v>6.2829699999999999E-4</v>
      </c>
      <c r="F3079" t="s">
        <v>233</v>
      </c>
      <c r="G3079" t="s">
        <v>234</v>
      </c>
      <c r="H3079">
        <v>3</v>
      </c>
    </row>
    <row r="3080" spans="1:8" x14ac:dyDescent="0.25">
      <c r="A3080" t="s">
        <v>1250</v>
      </c>
      <c r="B3080" t="s">
        <v>1250</v>
      </c>
      <c r="C3080" t="s">
        <v>280</v>
      </c>
      <c r="D3080" t="s">
        <v>278</v>
      </c>
      <c r="E3080">
        <v>6.2829699999999999E-4</v>
      </c>
      <c r="F3080" t="s">
        <v>233</v>
      </c>
      <c r="G3080" t="s">
        <v>234</v>
      </c>
      <c r="H3080">
        <v>3</v>
      </c>
    </row>
    <row r="3081" spans="1:8" x14ac:dyDescent="0.25">
      <c r="A3081" t="s">
        <v>1113</v>
      </c>
      <c r="B3081" t="s">
        <v>1113</v>
      </c>
      <c r="C3081" t="s">
        <v>271</v>
      </c>
      <c r="D3081" t="s">
        <v>269</v>
      </c>
      <c r="E3081">
        <v>5.2359699999999999E-4</v>
      </c>
      <c r="F3081" t="s">
        <v>233</v>
      </c>
      <c r="G3081" t="s">
        <v>234</v>
      </c>
      <c r="H3081">
        <v>3</v>
      </c>
    </row>
    <row r="3082" spans="1:8" x14ac:dyDescent="0.25">
      <c r="A3082" t="s">
        <v>5892</v>
      </c>
      <c r="B3082" t="s">
        <v>5892</v>
      </c>
      <c r="C3082" t="s">
        <v>268</v>
      </c>
      <c r="D3082" t="s">
        <v>266</v>
      </c>
      <c r="E3082">
        <v>5.4511299999999996E-4</v>
      </c>
      <c r="F3082" t="s">
        <v>233</v>
      </c>
      <c r="G3082" t="s">
        <v>234</v>
      </c>
      <c r="H3082">
        <v>3</v>
      </c>
    </row>
    <row r="3083" spans="1:8" x14ac:dyDescent="0.25">
      <c r="A3083" t="s">
        <v>5893</v>
      </c>
      <c r="B3083" t="s">
        <v>5893</v>
      </c>
      <c r="C3083" t="s">
        <v>274</v>
      </c>
      <c r="D3083" t="s">
        <v>272</v>
      </c>
      <c r="E3083">
        <v>6.1713999999999996E-4</v>
      </c>
      <c r="F3083" t="s">
        <v>233</v>
      </c>
      <c r="G3083" t="s">
        <v>234</v>
      </c>
      <c r="H3083">
        <v>3</v>
      </c>
    </row>
    <row r="3084" spans="1:8" x14ac:dyDescent="0.25">
      <c r="A3084" t="s">
        <v>5894</v>
      </c>
      <c r="B3084" t="s">
        <v>5894</v>
      </c>
      <c r="C3084" t="s">
        <v>465</v>
      </c>
      <c r="D3084" t="s">
        <v>466</v>
      </c>
      <c r="E3084">
        <v>2.2128299999999999E-4</v>
      </c>
      <c r="F3084" t="s">
        <v>233</v>
      </c>
      <c r="G3084" t="s">
        <v>234</v>
      </c>
      <c r="H3084">
        <v>3</v>
      </c>
    </row>
    <row r="3085" spans="1:8" x14ac:dyDescent="0.25">
      <c r="A3085" t="s">
        <v>5895</v>
      </c>
      <c r="B3085" t="s">
        <v>5895</v>
      </c>
      <c r="C3085" t="s">
        <v>465</v>
      </c>
      <c r="D3085" t="s">
        <v>466</v>
      </c>
      <c r="E3085">
        <v>2.2128299999999999E-4</v>
      </c>
      <c r="F3085" t="s">
        <v>233</v>
      </c>
      <c r="G3085" t="s">
        <v>234</v>
      </c>
      <c r="H3085">
        <v>3</v>
      </c>
    </row>
    <row r="3086" spans="1:8" x14ac:dyDescent="0.25">
      <c r="A3086" t="s">
        <v>5896</v>
      </c>
      <c r="B3086" t="s">
        <v>5896</v>
      </c>
      <c r="C3086" t="s">
        <v>465</v>
      </c>
      <c r="D3086" t="s">
        <v>466</v>
      </c>
      <c r="E3086">
        <v>2.2128299999999999E-4</v>
      </c>
      <c r="F3086" t="s">
        <v>233</v>
      </c>
      <c r="G3086" t="s">
        <v>234</v>
      </c>
      <c r="H3086">
        <v>3</v>
      </c>
    </row>
    <row r="3087" spans="1:8" x14ac:dyDescent="0.25">
      <c r="A3087" t="s">
        <v>5897</v>
      </c>
      <c r="B3087" t="s">
        <v>5897</v>
      </c>
      <c r="C3087" t="s">
        <v>346</v>
      </c>
      <c r="D3087" t="s">
        <v>347</v>
      </c>
      <c r="E3087">
        <v>2.10657E-4</v>
      </c>
      <c r="F3087" t="s">
        <v>233</v>
      </c>
      <c r="G3087" t="s">
        <v>234</v>
      </c>
      <c r="H3087">
        <v>3</v>
      </c>
    </row>
    <row r="3088" spans="1:8" x14ac:dyDescent="0.25">
      <c r="A3088" t="s">
        <v>5898</v>
      </c>
      <c r="B3088" t="s">
        <v>5898</v>
      </c>
      <c r="C3088" t="s">
        <v>465</v>
      </c>
      <c r="D3088" t="s">
        <v>466</v>
      </c>
      <c r="E3088">
        <v>2.2128299999999999E-4</v>
      </c>
      <c r="F3088" t="s">
        <v>233</v>
      </c>
      <c r="G3088" t="s">
        <v>234</v>
      </c>
      <c r="H3088">
        <v>3</v>
      </c>
    </row>
    <row r="3089" spans="1:8" x14ac:dyDescent="0.25">
      <c r="A3089" t="s">
        <v>5899</v>
      </c>
      <c r="B3089" t="s">
        <v>5899</v>
      </c>
      <c r="C3089" t="s">
        <v>721</v>
      </c>
      <c r="D3089" t="s">
        <v>722</v>
      </c>
      <c r="E3089">
        <v>1.24993E-4</v>
      </c>
      <c r="F3089" t="s">
        <v>233</v>
      </c>
      <c r="G3089" t="s">
        <v>234</v>
      </c>
      <c r="H3089">
        <v>3</v>
      </c>
    </row>
    <row r="3090" spans="1:8" x14ac:dyDescent="0.25">
      <c r="A3090" t="s">
        <v>5900</v>
      </c>
      <c r="B3090" t="s">
        <v>5900</v>
      </c>
      <c r="C3090" t="s">
        <v>265</v>
      </c>
      <c r="D3090" t="s">
        <v>263</v>
      </c>
      <c r="E3090">
        <v>3.0449399999999999E-4</v>
      </c>
      <c r="F3090" t="s">
        <v>233</v>
      </c>
      <c r="G3090" t="s">
        <v>234</v>
      </c>
      <c r="H3090">
        <v>3</v>
      </c>
    </row>
    <row r="3091" spans="1:8" x14ac:dyDescent="0.25">
      <c r="A3091" t="s">
        <v>5901</v>
      </c>
      <c r="B3091" t="s">
        <v>5901</v>
      </c>
      <c r="C3091" t="s">
        <v>274</v>
      </c>
      <c r="D3091" t="s">
        <v>272</v>
      </c>
      <c r="E3091">
        <v>6.1713999999999996E-4</v>
      </c>
      <c r="F3091" t="s">
        <v>233</v>
      </c>
      <c r="G3091" t="s">
        <v>234</v>
      </c>
      <c r="H3091">
        <v>3</v>
      </c>
    </row>
    <row r="3092" spans="1:8" x14ac:dyDescent="0.25">
      <c r="A3092" t="s">
        <v>5902</v>
      </c>
      <c r="B3092" t="s">
        <v>5902</v>
      </c>
      <c r="C3092" t="s">
        <v>286</v>
      </c>
      <c r="D3092" t="s">
        <v>284</v>
      </c>
      <c r="E3092">
        <v>2.5428000000000001E-4</v>
      </c>
      <c r="F3092" t="s">
        <v>233</v>
      </c>
      <c r="G3092" t="s">
        <v>234</v>
      </c>
      <c r="H3092">
        <v>3</v>
      </c>
    </row>
    <row r="3093" spans="1:8" x14ac:dyDescent="0.25">
      <c r="A3093" t="s">
        <v>5903</v>
      </c>
      <c r="B3093" t="s">
        <v>5903</v>
      </c>
      <c r="C3093" t="s">
        <v>280</v>
      </c>
      <c r="D3093" t="s">
        <v>278</v>
      </c>
      <c r="E3093">
        <v>6.2829699999999999E-4</v>
      </c>
      <c r="F3093" t="s">
        <v>233</v>
      </c>
      <c r="G3093" t="s">
        <v>234</v>
      </c>
      <c r="H3093">
        <v>3</v>
      </c>
    </row>
    <row r="3094" spans="1:8" x14ac:dyDescent="0.25">
      <c r="A3094" t="s">
        <v>3077</v>
      </c>
      <c r="B3094" t="s">
        <v>3077</v>
      </c>
      <c r="C3094" t="s">
        <v>256</v>
      </c>
      <c r="D3094" t="s">
        <v>254</v>
      </c>
      <c r="E3094">
        <v>8.1312799999999998E-4</v>
      </c>
      <c r="F3094" t="s">
        <v>233</v>
      </c>
      <c r="G3094" t="s">
        <v>234</v>
      </c>
      <c r="H3094">
        <v>3</v>
      </c>
    </row>
    <row r="3095" spans="1:8" x14ac:dyDescent="0.25">
      <c r="A3095" t="s">
        <v>5904</v>
      </c>
      <c r="B3095" t="s">
        <v>5904</v>
      </c>
      <c r="C3095" t="s">
        <v>283</v>
      </c>
      <c r="D3095" t="s">
        <v>281</v>
      </c>
      <c r="E3095">
        <v>5.4019300000000001E-4</v>
      </c>
      <c r="F3095" t="s">
        <v>233</v>
      </c>
      <c r="G3095" t="s">
        <v>234</v>
      </c>
      <c r="H3095">
        <v>3</v>
      </c>
    </row>
    <row r="3096" spans="1:8" x14ac:dyDescent="0.25">
      <c r="A3096" t="s">
        <v>5905</v>
      </c>
      <c r="B3096" t="s">
        <v>5905</v>
      </c>
      <c r="C3096" t="s">
        <v>271</v>
      </c>
      <c r="D3096" t="s">
        <v>269</v>
      </c>
      <c r="E3096">
        <v>5.2359699999999999E-4</v>
      </c>
      <c r="F3096" t="s">
        <v>233</v>
      </c>
      <c r="G3096" t="s">
        <v>234</v>
      </c>
      <c r="H3096">
        <v>3</v>
      </c>
    </row>
    <row r="3097" spans="1:8" x14ac:dyDescent="0.25">
      <c r="A3097" t="s">
        <v>5906</v>
      </c>
      <c r="B3097" t="s">
        <v>5906</v>
      </c>
      <c r="C3097" t="s">
        <v>280</v>
      </c>
      <c r="D3097" t="s">
        <v>278</v>
      </c>
      <c r="E3097">
        <v>6.2829699999999999E-4</v>
      </c>
      <c r="F3097" t="s">
        <v>233</v>
      </c>
      <c r="G3097" t="s">
        <v>234</v>
      </c>
      <c r="H3097">
        <v>3</v>
      </c>
    </row>
    <row r="3098" spans="1:8" x14ac:dyDescent="0.25">
      <c r="A3098" t="s">
        <v>5907</v>
      </c>
      <c r="B3098" t="s">
        <v>5907</v>
      </c>
      <c r="C3098" t="s">
        <v>737</v>
      </c>
      <c r="D3098" t="s">
        <v>738</v>
      </c>
      <c r="E3098">
        <v>1.81306E-4</v>
      </c>
      <c r="F3098" t="s">
        <v>233</v>
      </c>
      <c r="G3098" t="s">
        <v>234</v>
      </c>
      <c r="H3098">
        <v>3</v>
      </c>
    </row>
    <row r="3099" spans="1:8" x14ac:dyDescent="0.25">
      <c r="A3099" t="s">
        <v>5908</v>
      </c>
      <c r="B3099" t="s">
        <v>5908</v>
      </c>
      <c r="C3099" t="s">
        <v>346</v>
      </c>
      <c r="D3099" t="s">
        <v>347</v>
      </c>
      <c r="E3099">
        <v>2.10657E-4</v>
      </c>
      <c r="F3099" t="s">
        <v>233</v>
      </c>
      <c r="G3099" t="s">
        <v>234</v>
      </c>
      <c r="H3099">
        <v>3</v>
      </c>
    </row>
    <row r="3100" spans="1:8" x14ac:dyDescent="0.25">
      <c r="A3100" t="s">
        <v>5909</v>
      </c>
      <c r="B3100" t="s">
        <v>5909</v>
      </c>
      <c r="C3100" t="s">
        <v>271</v>
      </c>
      <c r="D3100" t="s">
        <v>269</v>
      </c>
      <c r="E3100">
        <v>5.2359699999999999E-4</v>
      </c>
      <c r="F3100" t="s">
        <v>233</v>
      </c>
      <c r="G3100" t="s">
        <v>234</v>
      </c>
      <c r="H3100">
        <v>3</v>
      </c>
    </row>
    <row r="3101" spans="1:8" x14ac:dyDescent="0.25">
      <c r="A3101" t="s">
        <v>5910</v>
      </c>
      <c r="B3101" t="s">
        <v>5910</v>
      </c>
      <c r="C3101" t="s">
        <v>247</v>
      </c>
      <c r="D3101" t="s">
        <v>245</v>
      </c>
      <c r="E3101">
        <v>1.0475809999999999E-3</v>
      </c>
      <c r="F3101" t="s">
        <v>233</v>
      </c>
      <c r="G3101" t="s">
        <v>234</v>
      </c>
      <c r="H3101">
        <v>3</v>
      </c>
    </row>
    <row r="3102" spans="1:8" x14ac:dyDescent="0.25">
      <c r="A3102" t="s">
        <v>5911</v>
      </c>
      <c r="B3102" t="s">
        <v>5911</v>
      </c>
      <c r="C3102" t="s">
        <v>247</v>
      </c>
      <c r="D3102" t="s">
        <v>245</v>
      </c>
      <c r="E3102">
        <v>1.0475809999999999E-3</v>
      </c>
      <c r="F3102" t="s">
        <v>233</v>
      </c>
      <c r="G3102" t="s">
        <v>234</v>
      </c>
      <c r="H3102">
        <v>3</v>
      </c>
    </row>
    <row r="3103" spans="1:8" x14ac:dyDescent="0.25">
      <c r="A3103" t="s">
        <v>5912</v>
      </c>
      <c r="B3103" t="s">
        <v>5912</v>
      </c>
      <c r="C3103" t="s">
        <v>256</v>
      </c>
      <c r="D3103" t="s">
        <v>254</v>
      </c>
      <c r="E3103">
        <v>8.1312799999999998E-4</v>
      </c>
      <c r="F3103" t="s">
        <v>233</v>
      </c>
      <c r="G3103" t="s">
        <v>234</v>
      </c>
      <c r="H3103">
        <v>3</v>
      </c>
    </row>
    <row r="3104" spans="1:8" x14ac:dyDescent="0.25">
      <c r="A3104" t="s">
        <v>5913</v>
      </c>
      <c r="B3104" t="s">
        <v>5913</v>
      </c>
      <c r="C3104" t="s">
        <v>743</v>
      </c>
      <c r="D3104" t="s">
        <v>744</v>
      </c>
      <c r="E3104">
        <v>3.813E-4</v>
      </c>
      <c r="F3104" t="s">
        <v>233</v>
      </c>
      <c r="G3104" t="s">
        <v>316</v>
      </c>
      <c r="H3104">
        <v>3</v>
      </c>
    </row>
    <row r="3105" spans="1:8" x14ac:dyDescent="0.25">
      <c r="A3105" t="s">
        <v>5914</v>
      </c>
      <c r="B3105" t="s">
        <v>5914</v>
      </c>
      <c r="C3105" t="s">
        <v>247</v>
      </c>
      <c r="D3105" t="s">
        <v>245</v>
      </c>
      <c r="E3105">
        <v>1.0475809999999999E-3</v>
      </c>
      <c r="F3105" t="s">
        <v>233</v>
      </c>
      <c r="G3105" t="s">
        <v>234</v>
      </c>
      <c r="H3105">
        <v>3</v>
      </c>
    </row>
    <row r="3106" spans="1:8" x14ac:dyDescent="0.25">
      <c r="A3106" t="s">
        <v>5915</v>
      </c>
      <c r="B3106" t="s">
        <v>5915</v>
      </c>
      <c r="C3106" t="s">
        <v>743</v>
      </c>
      <c r="D3106" t="s">
        <v>744</v>
      </c>
      <c r="E3106">
        <v>3.813E-4</v>
      </c>
      <c r="F3106" t="s">
        <v>233</v>
      </c>
      <c r="G3106" t="s">
        <v>316</v>
      </c>
      <c r="H3106">
        <v>3</v>
      </c>
    </row>
    <row r="3107" spans="1:8" x14ac:dyDescent="0.25">
      <c r="A3107" t="s">
        <v>5916</v>
      </c>
      <c r="B3107" t="s">
        <v>5916</v>
      </c>
      <c r="C3107" t="s">
        <v>256</v>
      </c>
      <c r="D3107" t="s">
        <v>254</v>
      </c>
      <c r="E3107">
        <v>8.1312799999999998E-4</v>
      </c>
      <c r="F3107" t="s">
        <v>233</v>
      </c>
      <c r="G3107" t="s">
        <v>234</v>
      </c>
      <c r="H3107">
        <v>3</v>
      </c>
    </row>
    <row r="3108" spans="1:8" x14ac:dyDescent="0.25">
      <c r="A3108" t="s">
        <v>5917</v>
      </c>
      <c r="B3108" t="s">
        <v>5917</v>
      </c>
      <c r="C3108" t="s">
        <v>247</v>
      </c>
      <c r="D3108" t="s">
        <v>245</v>
      </c>
      <c r="E3108">
        <v>1.0475809999999999E-3</v>
      </c>
      <c r="F3108" t="s">
        <v>233</v>
      </c>
      <c r="G3108" t="s">
        <v>234</v>
      </c>
      <c r="H3108">
        <v>3</v>
      </c>
    </row>
    <row r="3109" spans="1:8" x14ac:dyDescent="0.25">
      <c r="A3109" t="s">
        <v>5918</v>
      </c>
      <c r="B3109" t="s">
        <v>5918</v>
      </c>
      <c r="C3109" t="s">
        <v>247</v>
      </c>
      <c r="D3109" t="s">
        <v>245</v>
      </c>
      <c r="E3109">
        <v>1.0475809999999999E-3</v>
      </c>
      <c r="F3109" t="s">
        <v>233</v>
      </c>
      <c r="G3109" t="s">
        <v>234</v>
      </c>
      <c r="H3109">
        <v>3</v>
      </c>
    </row>
    <row r="3110" spans="1:8" x14ac:dyDescent="0.25">
      <c r="A3110" t="s">
        <v>5919</v>
      </c>
      <c r="B3110" t="s">
        <v>5919</v>
      </c>
      <c r="C3110" t="s">
        <v>247</v>
      </c>
      <c r="D3110" t="s">
        <v>245</v>
      </c>
      <c r="E3110">
        <v>1.0475809999999999E-3</v>
      </c>
      <c r="F3110" t="s">
        <v>233</v>
      </c>
      <c r="G3110" t="s">
        <v>234</v>
      </c>
      <c r="H3110">
        <v>3</v>
      </c>
    </row>
    <row r="3111" spans="1:8" x14ac:dyDescent="0.25">
      <c r="A3111" t="s">
        <v>5920</v>
      </c>
      <c r="B3111" t="s">
        <v>5920</v>
      </c>
      <c r="C3111" t="s">
        <v>271</v>
      </c>
      <c r="D3111" t="s">
        <v>269</v>
      </c>
      <c r="E3111">
        <v>5.2359699999999999E-4</v>
      </c>
      <c r="F3111" t="s">
        <v>233</v>
      </c>
      <c r="G3111" t="s">
        <v>234</v>
      </c>
      <c r="H3111">
        <v>3</v>
      </c>
    </row>
    <row r="3112" spans="1:8" x14ac:dyDescent="0.25">
      <c r="A3112" t="s">
        <v>5921</v>
      </c>
      <c r="B3112" t="s">
        <v>5921</v>
      </c>
      <c r="C3112" t="s">
        <v>250</v>
      </c>
      <c r="D3112" t="s">
        <v>248</v>
      </c>
      <c r="E3112">
        <v>4.3868599999999998E-4</v>
      </c>
      <c r="F3112" t="s">
        <v>233</v>
      </c>
      <c r="G3112" t="s">
        <v>234</v>
      </c>
      <c r="H3112">
        <v>3</v>
      </c>
    </row>
    <row r="3113" spans="1:8" x14ac:dyDescent="0.25">
      <c r="A3113" t="s">
        <v>5922</v>
      </c>
      <c r="B3113" t="s">
        <v>5922</v>
      </c>
      <c r="C3113" t="s">
        <v>271</v>
      </c>
      <c r="D3113" t="s">
        <v>269</v>
      </c>
      <c r="E3113">
        <v>5.2359699999999999E-4</v>
      </c>
      <c r="F3113" t="s">
        <v>233</v>
      </c>
      <c r="G3113" t="s">
        <v>234</v>
      </c>
      <c r="H3113">
        <v>3</v>
      </c>
    </row>
    <row r="3114" spans="1:8" x14ac:dyDescent="0.25">
      <c r="A3114" t="s">
        <v>5923</v>
      </c>
      <c r="B3114" t="s">
        <v>5923</v>
      </c>
      <c r="C3114" t="s">
        <v>250</v>
      </c>
      <c r="D3114" t="s">
        <v>248</v>
      </c>
      <c r="E3114">
        <v>4.3868599999999998E-4</v>
      </c>
      <c r="F3114" t="s">
        <v>233</v>
      </c>
      <c r="G3114" t="s">
        <v>234</v>
      </c>
      <c r="H3114">
        <v>3</v>
      </c>
    </row>
    <row r="3115" spans="1:8" x14ac:dyDescent="0.25">
      <c r="A3115" t="s">
        <v>5924</v>
      </c>
      <c r="B3115" t="s">
        <v>5924</v>
      </c>
      <c r="C3115" t="s">
        <v>271</v>
      </c>
      <c r="D3115" t="s">
        <v>269</v>
      </c>
      <c r="E3115">
        <v>5.2359699999999999E-4</v>
      </c>
      <c r="F3115" t="s">
        <v>233</v>
      </c>
      <c r="G3115" t="s">
        <v>234</v>
      </c>
      <c r="H3115">
        <v>3</v>
      </c>
    </row>
    <row r="3116" spans="1:8" x14ac:dyDescent="0.25">
      <c r="A3116" t="s">
        <v>5925</v>
      </c>
      <c r="B3116" t="s">
        <v>5925</v>
      </c>
      <c r="C3116" t="s">
        <v>256</v>
      </c>
      <c r="D3116" t="s">
        <v>254</v>
      </c>
      <c r="E3116">
        <v>8.1312799999999998E-4</v>
      </c>
      <c r="F3116" t="s">
        <v>233</v>
      </c>
      <c r="G3116" t="s">
        <v>234</v>
      </c>
      <c r="H3116">
        <v>3</v>
      </c>
    </row>
    <row r="3117" spans="1:8" x14ac:dyDescent="0.25">
      <c r="A3117" t="s">
        <v>5926</v>
      </c>
      <c r="B3117" t="s">
        <v>5926</v>
      </c>
      <c r="C3117" t="s">
        <v>413</v>
      </c>
      <c r="D3117" t="s">
        <v>414</v>
      </c>
      <c r="E3117">
        <v>3.1322199999999999E-4</v>
      </c>
      <c r="F3117" t="s">
        <v>233</v>
      </c>
      <c r="G3117" t="s">
        <v>234</v>
      </c>
      <c r="H3117">
        <v>3</v>
      </c>
    </row>
    <row r="3118" spans="1:8" x14ac:dyDescent="0.25">
      <c r="A3118" t="s">
        <v>5927</v>
      </c>
      <c r="B3118" t="s">
        <v>5927</v>
      </c>
      <c r="C3118" t="s">
        <v>247</v>
      </c>
      <c r="D3118" t="s">
        <v>245</v>
      </c>
      <c r="E3118">
        <v>1.0475809999999999E-3</v>
      </c>
      <c r="F3118" t="s">
        <v>233</v>
      </c>
      <c r="G3118" t="s">
        <v>234</v>
      </c>
      <c r="H3118">
        <v>3</v>
      </c>
    </row>
    <row r="3119" spans="1:8" x14ac:dyDescent="0.25">
      <c r="A3119" t="s">
        <v>5928</v>
      </c>
      <c r="B3119" t="s">
        <v>5928</v>
      </c>
      <c r="C3119" t="s">
        <v>247</v>
      </c>
      <c r="D3119" t="s">
        <v>245</v>
      </c>
      <c r="E3119">
        <v>1.0475809999999999E-3</v>
      </c>
      <c r="F3119" t="s">
        <v>233</v>
      </c>
      <c r="G3119" t="s">
        <v>234</v>
      </c>
      <c r="H3119">
        <v>3</v>
      </c>
    </row>
    <row r="3120" spans="1:8" x14ac:dyDescent="0.25">
      <c r="A3120" t="s">
        <v>5929</v>
      </c>
      <c r="B3120" t="s">
        <v>5929</v>
      </c>
      <c r="C3120" t="s">
        <v>250</v>
      </c>
      <c r="D3120" t="s">
        <v>248</v>
      </c>
      <c r="E3120">
        <v>4.3868599999999998E-4</v>
      </c>
      <c r="F3120" t="s">
        <v>233</v>
      </c>
      <c r="G3120" t="s">
        <v>234</v>
      </c>
      <c r="H3120">
        <v>3</v>
      </c>
    </row>
    <row r="3121" spans="1:8" x14ac:dyDescent="0.25">
      <c r="A3121" t="s">
        <v>5930</v>
      </c>
      <c r="B3121" t="s">
        <v>5930</v>
      </c>
      <c r="C3121" t="s">
        <v>280</v>
      </c>
      <c r="D3121" t="s">
        <v>278</v>
      </c>
      <c r="E3121">
        <v>6.2829699999999999E-4</v>
      </c>
      <c r="F3121" t="s">
        <v>233</v>
      </c>
      <c r="G3121" t="s">
        <v>234</v>
      </c>
      <c r="H3121">
        <v>3</v>
      </c>
    </row>
    <row r="3122" spans="1:8" x14ac:dyDescent="0.25">
      <c r="A3122" t="s">
        <v>5931</v>
      </c>
      <c r="B3122" t="s">
        <v>5931</v>
      </c>
      <c r="C3122" t="s">
        <v>271</v>
      </c>
      <c r="D3122" t="s">
        <v>269</v>
      </c>
      <c r="E3122">
        <v>5.2359699999999999E-4</v>
      </c>
      <c r="F3122" t="s">
        <v>233</v>
      </c>
      <c r="G3122" t="s">
        <v>234</v>
      </c>
      <c r="H3122">
        <v>3</v>
      </c>
    </row>
    <row r="3123" spans="1:8" x14ac:dyDescent="0.25">
      <c r="A3123" t="s">
        <v>5932</v>
      </c>
      <c r="B3123" t="s">
        <v>5932</v>
      </c>
      <c r="C3123" t="s">
        <v>737</v>
      </c>
      <c r="D3123" t="s">
        <v>738</v>
      </c>
      <c r="E3123">
        <v>1.81306E-4</v>
      </c>
      <c r="F3123" t="s">
        <v>233</v>
      </c>
      <c r="G3123" t="s">
        <v>234</v>
      </c>
      <c r="H3123">
        <v>3</v>
      </c>
    </row>
    <row r="3124" spans="1:8" x14ac:dyDescent="0.25">
      <c r="A3124" t="s">
        <v>5933</v>
      </c>
      <c r="B3124" t="s">
        <v>5933</v>
      </c>
      <c r="C3124" t="s">
        <v>250</v>
      </c>
      <c r="D3124" t="s">
        <v>248</v>
      </c>
      <c r="E3124">
        <v>4.3868599999999998E-4</v>
      </c>
      <c r="F3124" t="s">
        <v>233</v>
      </c>
      <c r="G3124" t="s">
        <v>234</v>
      </c>
      <c r="H3124">
        <v>3</v>
      </c>
    </row>
    <row r="3125" spans="1:8" x14ac:dyDescent="0.25">
      <c r="A3125" t="s">
        <v>5934</v>
      </c>
      <c r="B3125" t="s">
        <v>5934</v>
      </c>
      <c r="C3125" t="s">
        <v>250</v>
      </c>
      <c r="D3125" t="s">
        <v>248</v>
      </c>
      <c r="E3125">
        <v>4.3868599999999998E-4</v>
      </c>
      <c r="F3125" t="s">
        <v>233</v>
      </c>
      <c r="G3125" t="s">
        <v>234</v>
      </c>
      <c r="H3125">
        <v>3</v>
      </c>
    </row>
    <row r="3126" spans="1:8" x14ac:dyDescent="0.25">
      <c r="A3126" t="s">
        <v>5935</v>
      </c>
      <c r="B3126" t="s">
        <v>5935</v>
      </c>
      <c r="C3126" t="s">
        <v>250</v>
      </c>
      <c r="D3126" t="s">
        <v>248</v>
      </c>
      <c r="E3126">
        <v>4.3868599999999998E-4</v>
      </c>
      <c r="F3126" t="s">
        <v>233</v>
      </c>
      <c r="G3126" t="s">
        <v>234</v>
      </c>
      <c r="H3126">
        <v>3</v>
      </c>
    </row>
    <row r="3127" spans="1:8" x14ac:dyDescent="0.25">
      <c r="A3127" t="s">
        <v>5936</v>
      </c>
      <c r="B3127" t="s">
        <v>5936</v>
      </c>
      <c r="C3127" t="s">
        <v>353</v>
      </c>
      <c r="D3127" t="s">
        <v>354</v>
      </c>
      <c r="E3127">
        <v>2.78752E-4</v>
      </c>
      <c r="F3127" t="s">
        <v>233</v>
      </c>
      <c r="G3127" t="s">
        <v>234</v>
      </c>
      <c r="H3127">
        <v>3</v>
      </c>
    </row>
    <row r="3128" spans="1:8" x14ac:dyDescent="0.25">
      <c r="A3128" t="s">
        <v>5937</v>
      </c>
      <c r="B3128" t="s">
        <v>5937</v>
      </c>
      <c r="C3128" t="s">
        <v>737</v>
      </c>
      <c r="D3128" t="s">
        <v>738</v>
      </c>
      <c r="E3128">
        <v>1.81306E-4</v>
      </c>
      <c r="F3128" t="s">
        <v>233</v>
      </c>
      <c r="G3128" t="s">
        <v>234</v>
      </c>
      <c r="H3128">
        <v>3</v>
      </c>
    </row>
    <row r="3129" spans="1:8" x14ac:dyDescent="0.25">
      <c r="A3129" t="s">
        <v>5938</v>
      </c>
      <c r="B3129" t="s">
        <v>5938</v>
      </c>
      <c r="C3129" t="s">
        <v>407</v>
      </c>
      <c r="D3129" t="s">
        <v>408</v>
      </c>
      <c r="E3129">
        <v>1.6713599999999999E-4</v>
      </c>
      <c r="F3129" t="s">
        <v>233</v>
      </c>
      <c r="G3129" t="s">
        <v>234</v>
      </c>
      <c r="H3129">
        <v>3</v>
      </c>
    </row>
    <row r="3130" spans="1:8" x14ac:dyDescent="0.25">
      <c r="A3130" t="s">
        <v>5939</v>
      </c>
      <c r="B3130" t="s">
        <v>5939</v>
      </c>
      <c r="C3130" t="s">
        <v>271</v>
      </c>
      <c r="D3130" t="s">
        <v>269</v>
      </c>
      <c r="E3130">
        <v>5.2359699999999999E-4</v>
      </c>
      <c r="F3130" t="s">
        <v>233</v>
      </c>
      <c r="G3130" t="s">
        <v>234</v>
      </c>
      <c r="H3130">
        <v>3</v>
      </c>
    </row>
    <row r="3131" spans="1:8" x14ac:dyDescent="0.25">
      <c r="A3131" t="s">
        <v>5940</v>
      </c>
      <c r="B3131" t="s">
        <v>5940</v>
      </c>
      <c r="C3131" t="s">
        <v>346</v>
      </c>
      <c r="D3131" t="s">
        <v>347</v>
      </c>
      <c r="E3131">
        <v>2.10657E-4</v>
      </c>
      <c r="F3131" t="s">
        <v>233</v>
      </c>
      <c r="G3131" t="s">
        <v>234</v>
      </c>
      <c r="H3131">
        <v>3</v>
      </c>
    </row>
    <row r="3132" spans="1:8" x14ac:dyDescent="0.25">
      <c r="A3132" t="s">
        <v>5941</v>
      </c>
      <c r="B3132" t="s">
        <v>5941</v>
      </c>
      <c r="C3132" t="s">
        <v>346</v>
      </c>
      <c r="D3132" t="s">
        <v>347</v>
      </c>
      <c r="E3132">
        <v>2.10657E-4</v>
      </c>
      <c r="F3132" t="s">
        <v>233</v>
      </c>
      <c r="G3132" t="s">
        <v>234</v>
      </c>
      <c r="H3132">
        <v>3</v>
      </c>
    </row>
    <row r="3133" spans="1:8" x14ac:dyDescent="0.25">
      <c r="A3133" t="s">
        <v>5942</v>
      </c>
      <c r="B3133" t="s">
        <v>5941</v>
      </c>
      <c r="C3133" t="s">
        <v>346</v>
      </c>
      <c r="D3133" t="s">
        <v>347</v>
      </c>
      <c r="E3133">
        <v>2.10657E-4</v>
      </c>
      <c r="F3133" t="s">
        <v>233</v>
      </c>
      <c r="G3133" t="s">
        <v>234</v>
      </c>
      <c r="H3133">
        <v>3</v>
      </c>
    </row>
    <row r="3134" spans="1:8" x14ac:dyDescent="0.25">
      <c r="A3134" t="s">
        <v>5943</v>
      </c>
      <c r="B3134" t="s">
        <v>5943</v>
      </c>
      <c r="C3134" t="s">
        <v>346</v>
      </c>
      <c r="D3134" t="s">
        <v>347</v>
      </c>
      <c r="E3134">
        <v>2.10657E-4</v>
      </c>
      <c r="F3134" t="s">
        <v>233</v>
      </c>
      <c r="G3134" t="s">
        <v>234</v>
      </c>
      <c r="H3134">
        <v>3</v>
      </c>
    </row>
    <row r="3135" spans="1:8" x14ac:dyDescent="0.25">
      <c r="A3135" t="s">
        <v>5944</v>
      </c>
      <c r="B3135" t="s">
        <v>5945</v>
      </c>
      <c r="C3135" t="s">
        <v>465</v>
      </c>
      <c r="D3135" t="s">
        <v>466</v>
      </c>
      <c r="E3135">
        <v>2.2128299999999999E-4</v>
      </c>
      <c r="F3135" t="s">
        <v>233</v>
      </c>
      <c r="G3135" t="s">
        <v>234</v>
      </c>
      <c r="H3135">
        <v>3</v>
      </c>
    </row>
    <row r="3136" spans="1:8" x14ac:dyDescent="0.25">
      <c r="A3136" t="s">
        <v>5946</v>
      </c>
      <c r="B3136" t="s">
        <v>5947</v>
      </c>
      <c r="C3136" t="s">
        <v>256</v>
      </c>
      <c r="D3136" t="s">
        <v>254</v>
      </c>
      <c r="E3136">
        <v>8.1312799999999998E-4</v>
      </c>
      <c r="F3136" t="s">
        <v>233</v>
      </c>
      <c r="G3136" t="s">
        <v>234</v>
      </c>
      <c r="H3136">
        <v>3</v>
      </c>
    </row>
    <row r="3137" spans="1:8" x14ac:dyDescent="0.25">
      <c r="A3137" t="s">
        <v>5948</v>
      </c>
      <c r="B3137" t="s">
        <v>5949</v>
      </c>
      <c r="C3137" t="s">
        <v>346</v>
      </c>
      <c r="D3137" t="s">
        <v>347</v>
      </c>
      <c r="E3137">
        <v>2.10657E-4</v>
      </c>
      <c r="F3137" t="s">
        <v>233</v>
      </c>
      <c r="G3137" t="s">
        <v>234</v>
      </c>
      <c r="H3137">
        <v>3</v>
      </c>
    </row>
    <row r="3138" spans="1:8" x14ac:dyDescent="0.25">
      <c r="A3138" t="s">
        <v>4913</v>
      </c>
      <c r="B3138" t="s">
        <v>4913</v>
      </c>
      <c r="C3138" t="s">
        <v>737</v>
      </c>
      <c r="D3138" t="s">
        <v>738</v>
      </c>
      <c r="E3138">
        <v>1.81306E-4</v>
      </c>
      <c r="F3138" t="s">
        <v>233</v>
      </c>
      <c r="G3138" t="s">
        <v>234</v>
      </c>
      <c r="H3138">
        <v>3</v>
      </c>
    </row>
    <row r="3139" spans="1:8" x14ac:dyDescent="0.25">
      <c r="A3139" t="s">
        <v>5950</v>
      </c>
      <c r="B3139" t="s">
        <v>5951</v>
      </c>
      <c r="C3139" t="s">
        <v>315</v>
      </c>
      <c r="D3139" t="s">
        <v>374</v>
      </c>
      <c r="E3139">
        <v>1.75E-3</v>
      </c>
      <c r="F3139" t="s">
        <v>233</v>
      </c>
      <c r="G3139" t="s">
        <v>316</v>
      </c>
      <c r="H3139">
        <v>3</v>
      </c>
    </row>
    <row r="3140" spans="1:8" x14ac:dyDescent="0.25">
      <c r="A3140" t="s">
        <v>4880</v>
      </c>
      <c r="B3140" t="s">
        <v>4880</v>
      </c>
      <c r="C3140" t="s">
        <v>346</v>
      </c>
      <c r="D3140" t="s">
        <v>347</v>
      </c>
      <c r="E3140">
        <v>2.10657E-4</v>
      </c>
      <c r="F3140" t="s">
        <v>233</v>
      </c>
      <c r="G3140" t="s">
        <v>234</v>
      </c>
      <c r="H3140">
        <v>3</v>
      </c>
    </row>
    <row r="3141" spans="1:8" x14ac:dyDescent="0.25">
      <c r="A3141" t="s">
        <v>5952</v>
      </c>
      <c r="B3141" t="s">
        <v>5952</v>
      </c>
      <c r="C3141" t="s">
        <v>346</v>
      </c>
      <c r="D3141" t="s">
        <v>347</v>
      </c>
      <c r="E3141">
        <v>2.10657E-4</v>
      </c>
      <c r="F3141" t="s">
        <v>233</v>
      </c>
      <c r="G3141" t="s">
        <v>234</v>
      </c>
      <c r="H3141">
        <v>3</v>
      </c>
    </row>
    <row r="3142" spans="1:8" x14ac:dyDescent="0.25">
      <c r="A3142" t="s">
        <v>3504</v>
      </c>
      <c r="B3142" t="s">
        <v>3504</v>
      </c>
      <c r="C3142" t="s">
        <v>315</v>
      </c>
      <c r="D3142" t="s">
        <v>374</v>
      </c>
      <c r="E3142">
        <v>1.75E-3</v>
      </c>
      <c r="F3142" t="s">
        <v>233</v>
      </c>
      <c r="G3142" t="s">
        <v>316</v>
      </c>
      <c r="H3142">
        <v>3</v>
      </c>
    </row>
    <row r="3143" spans="1:8" x14ac:dyDescent="0.25">
      <c r="A3143" t="s">
        <v>5953</v>
      </c>
      <c r="B3143" t="s">
        <v>5953</v>
      </c>
      <c r="C3143" t="s">
        <v>250</v>
      </c>
      <c r="D3143" t="s">
        <v>248</v>
      </c>
      <c r="E3143">
        <v>4.3868599999999998E-4</v>
      </c>
      <c r="F3143" t="s">
        <v>233</v>
      </c>
      <c r="G3143" t="s">
        <v>234</v>
      </c>
      <c r="H3143">
        <v>3</v>
      </c>
    </row>
    <row r="3144" spans="1:8" x14ac:dyDescent="0.25">
      <c r="A3144" t="s">
        <v>5954</v>
      </c>
      <c r="B3144" t="s">
        <v>5954</v>
      </c>
      <c r="C3144" t="s">
        <v>346</v>
      </c>
      <c r="D3144" t="s">
        <v>347</v>
      </c>
      <c r="E3144">
        <v>2.10657E-4</v>
      </c>
      <c r="F3144" t="s">
        <v>233</v>
      </c>
      <c r="G3144" t="s">
        <v>234</v>
      </c>
      <c r="H3144">
        <v>3</v>
      </c>
    </row>
    <row r="3145" spans="1:8" x14ac:dyDescent="0.25">
      <c r="A3145" t="s">
        <v>5955</v>
      </c>
      <c r="B3145" t="s">
        <v>5955</v>
      </c>
      <c r="C3145" t="s">
        <v>286</v>
      </c>
      <c r="D3145" t="s">
        <v>284</v>
      </c>
      <c r="E3145">
        <v>2.5428000000000001E-4</v>
      </c>
      <c r="F3145" t="s">
        <v>233</v>
      </c>
      <c r="G3145" t="s">
        <v>234</v>
      </c>
      <c r="H3145">
        <v>3</v>
      </c>
    </row>
    <row r="3146" spans="1:8" x14ac:dyDescent="0.25">
      <c r="A3146" t="s">
        <v>5956</v>
      </c>
      <c r="B3146" t="s">
        <v>5956</v>
      </c>
      <c r="C3146" t="s">
        <v>271</v>
      </c>
      <c r="D3146" t="s">
        <v>269</v>
      </c>
      <c r="E3146">
        <v>5.2359699999999999E-4</v>
      </c>
      <c r="F3146" t="s">
        <v>233</v>
      </c>
      <c r="G3146" t="s">
        <v>234</v>
      </c>
      <c r="H3146">
        <v>3</v>
      </c>
    </row>
    <row r="3147" spans="1:8" x14ac:dyDescent="0.25">
      <c r="A3147" t="s">
        <v>5957</v>
      </c>
      <c r="B3147" t="s">
        <v>5957</v>
      </c>
      <c r="C3147" t="s">
        <v>346</v>
      </c>
      <c r="D3147" t="s">
        <v>347</v>
      </c>
      <c r="E3147">
        <v>2.10657E-4</v>
      </c>
      <c r="F3147" t="s">
        <v>233</v>
      </c>
      <c r="G3147" t="s">
        <v>234</v>
      </c>
      <c r="H3147">
        <v>3</v>
      </c>
    </row>
    <row r="3148" spans="1:8" x14ac:dyDescent="0.25">
      <c r="A3148" t="s">
        <v>5958</v>
      </c>
      <c r="B3148" t="s">
        <v>5958</v>
      </c>
      <c r="C3148" t="s">
        <v>265</v>
      </c>
      <c r="D3148" t="s">
        <v>263</v>
      </c>
      <c r="E3148">
        <v>3.0449399999999999E-4</v>
      </c>
      <c r="F3148" t="s">
        <v>233</v>
      </c>
      <c r="G3148" t="s">
        <v>234</v>
      </c>
      <c r="H3148">
        <v>3</v>
      </c>
    </row>
    <row r="3149" spans="1:8" x14ac:dyDescent="0.25">
      <c r="A3149" t="s">
        <v>5959</v>
      </c>
      <c r="B3149" t="s">
        <v>5959</v>
      </c>
      <c r="C3149" t="s">
        <v>250</v>
      </c>
      <c r="D3149" t="s">
        <v>248</v>
      </c>
      <c r="E3149">
        <v>4.3868599999999998E-4</v>
      </c>
      <c r="F3149" t="s">
        <v>233</v>
      </c>
      <c r="G3149" t="s">
        <v>234</v>
      </c>
      <c r="H3149">
        <v>3</v>
      </c>
    </row>
    <row r="3150" spans="1:8" x14ac:dyDescent="0.25">
      <c r="A3150" t="s">
        <v>5960</v>
      </c>
      <c r="B3150" t="s">
        <v>5960</v>
      </c>
      <c r="C3150" t="s">
        <v>726</v>
      </c>
      <c r="D3150" t="s">
        <v>727</v>
      </c>
      <c r="E3150">
        <v>1.3494000000000001E-4</v>
      </c>
      <c r="F3150" t="s">
        <v>233</v>
      </c>
      <c r="G3150" t="s">
        <v>234</v>
      </c>
      <c r="H3150">
        <v>3</v>
      </c>
    </row>
    <row r="3151" spans="1:8" x14ac:dyDescent="0.25">
      <c r="A3151" t="s">
        <v>5961</v>
      </c>
      <c r="B3151" t="s">
        <v>5961</v>
      </c>
      <c r="C3151" t="s">
        <v>250</v>
      </c>
      <c r="D3151" t="s">
        <v>248</v>
      </c>
      <c r="E3151">
        <v>4.3868599999999998E-4</v>
      </c>
      <c r="F3151" t="s">
        <v>233</v>
      </c>
      <c r="G3151" t="s">
        <v>234</v>
      </c>
      <c r="H3151">
        <v>3</v>
      </c>
    </row>
    <row r="3152" spans="1:8" x14ac:dyDescent="0.25">
      <c r="A3152" t="s">
        <v>5962</v>
      </c>
      <c r="B3152" t="s">
        <v>5962</v>
      </c>
      <c r="C3152" t="s">
        <v>413</v>
      </c>
      <c r="D3152" t="s">
        <v>414</v>
      </c>
      <c r="E3152">
        <v>3.1322199999999999E-4</v>
      </c>
      <c r="F3152" t="s">
        <v>233</v>
      </c>
      <c r="G3152" t="s">
        <v>234</v>
      </c>
      <c r="H3152">
        <v>3</v>
      </c>
    </row>
    <row r="3153" spans="1:8" x14ac:dyDescent="0.25">
      <c r="A3153" t="s">
        <v>5963</v>
      </c>
      <c r="B3153" t="s">
        <v>5963</v>
      </c>
      <c r="C3153" t="s">
        <v>280</v>
      </c>
      <c r="D3153" t="s">
        <v>278</v>
      </c>
      <c r="E3153">
        <v>6.2829699999999999E-4</v>
      </c>
      <c r="F3153" t="s">
        <v>233</v>
      </c>
      <c r="G3153" t="s">
        <v>234</v>
      </c>
      <c r="H3153">
        <v>3</v>
      </c>
    </row>
    <row r="3154" spans="1:8" x14ac:dyDescent="0.25">
      <c r="A3154" t="s">
        <v>5964</v>
      </c>
      <c r="B3154" t="s">
        <v>5964</v>
      </c>
      <c r="C3154" t="s">
        <v>277</v>
      </c>
      <c r="D3154" t="s">
        <v>275</v>
      </c>
      <c r="E3154">
        <v>7.0538700000000003E-4</v>
      </c>
      <c r="F3154" t="s">
        <v>233</v>
      </c>
      <c r="G3154" t="s">
        <v>234</v>
      </c>
      <c r="H3154">
        <v>3</v>
      </c>
    </row>
    <row r="3155" spans="1:8" x14ac:dyDescent="0.25">
      <c r="A3155" t="s">
        <v>5965</v>
      </c>
      <c r="B3155" t="s">
        <v>5965</v>
      </c>
      <c r="C3155" t="s">
        <v>271</v>
      </c>
      <c r="D3155" t="s">
        <v>269</v>
      </c>
      <c r="E3155">
        <v>5.2359699999999999E-4</v>
      </c>
      <c r="F3155" t="s">
        <v>233</v>
      </c>
      <c r="G3155" t="s">
        <v>234</v>
      </c>
      <c r="H3155">
        <v>3</v>
      </c>
    </row>
    <row r="3156" spans="1:8" x14ac:dyDescent="0.25">
      <c r="A3156" t="s">
        <v>5966</v>
      </c>
      <c r="B3156" t="s">
        <v>5966</v>
      </c>
      <c r="C3156" t="s">
        <v>346</v>
      </c>
      <c r="D3156" t="s">
        <v>347</v>
      </c>
      <c r="E3156">
        <v>2.10657E-4</v>
      </c>
      <c r="F3156" t="s">
        <v>233</v>
      </c>
      <c r="G3156" t="s">
        <v>234</v>
      </c>
      <c r="H3156">
        <v>3</v>
      </c>
    </row>
    <row r="3157" spans="1:8" x14ac:dyDescent="0.25">
      <c r="A3157" t="s">
        <v>5967</v>
      </c>
      <c r="B3157" t="s">
        <v>5967</v>
      </c>
      <c r="C3157" t="s">
        <v>256</v>
      </c>
      <c r="D3157" t="s">
        <v>254</v>
      </c>
      <c r="E3157">
        <v>8.1312799999999998E-4</v>
      </c>
      <c r="F3157" t="s">
        <v>233</v>
      </c>
      <c r="G3157" t="s">
        <v>234</v>
      </c>
      <c r="H3157">
        <v>3</v>
      </c>
    </row>
    <row r="3158" spans="1:8" x14ac:dyDescent="0.25">
      <c r="A3158" t="s">
        <v>5968</v>
      </c>
      <c r="B3158" t="s">
        <v>5968</v>
      </c>
      <c r="C3158" t="s">
        <v>265</v>
      </c>
      <c r="D3158" t="s">
        <v>263</v>
      </c>
      <c r="E3158">
        <v>3.0449399999999999E-4</v>
      </c>
      <c r="F3158" t="s">
        <v>233</v>
      </c>
      <c r="G3158" t="s">
        <v>234</v>
      </c>
      <c r="H3158">
        <v>3</v>
      </c>
    </row>
    <row r="3159" spans="1:8" x14ac:dyDescent="0.25">
      <c r="A3159" t="s">
        <v>5969</v>
      </c>
      <c r="B3159" t="s">
        <v>5969</v>
      </c>
      <c r="C3159" t="s">
        <v>2877</v>
      </c>
      <c r="D3159" t="s">
        <v>229</v>
      </c>
      <c r="E3159" s="42">
        <v>8.8070000000000002E-5</v>
      </c>
      <c r="F3159" t="s">
        <v>233</v>
      </c>
      <c r="G3159" t="s">
        <v>234</v>
      </c>
      <c r="H3159">
        <v>3</v>
      </c>
    </row>
    <row r="3160" spans="1:8" x14ac:dyDescent="0.25">
      <c r="A3160" t="s">
        <v>5970</v>
      </c>
      <c r="B3160" t="s">
        <v>5970</v>
      </c>
      <c r="C3160" t="s">
        <v>256</v>
      </c>
      <c r="D3160" t="s">
        <v>254</v>
      </c>
      <c r="E3160">
        <v>8.1312799999999998E-4</v>
      </c>
      <c r="F3160" t="s">
        <v>233</v>
      </c>
      <c r="G3160" t="s">
        <v>234</v>
      </c>
      <c r="H3160">
        <v>3</v>
      </c>
    </row>
    <row r="3161" spans="1:8" x14ac:dyDescent="0.25">
      <c r="A3161" t="s">
        <v>5971</v>
      </c>
      <c r="B3161" t="s">
        <v>5971</v>
      </c>
      <c r="C3161" t="s">
        <v>286</v>
      </c>
      <c r="D3161" t="s">
        <v>284</v>
      </c>
      <c r="E3161">
        <v>2.5428000000000001E-4</v>
      </c>
      <c r="F3161" t="s">
        <v>233</v>
      </c>
      <c r="G3161" t="s">
        <v>234</v>
      </c>
      <c r="H3161">
        <v>3</v>
      </c>
    </row>
    <row r="3162" spans="1:8" x14ac:dyDescent="0.25">
      <c r="A3162" t="s">
        <v>5972</v>
      </c>
      <c r="B3162" t="s">
        <v>5972</v>
      </c>
      <c r="C3162" t="s">
        <v>737</v>
      </c>
      <c r="D3162" t="s">
        <v>738</v>
      </c>
      <c r="E3162">
        <v>1.81306E-4</v>
      </c>
      <c r="F3162" t="s">
        <v>233</v>
      </c>
      <c r="G3162" t="s">
        <v>234</v>
      </c>
      <c r="H3162">
        <v>3</v>
      </c>
    </row>
    <row r="3163" spans="1:8" x14ac:dyDescent="0.25">
      <c r="A3163" t="s">
        <v>5973</v>
      </c>
      <c r="B3163" t="s">
        <v>5973</v>
      </c>
      <c r="C3163" t="s">
        <v>256</v>
      </c>
      <c r="D3163" t="s">
        <v>254</v>
      </c>
      <c r="E3163">
        <v>8.1312799999999998E-4</v>
      </c>
      <c r="F3163" t="s">
        <v>233</v>
      </c>
      <c r="G3163" t="s">
        <v>234</v>
      </c>
      <c r="H3163">
        <v>3</v>
      </c>
    </row>
    <row r="3164" spans="1:8" x14ac:dyDescent="0.25">
      <c r="A3164" t="s">
        <v>5974</v>
      </c>
      <c r="B3164" t="s">
        <v>5974</v>
      </c>
      <c r="C3164" t="s">
        <v>271</v>
      </c>
      <c r="D3164" t="s">
        <v>269</v>
      </c>
      <c r="E3164">
        <v>5.2359699999999999E-4</v>
      </c>
      <c r="F3164" t="s">
        <v>233</v>
      </c>
      <c r="G3164" t="s">
        <v>234</v>
      </c>
      <c r="H3164">
        <v>3</v>
      </c>
    </row>
    <row r="3165" spans="1:8" x14ac:dyDescent="0.25">
      <c r="A3165" t="s">
        <v>5975</v>
      </c>
      <c r="B3165" t="s">
        <v>5975</v>
      </c>
      <c r="C3165" t="s">
        <v>737</v>
      </c>
      <c r="D3165" t="s">
        <v>738</v>
      </c>
      <c r="E3165">
        <v>1.81306E-4</v>
      </c>
      <c r="F3165" t="s">
        <v>233</v>
      </c>
      <c r="G3165" t="s">
        <v>234</v>
      </c>
      <c r="H3165">
        <v>3</v>
      </c>
    </row>
    <row r="3166" spans="1:8" x14ac:dyDescent="0.25">
      <c r="A3166" t="s">
        <v>5976</v>
      </c>
      <c r="B3166" t="s">
        <v>5976</v>
      </c>
      <c r="C3166" t="s">
        <v>737</v>
      </c>
      <c r="D3166" t="s">
        <v>738</v>
      </c>
      <c r="E3166">
        <v>1.81306E-4</v>
      </c>
      <c r="F3166" t="s">
        <v>233</v>
      </c>
      <c r="G3166" t="s">
        <v>234</v>
      </c>
      <c r="H3166">
        <v>3</v>
      </c>
    </row>
    <row r="3167" spans="1:8" x14ac:dyDescent="0.25">
      <c r="A3167" t="s">
        <v>5977</v>
      </c>
      <c r="B3167" t="s">
        <v>5977</v>
      </c>
      <c r="C3167" t="s">
        <v>346</v>
      </c>
      <c r="D3167" t="s">
        <v>347</v>
      </c>
      <c r="E3167">
        <v>2.10657E-4</v>
      </c>
      <c r="F3167" t="s">
        <v>233</v>
      </c>
      <c r="G3167" t="s">
        <v>234</v>
      </c>
      <c r="H3167">
        <v>3</v>
      </c>
    </row>
    <row r="3168" spans="1:8" x14ac:dyDescent="0.25">
      <c r="A3168" t="s">
        <v>5978</v>
      </c>
      <c r="B3168" t="s">
        <v>5978</v>
      </c>
      <c r="C3168" t="s">
        <v>271</v>
      </c>
      <c r="D3168" t="s">
        <v>269</v>
      </c>
      <c r="E3168">
        <v>5.2359699999999999E-4</v>
      </c>
      <c r="F3168" t="s">
        <v>233</v>
      </c>
      <c r="G3168" t="s">
        <v>234</v>
      </c>
      <c r="H3168">
        <v>3</v>
      </c>
    </row>
    <row r="3169" spans="1:8" x14ac:dyDescent="0.25">
      <c r="A3169" t="s">
        <v>5979</v>
      </c>
      <c r="B3169" t="s">
        <v>5979</v>
      </c>
      <c r="C3169" t="s">
        <v>247</v>
      </c>
      <c r="D3169" t="s">
        <v>245</v>
      </c>
      <c r="E3169">
        <v>1.0475809999999999E-3</v>
      </c>
      <c r="F3169" t="s">
        <v>233</v>
      </c>
      <c r="G3169" t="s">
        <v>234</v>
      </c>
      <c r="H3169">
        <v>3</v>
      </c>
    </row>
    <row r="3170" spans="1:8" x14ac:dyDescent="0.25">
      <c r="A3170" t="s">
        <v>5980</v>
      </c>
      <c r="B3170" t="s">
        <v>5980</v>
      </c>
      <c r="C3170" t="s">
        <v>280</v>
      </c>
      <c r="D3170" t="s">
        <v>278</v>
      </c>
      <c r="E3170">
        <v>6.2829699999999999E-4</v>
      </c>
      <c r="F3170" t="s">
        <v>233</v>
      </c>
      <c r="G3170" t="s">
        <v>234</v>
      </c>
      <c r="H3170">
        <v>3</v>
      </c>
    </row>
    <row r="3171" spans="1:8" x14ac:dyDescent="0.25">
      <c r="A3171" t="s">
        <v>5981</v>
      </c>
      <c r="B3171" t="s">
        <v>5981</v>
      </c>
      <c r="C3171" t="s">
        <v>346</v>
      </c>
      <c r="D3171" t="s">
        <v>347</v>
      </c>
      <c r="E3171">
        <v>2.10657E-4</v>
      </c>
      <c r="F3171" t="s">
        <v>233</v>
      </c>
      <c r="G3171" t="s">
        <v>234</v>
      </c>
      <c r="H3171">
        <v>3</v>
      </c>
    </row>
    <row r="3172" spans="1:8" x14ac:dyDescent="0.25">
      <c r="A3172" t="s">
        <v>5982</v>
      </c>
      <c r="B3172" t="s">
        <v>5982</v>
      </c>
      <c r="C3172" t="s">
        <v>280</v>
      </c>
      <c r="D3172" t="s">
        <v>278</v>
      </c>
      <c r="E3172">
        <v>6.2829699999999999E-4</v>
      </c>
      <c r="F3172" t="s">
        <v>233</v>
      </c>
      <c r="G3172" t="s">
        <v>234</v>
      </c>
      <c r="H3172">
        <v>3</v>
      </c>
    </row>
    <row r="3173" spans="1:8" x14ac:dyDescent="0.25">
      <c r="A3173" t="s">
        <v>5983</v>
      </c>
      <c r="B3173" t="s">
        <v>5983</v>
      </c>
      <c r="C3173" t="s">
        <v>256</v>
      </c>
      <c r="D3173" t="s">
        <v>254</v>
      </c>
      <c r="E3173">
        <v>8.1312799999999998E-4</v>
      </c>
      <c r="F3173" t="s">
        <v>233</v>
      </c>
      <c r="G3173" t="s">
        <v>234</v>
      </c>
      <c r="H3173">
        <v>3</v>
      </c>
    </row>
    <row r="3174" spans="1:8" x14ac:dyDescent="0.25">
      <c r="A3174" t="s">
        <v>5984</v>
      </c>
      <c r="B3174" t="s">
        <v>5984</v>
      </c>
      <c r="C3174" t="s">
        <v>268</v>
      </c>
      <c r="D3174" t="s">
        <v>266</v>
      </c>
      <c r="E3174">
        <v>5.4511299999999996E-4</v>
      </c>
      <c r="F3174" t="s">
        <v>233</v>
      </c>
      <c r="G3174" t="s">
        <v>234</v>
      </c>
      <c r="H3174">
        <v>3</v>
      </c>
    </row>
    <row r="3175" spans="1:8" x14ac:dyDescent="0.25">
      <c r="A3175" t="s">
        <v>5985</v>
      </c>
      <c r="B3175" t="s">
        <v>5985</v>
      </c>
      <c r="C3175" t="s">
        <v>286</v>
      </c>
      <c r="D3175" t="s">
        <v>284</v>
      </c>
      <c r="E3175">
        <v>2.5428000000000001E-4</v>
      </c>
      <c r="F3175" t="s">
        <v>233</v>
      </c>
      <c r="G3175" t="s">
        <v>234</v>
      </c>
      <c r="H3175">
        <v>3</v>
      </c>
    </row>
    <row r="3176" spans="1:8" x14ac:dyDescent="0.25">
      <c r="A3176" t="s">
        <v>5986</v>
      </c>
      <c r="B3176" t="s">
        <v>5986</v>
      </c>
      <c r="C3176" t="s">
        <v>726</v>
      </c>
      <c r="D3176" t="s">
        <v>727</v>
      </c>
      <c r="E3176">
        <v>1.3494000000000001E-4</v>
      </c>
      <c r="F3176" t="s">
        <v>233</v>
      </c>
      <c r="G3176" t="s">
        <v>234</v>
      </c>
      <c r="H3176">
        <v>3</v>
      </c>
    </row>
    <row r="3177" spans="1:8" x14ac:dyDescent="0.25">
      <c r="A3177" t="s">
        <v>5987</v>
      </c>
      <c r="B3177" t="s">
        <v>5987</v>
      </c>
      <c r="C3177" t="s">
        <v>256</v>
      </c>
      <c r="D3177" t="s">
        <v>254</v>
      </c>
      <c r="E3177">
        <v>8.1312799999999998E-4</v>
      </c>
      <c r="F3177" t="s">
        <v>233</v>
      </c>
      <c r="G3177" t="s">
        <v>234</v>
      </c>
      <c r="H3177">
        <v>3</v>
      </c>
    </row>
    <row r="3178" spans="1:8" x14ac:dyDescent="0.25">
      <c r="A3178" t="s">
        <v>5988</v>
      </c>
      <c r="B3178" t="s">
        <v>5988</v>
      </c>
      <c r="C3178" t="s">
        <v>346</v>
      </c>
      <c r="D3178" t="s">
        <v>347</v>
      </c>
      <c r="E3178">
        <v>2.10657E-4</v>
      </c>
      <c r="F3178" t="s">
        <v>233</v>
      </c>
      <c r="G3178" t="s">
        <v>234</v>
      </c>
      <c r="H3178">
        <v>3</v>
      </c>
    </row>
    <row r="3179" spans="1:8" x14ac:dyDescent="0.25">
      <c r="A3179" t="s">
        <v>5989</v>
      </c>
      <c r="B3179" t="s">
        <v>5989</v>
      </c>
      <c r="C3179" t="s">
        <v>271</v>
      </c>
      <c r="D3179" t="s">
        <v>269</v>
      </c>
      <c r="E3179">
        <v>5.2359699999999999E-4</v>
      </c>
      <c r="F3179" t="s">
        <v>233</v>
      </c>
      <c r="G3179" t="s">
        <v>234</v>
      </c>
      <c r="H3179">
        <v>3</v>
      </c>
    </row>
    <row r="3180" spans="1:8" x14ac:dyDescent="0.25">
      <c r="A3180" t="s">
        <v>5990</v>
      </c>
      <c r="B3180" t="s">
        <v>5990</v>
      </c>
      <c r="C3180" t="s">
        <v>250</v>
      </c>
      <c r="D3180" t="s">
        <v>248</v>
      </c>
      <c r="E3180">
        <v>4.3868599999999998E-4</v>
      </c>
      <c r="F3180" t="s">
        <v>233</v>
      </c>
      <c r="G3180" t="s">
        <v>234</v>
      </c>
      <c r="H3180">
        <v>3</v>
      </c>
    </row>
    <row r="3181" spans="1:8" x14ac:dyDescent="0.25">
      <c r="A3181" t="s">
        <v>5991</v>
      </c>
      <c r="B3181" t="s">
        <v>5991</v>
      </c>
      <c r="C3181" t="s">
        <v>271</v>
      </c>
      <c r="D3181" t="s">
        <v>269</v>
      </c>
      <c r="E3181">
        <v>5.2359699999999999E-4</v>
      </c>
      <c r="F3181" t="s">
        <v>233</v>
      </c>
      <c r="G3181" t="s">
        <v>234</v>
      </c>
      <c r="H3181">
        <v>3</v>
      </c>
    </row>
    <row r="3182" spans="1:8" x14ac:dyDescent="0.25">
      <c r="A3182" t="s">
        <v>5992</v>
      </c>
      <c r="B3182" t="s">
        <v>5992</v>
      </c>
      <c r="C3182" t="s">
        <v>737</v>
      </c>
      <c r="D3182" t="s">
        <v>738</v>
      </c>
      <c r="E3182">
        <v>1.81306E-4</v>
      </c>
      <c r="F3182" t="s">
        <v>233</v>
      </c>
      <c r="G3182" t="s">
        <v>234</v>
      </c>
      <c r="H3182">
        <v>3</v>
      </c>
    </row>
    <row r="3183" spans="1:8" x14ac:dyDescent="0.25">
      <c r="A3183" t="s">
        <v>5993</v>
      </c>
      <c r="B3183" t="s">
        <v>5993</v>
      </c>
      <c r="C3183" t="s">
        <v>2894</v>
      </c>
      <c r="D3183" t="s">
        <v>2892</v>
      </c>
      <c r="E3183">
        <v>2.5805799999999997E-4</v>
      </c>
      <c r="F3183" t="s">
        <v>233</v>
      </c>
      <c r="G3183" t="s">
        <v>234</v>
      </c>
      <c r="H3183">
        <v>3</v>
      </c>
    </row>
    <row r="3184" spans="1:8" x14ac:dyDescent="0.25">
      <c r="A3184" t="s">
        <v>5994</v>
      </c>
      <c r="B3184" t="s">
        <v>5994</v>
      </c>
      <c r="C3184" t="s">
        <v>737</v>
      </c>
      <c r="D3184" t="s">
        <v>738</v>
      </c>
      <c r="E3184">
        <v>1.81306E-4</v>
      </c>
      <c r="F3184" t="s">
        <v>233</v>
      </c>
      <c r="G3184" t="s">
        <v>234</v>
      </c>
      <c r="H3184">
        <v>3</v>
      </c>
    </row>
    <row r="3185" spans="1:8" x14ac:dyDescent="0.25">
      <c r="A3185" t="s">
        <v>5995</v>
      </c>
      <c r="B3185" t="s">
        <v>5995</v>
      </c>
      <c r="C3185" t="s">
        <v>465</v>
      </c>
      <c r="D3185" t="s">
        <v>466</v>
      </c>
      <c r="E3185">
        <v>2.2128299999999999E-4</v>
      </c>
      <c r="F3185" t="s">
        <v>233</v>
      </c>
      <c r="G3185" t="s">
        <v>234</v>
      </c>
      <c r="H3185">
        <v>3</v>
      </c>
    </row>
    <row r="3186" spans="1:8" x14ac:dyDescent="0.25">
      <c r="A3186" t="s">
        <v>5996</v>
      </c>
      <c r="B3186" t="s">
        <v>5997</v>
      </c>
      <c r="C3186" t="s">
        <v>346</v>
      </c>
      <c r="D3186" t="s">
        <v>347</v>
      </c>
      <c r="E3186">
        <v>2.10657E-4</v>
      </c>
      <c r="F3186" t="s">
        <v>233</v>
      </c>
      <c r="G3186" t="s">
        <v>234</v>
      </c>
      <c r="H3186">
        <v>3</v>
      </c>
    </row>
    <row r="3187" spans="1:8" x14ac:dyDescent="0.25">
      <c r="A3187" t="s">
        <v>5998</v>
      </c>
      <c r="B3187" t="s">
        <v>5998</v>
      </c>
      <c r="C3187" t="s">
        <v>280</v>
      </c>
      <c r="D3187" t="s">
        <v>278</v>
      </c>
      <c r="E3187">
        <v>6.2829699999999999E-4</v>
      </c>
      <c r="F3187" t="s">
        <v>233</v>
      </c>
      <c r="G3187" t="s">
        <v>234</v>
      </c>
      <c r="H3187">
        <v>3</v>
      </c>
    </row>
    <row r="3188" spans="1:8" x14ac:dyDescent="0.25">
      <c r="A3188" t="s">
        <v>5999</v>
      </c>
      <c r="B3188" t="s">
        <v>5999</v>
      </c>
      <c r="C3188" t="s">
        <v>465</v>
      </c>
      <c r="D3188" t="s">
        <v>466</v>
      </c>
      <c r="E3188">
        <v>2.2128299999999999E-4</v>
      </c>
      <c r="F3188" t="s">
        <v>233</v>
      </c>
      <c r="G3188" t="s">
        <v>234</v>
      </c>
      <c r="H3188">
        <v>3</v>
      </c>
    </row>
    <row r="3189" spans="1:8" x14ac:dyDescent="0.25">
      <c r="A3189" t="s">
        <v>6000</v>
      </c>
      <c r="B3189" t="s">
        <v>6000</v>
      </c>
      <c r="C3189" t="s">
        <v>346</v>
      </c>
      <c r="D3189" t="s">
        <v>347</v>
      </c>
      <c r="E3189">
        <v>2.10657E-4</v>
      </c>
      <c r="F3189" t="s">
        <v>233</v>
      </c>
      <c r="G3189" t="s">
        <v>234</v>
      </c>
      <c r="H3189">
        <v>3</v>
      </c>
    </row>
    <row r="3190" spans="1:8" x14ac:dyDescent="0.25">
      <c r="A3190" t="s">
        <v>6001</v>
      </c>
      <c r="B3190" t="s">
        <v>6001</v>
      </c>
      <c r="C3190" t="s">
        <v>346</v>
      </c>
      <c r="D3190" t="s">
        <v>347</v>
      </c>
      <c r="E3190">
        <v>2.10657E-4</v>
      </c>
      <c r="F3190" t="s">
        <v>233</v>
      </c>
      <c r="G3190" t="s">
        <v>234</v>
      </c>
      <c r="H3190">
        <v>3</v>
      </c>
    </row>
    <row r="3191" spans="1:8" x14ac:dyDescent="0.25">
      <c r="A3191" t="s">
        <v>6002</v>
      </c>
      <c r="B3191" t="s">
        <v>6002</v>
      </c>
      <c r="C3191" t="s">
        <v>465</v>
      </c>
      <c r="D3191" t="s">
        <v>466</v>
      </c>
      <c r="E3191">
        <v>2.2128299999999999E-4</v>
      </c>
      <c r="F3191" t="s">
        <v>233</v>
      </c>
      <c r="G3191" t="s">
        <v>234</v>
      </c>
      <c r="H3191">
        <v>3</v>
      </c>
    </row>
    <row r="3192" spans="1:8" x14ac:dyDescent="0.25">
      <c r="A3192" t="s">
        <v>6003</v>
      </c>
      <c r="B3192" t="s">
        <v>6003</v>
      </c>
      <c r="C3192" t="s">
        <v>465</v>
      </c>
      <c r="D3192" t="s">
        <v>466</v>
      </c>
      <c r="E3192">
        <v>2.2128299999999999E-4</v>
      </c>
      <c r="F3192" t="s">
        <v>233</v>
      </c>
      <c r="G3192" t="s">
        <v>234</v>
      </c>
      <c r="H3192">
        <v>3</v>
      </c>
    </row>
    <row r="3193" spans="1:8" x14ac:dyDescent="0.25">
      <c r="A3193" t="s">
        <v>6004</v>
      </c>
      <c r="B3193" t="s">
        <v>6004</v>
      </c>
      <c r="C3193" t="s">
        <v>465</v>
      </c>
      <c r="D3193" t="s">
        <v>466</v>
      </c>
      <c r="E3193">
        <v>2.2128299999999999E-4</v>
      </c>
      <c r="F3193" t="s">
        <v>233</v>
      </c>
      <c r="G3193" t="s">
        <v>234</v>
      </c>
      <c r="H3193">
        <v>3</v>
      </c>
    </row>
    <row r="3194" spans="1:8" x14ac:dyDescent="0.25">
      <c r="A3194" t="s">
        <v>6005</v>
      </c>
      <c r="B3194" t="s">
        <v>6005</v>
      </c>
      <c r="C3194" t="s">
        <v>346</v>
      </c>
      <c r="D3194" t="s">
        <v>347</v>
      </c>
      <c r="E3194">
        <v>2.10657E-4</v>
      </c>
      <c r="F3194" t="s">
        <v>233</v>
      </c>
      <c r="G3194" t="s">
        <v>234</v>
      </c>
      <c r="H3194">
        <v>3</v>
      </c>
    </row>
    <row r="3195" spans="1:8" x14ac:dyDescent="0.25">
      <c r="A3195" t="s">
        <v>6006</v>
      </c>
      <c r="B3195" t="s">
        <v>6006</v>
      </c>
      <c r="C3195" t="s">
        <v>721</v>
      </c>
      <c r="D3195" t="s">
        <v>722</v>
      </c>
      <c r="E3195">
        <v>1.24993E-4</v>
      </c>
      <c r="F3195" t="s">
        <v>233</v>
      </c>
      <c r="G3195" t="s">
        <v>234</v>
      </c>
      <c r="H3195">
        <v>3</v>
      </c>
    </row>
    <row r="3196" spans="1:8" x14ac:dyDescent="0.25">
      <c r="A3196" t="s">
        <v>6007</v>
      </c>
      <c r="B3196" t="s">
        <v>6007</v>
      </c>
      <c r="C3196" t="s">
        <v>721</v>
      </c>
      <c r="D3196" t="s">
        <v>722</v>
      </c>
      <c r="E3196">
        <v>1.24993E-4</v>
      </c>
      <c r="F3196" t="s">
        <v>233</v>
      </c>
      <c r="G3196" t="s">
        <v>234</v>
      </c>
      <c r="H3196">
        <v>3</v>
      </c>
    </row>
    <row r="3197" spans="1:8" x14ac:dyDescent="0.25">
      <c r="A3197" t="s">
        <v>6008</v>
      </c>
      <c r="B3197" t="s">
        <v>6008</v>
      </c>
      <c r="C3197" t="s">
        <v>465</v>
      </c>
      <c r="D3197" t="s">
        <v>466</v>
      </c>
      <c r="E3197">
        <v>2.2128299999999999E-4</v>
      </c>
      <c r="F3197" t="s">
        <v>233</v>
      </c>
      <c r="G3197" t="s">
        <v>234</v>
      </c>
      <c r="H3197">
        <v>3</v>
      </c>
    </row>
    <row r="3198" spans="1:8" x14ac:dyDescent="0.25">
      <c r="A3198" t="s">
        <v>6009</v>
      </c>
      <c r="B3198" t="s">
        <v>6009</v>
      </c>
      <c r="C3198" t="s">
        <v>2877</v>
      </c>
      <c r="D3198" t="s">
        <v>229</v>
      </c>
      <c r="E3198" s="42">
        <v>8.8070000000000002E-5</v>
      </c>
      <c r="F3198" t="s">
        <v>233</v>
      </c>
      <c r="G3198" t="s">
        <v>234</v>
      </c>
      <c r="H3198">
        <v>3</v>
      </c>
    </row>
    <row r="3199" spans="1:8" x14ac:dyDescent="0.25">
      <c r="A3199" t="s">
        <v>6010</v>
      </c>
      <c r="B3199" t="s">
        <v>6010</v>
      </c>
      <c r="C3199" t="s">
        <v>2885</v>
      </c>
      <c r="D3199" t="s">
        <v>2883</v>
      </c>
      <c r="E3199">
        <v>2.45865E-4</v>
      </c>
      <c r="F3199" t="s">
        <v>233</v>
      </c>
      <c r="G3199" t="s">
        <v>234</v>
      </c>
      <c r="H3199">
        <v>3</v>
      </c>
    </row>
    <row r="3200" spans="1:8" x14ac:dyDescent="0.25">
      <c r="A3200" t="s">
        <v>6011</v>
      </c>
      <c r="B3200" t="s">
        <v>6011</v>
      </c>
      <c r="C3200" t="s">
        <v>465</v>
      </c>
      <c r="D3200" t="s">
        <v>466</v>
      </c>
      <c r="E3200">
        <v>2.2128299999999999E-4</v>
      </c>
      <c r="F3200" t="s">
        <v>233</v>
      </c>
      <c r="G3200" t="s">
        <v>234</v>
      </c>
      <c r="H3200">
        <v>3</v>
      </c>
    </row>
    <row r="3201" spans="1:8" x14ac:dyDescent="0.25">
      <c r="A3201" t="s">
        <v>6012</v>
      </c>
      <c r="B3201" t="s">
        <v>6012</v>
      </c>
      <c r="C3201" t="s">
        <v>743</v>
      </c>
      <c r="D3201" t="s">
        <v>744</v>
      </c>
      <c r="E3201">
        <v>3.813E-4</v>
      </c>
      <c r="F3201" t="s">
        <v>233</v>
      </c>
      <c r="G3201" t="s">
        <v>316</v>
      </c>
      <c r="H3201">
        <v>3</v>
      </c>
    </row>
    <row r="3202" spans="1:8" x14ac:dyDescent="0.25">
      <c r="A3202" t="s">
        <v>6013</v>
      </c>
      <c r="B3202" t="s">
        <v>6013</v>
      </c>
      <c r="C3202" t="s">
        <v>407</v>
      </c>
      <c r="D3202" t="s">
        <v>408</v>
      </c>
      <c r="E3202">
        <v>1.6713599999999999E-4</v>
      </c>
      <c r="F3202" t="s">
        <v>233</v>
      </c>
      <c r="G3202" t="s">
        <v>234</v>
      </c>
      <c r="H3202">
        <v>3</v>
      </c>
    </row>
    <row r="3203" spans="1:8" x14ac:dyDescent="0.25">
      <c r="A3203" t="s">
        <v>6014</v>
      </c>
      <c r="B3203" t="s">
        <v>6014</v>
      </c>
      <c r="C3203" t="s">
        <v>407</v>
      </c>
      <c r="D3203" t="s">
        <v>408</v>
      </c>
      <c r="E3203">
        <v>1.6713599999999999E-4</v>
      </c>
      <c r="F3203" t="s">
        <v>233</v>
      </c>
      <c r="G3203" t="s">
        <v>234</v>
      </c>
      <c r="H3203">
        <v>3</v>
      </c>
    </row>
    <row r="3204" spans="1:8" x14ac:dyDescent="0.25">
      <c r="A3204" t="s">
        <v>6015</v>
      </c>
      <c r="B3204" t="s">
        <v>6015</v>
      </c>
      <c r="C3204" t="s">
        <v>346</v>
      </c>
      <c r="D3204" t="s">
        <v>347</v>
      </c>
      <c r="E3204">
        <v>2.10657E-4</v>
      </c>
      <c r="F3204" t="s">
        <v>233</v>
      </c>
      <c r="G3204" t="s">
        <v>234</v>
      </c>
      <c r="H3204">
        <v>3</v>
      </c>
    </row>
    <row r="3205" spans="1:8" x14ac:dyDescent="0.25">
      <c r="A3205" t="s">
        <v>6016</v>
      </c>
      <c r="B3205" t="s">
        <v>6016</v>
      </c>
      <c r="C3205" t="s">
        <v>346</v>
      </c>
      <c r="D3205" t="s">
        <v>347</v>
      </c>
      <c r="E3205">
        <v>2.10657E-4</v>
      </c>
      <c r="F3205" t="s">
        <v>233</v>
      </c>
      <c r="G3205" t="s">
        <v>234</v>
      </c>
      <c r="H3205">
        <v>3</v>
      </c>
    </row>
    <row r="3206" spans="1:8" x14ac:dyDescent="0.25">
      <c r="A3206" t="s">
        <v>6017</v>
      </c>
      <c r="B3206" t="s">
        <v>6017</v>
      </c>
      <c r="C3206" t="s">
        <v>346</v>
      </c>
      <c r="D3206" t="s">
        <v>347</v>
      </c>
      <c r="E3206">
        <v>2.10657E-4</v>
      </c>
      <c r="F3206" t="s">
        <v>233</v>
      </c>
      <c r="G3206" t="s">
        <v>234</v>
      </c>
      <c r="H3206">
        <v>3</v>
      </c>
    </row>
    <row r="3207" spans="1:8" x14ac:dyDescent="0.25">
      <c r="A3207" t="s">
        <v>6018</v>
      </c>
      <c r="B3207" t="s">
        <v>6018</v>
      </c>
      <c r="C3207" t="s">
        <v>346</v>
      </c>
      <c r="D3207" t="s">
        <v>347</v>
      </c>
      <c r="E3207">
        <v>2.10657E-4</v>
      </c>
      <c r="F3207" t="s">
        <v>233</v>
      </c>
      <c r="G3207" t="s">
        <v>234</v>
      </c>
      <c r="H3207">
        <v>3</v>
      </c>
    </row>
    <row r="3208" spans="1:8" x14ac:dyDescent="0.25">
      <c r="A3208" t="s">
        <v>6019</v>
      </c>
      <c r="B3208" t="s">
        <v>6019</v>
      </c>
      <c r="C3208" t="s">
        <v>407</v>
      </c>
      <c r="D3208" t="s">
        <v>408</v>
      </c>
      <c r="E3208">
        <v>1.6713599999999999E-4</v>
      </c>
      <c r="F3208" t="s">
        <v>233</v>
      </c>
      <c r="G3208" t="s">
        <v>234</v>
      </c>
      <c r="H3208">
        <v>3</v>
      </c>
    </row>
    <row r="3209" spans="1:8" x14ac:dyDescent="0.25">
      <c r="A3209" t="s">
        <v>6020</v>
      </c>
      <c r="B3209" t="s">
        <v>6020</v>
      </c>
      <c r="C3209" t="s">
        <v>346</v>
      </c>
      <c r="D3209" t="s">
        <v>347</v>
      </c>
      <c r="E3209">
        <v>2.10657E-4</v>
      </c>
      <c r="F3209" t="s">
        <v>233</v>
      </c>
      <c r="G3209" t="s">
        <v>234</v>
      </c>
      <c r="H3209">
        <v>3</v>
      </c>
    </row>
    <row r="3210" spans="1:8" x14ac:dyDescent="0.25">
      <c r="A3210" t="s">
        <v>6021</v>
      </c>
      <c r="B3210" t="s">
        <v>6021</v>
      </c>
      <c r="C3210" t="s">
        <v>743</v>
      </c>
      <c r="D3210" t="s">
        <v>744</v>
      </c>
      <c r="E3210">
        <v>3.813E-4</v>
      </c>
      <c r="F3210" t="s">
        <v>233</v>
      </c>
      <c r="G3210" t="s">
        <v>316</v>
      </c>
      <c r="H3210">
        <v>3</v>
      </c>
    </row>
    <row r="3211" spans="1:8" x14ac:dyDescent="0.25">
      <c r="A3211" t="s">
        <v>6022</v>
      </c>
      <c r="B3211" t="s">
        <v>6022</v>
      </c>
      <c r="C3211" t="s">
        <v>346</v>
      </c>
      <c r="D3211" t="s">
        <v>347</v>
      </c>
      <c r="E3211">
        <v>2.10657E-4</v>
      </c>
      <c r="F3211" t="s">
        <v>233</v>
      </c>
      <c r="G3211" t="s">
        <v>234</v>
      </c>
      <c r="H3211">
        <v>3</v>
      </c>
    </row>
    <row r="3212" spans="1:8" x14ac:dyDescent="0.25">
      <c r="A3212" t="s">
        <v>6023</v>
      </c>
      <c r="B3212" t="s">
        <v>6023</v>
      </c>
      <c r="C3212" t="s">
        <v>737</v>
      </c>
      <c r="D3212" t="s">
        <v>738</v>
      </c>
      <c r="E3212">
        <v>1.81306E-4</v>
      </c>
      <c r="F3212" t="s">
        <v>233</v>
      </c>
      <c r="G3212" t="s">
        <v>234</v>
      </c>
      <c r="H3212">
        <v>3</v>
      </c>
    </row>
    <row r="3213" spans="1:8" x14ac:dyDescent="0.25">
      <c r="A3213" t="s">
        <v>973</v>
      </c>
      <c r="B3213" t="s">
        <v>973</v>
      </c>
      <c r="C3213" t="s">
        <v>346</v>
      </c>
      <c r="D3213" t="s">
        <v>347</v>
      </c>
      <c r="E3213">
        <v>2.10657E-4</v>
      </c>
      <c r="F3213" t="s">
        <v>233</v>
      </c>
      <c r="G3213" t="s">
        <v>234</v>
      </c>
      <c r="H3213">
        <v>3</v>
      </c>
    </row>
    <row r="3214" spans="1:8" x14ac:dyDescent="0.25">
      <c r="A3214" t="s">
        <v>6024</v>
      </c>
      <c r="B3214" t="s">
        <v>6024</v>
      </c>
      <c r="C3214" t="s">
        <v>407</v>
      </c>
      <c r="D3214" t="s">
        <v>408</v>
      </c>
      <c r="E3214">
        <v>1.6713599999999999E-4</v>
      </c>
      <c r="F3214" t="s">
        <v>233</v>
      </c>
      <c r="G3214" t="s">
        <v>234</v>
      </c>
      <c r="H3214">
        <v>3</v>
      </c>
    </row>
    <row r="3215" spans="1:8" x14ac:dyDescent="0.25">
      <c r="A3215" t="s">
        <v>6025</v>
      </c>
      <c r="B3215" t="s">
        <v>6025</v>
      </c>
      <c r="C3215" t="s">
        <v>407</v>
      </c>
      <c r="D3215" t="s">
        <v>408</v>
      </c>
      <c r="E3215">
        <v>1.6713599999999999E-4</v>
      </c>
      <c r="F3215" t="s">
        <v>233</v>
      </c>
      <c r="G3215" t="s">
        <v>234</v>
      </c>
      <c r="H3215">
        <v>3</v>
      </c>
    </row>
    <row r="3216" spans="1:8" x14ac:dyDescent="0.25">
      <c r="A3216" t="s">
        <v>622</v>
      </c>
      <c r="B3216" t="s">
        <v>622</v>
      </c>
      <c r="C3216" t="s">
        <v>413</v>
      </c>
      <c r="D3216" t="s">
        <v>414</v>
      </c>
      <c r="E3216">
        <v>3.1322199999999999E-4</v>
      </c>
      <c r="F3216" t="s">
        <v>233</v>
      </c>
      <c r="G3216" t="s">
        <v>234</v>
      </c>
      <c r="H3216">
        <v>3</v>
      </c>
    </row>
    <row r="3217" spans="1:8" x14ac:dyDescent="0.25">
      <c r="A3217" t="s">
        <v>6026</v>
      </c>
      <c r="B3217" t="s">
        <v>6026</v>
      </c>
      <c r="C3217" t="s">
        <v>346</v>
      </c>
      <c r="D3217" t="s">
        <v>347</v>
      </c>
      <c r="E3217">
        <v>2.10657E-4</v>
      </c>
      <c r="F3217" t="s">
        <v>233</v>
      </c>
      <c r="G3217" t="s">
        <v>234</v>
      </c>
      <c r="H3217">
        <v>3</v>
      </c>
    </row>
    <row r="3218" spans="1:8" x14ac:dyDescent="0.25">
      <c r="A3218" t="s">
        <v>6027</v>
      </c>
      <c r="B3218" t="s">
        <v>6027</v>
      </c>
      <c r="C3218" t="s">
        <v>465</v>
      </c>
      <c r="D3218" t="s">
        <v>466</v>
      </c>
      <c r="E3218">
        <v>2.2128299999999999E-4</v>
      </c>
      <c r="F3218" t="s">
        <v>233</v>
      </c>
      <c r="G3218" t="s">
        <v>234</v>
      </c>
      <c r="H3218">
        <v>3</v>
      </c>
    </row>
    <row r="3219" spans="1:8" x14ac:dyDescent="0.25">
      <c r="A3219" t="s">
        <v>1467</v>
      </c>
      <c r="B3219" t="s">
        <v>1467</v>
      </c>
      <c r="C3219" t="s">
        <v>346</v>
      </c>
      <c r="D3219" t="s">
        <v>347</v>
      </c>
      <c r="E3219">
        <v>2.10657E-4</v>
      </c>
      <c r="F3219" t="s">
        <v>233</v>
      </c>
      <c r="G3219" t="s">
        <v>234</v>
      </c>
      <c r="H3219">
        <v>3</v>
      </c>
    </row>
    <row r="3220" spans="1:8" x14ac:dyDescent="0.25">
      <c r="A3220" t="s">
        <v>5595</v>
      </c>
      <c r="B3220" t="s">
        <v>5595</v>
      </c>
      <c r="C3220" t="s">
        <v>346</v>
      </c>
      <c r="D3220" t="s">
        <v>347</v>
      </c>
      <c r="E3220">
        <v>2.10657E-4</v>
      </c>
      <c r="F3220" t="s">
        <v>233</v>
      </c>
      <c r="G3220" t="s">
        <v>234</v>
      </c>
      <c r="H3220">
        <v>3</v>
      </c>
    </row>
    <row r="3221" spans="1:8" x14ac:dyDescent="0.25">
      <c r="A3221" t="s">
        <v>1335</v>
      </c>
      <c r="B3221" t="s">
        <v>1335</v>
      </c>
      <c r="C3221" t="s">
        <v>346</v>
      </c>
      <c r="D3221" t="s">
        <v>347</v>
      </c>
      <c r="E3221">
        <v>2.10657E-4</v>
      </c>
      <c r="F3221" t="s">
        <v>233</v>
      </c>
      <c r="G3221" t="s">
        <v>234</v>
      </c>
      <c r="H3221">
        <v>3</v>
      </c>
    </row>
    <row r="3222" spans="1:8" x14ac:dyDescent="0.25">
      <c r="A3222" t="s">
        <v>6028</v>
      </c>
      <c r="B3222" t="s">
        <v>6028</v>
      </c>
      <c r="C3222" t="s">
        <v>407</v>
      </c>
      <c r="D3222" t="s">
        <v>408</v>
      </c>
      <c r="E3222">
        <v>1.6713599999999999E-4</v>
      </c>
      <c r="F3222" t="s">
        <v>233</v>
      </c>
      <c r="G3222" t="s">
        <v>234</v>
      </c>
      <c r="H3222">
        <v>3</v>
      </c>
    </row>
    <row r="3223" spans="1:8" x14ac:dyDescent="0.25">
      <c r="A3223" t="s">
        <v>887</v>
      </c>
      <c r="B3223" t="s">
        <v>887</v>
      </c>
      <c r="C3223" t="s">
        <v>729</v>
      </c>
      <c r="D3223" t="s">
        <v>730</v>
      </c>
      <c r="E3223">
        <v>1.8648100000000001E-4</v>
      </c>
      <c r="F3223" t="s">
        <v>233</v>
      </c>
      <c r="G3223" t="s">
        <v>234</v>
      </c>
      <c r="H3223">
        <v>3</v>
      </c>
    </row>
    <row r="3224" spans="1:8" x14ac:dyDescent="0.25">
      <c r="A3224" t="s">
        <v>6029</v>
      </c>
      <c r="B3224" t="s">
        <v>6029</v>
      </c>
      <c r="C3224" t="s">
        <v>250</v>
      </c>
      <c r="D3224" t="s">
        <v>248</v>
      </c>
      <c r="E3224">
        <v>4.3868599999999998E-4</v>
      </c>
      <c r="F3224" t="s">
        <v>233</v>
      </c>
      <c r="G3224" t="s">
        <v>234</v>
      </c>
      <c r="H3224">
        <v>3</v>
      </c>
    </row>
    <row r="3225" spans="1:8" x14ac:dyDescent="0.25">
      <c r="A3225" t="s">
        <v>828</v>
      </c>
      <c r="B3225" t="s">
        <v>828</v>
      </c>
      <c r="C3225" t="s">
        <v>346</v>
      </c>
      <c r="D3225" t="s">
        <v>347</v>
      </c>
      <c r="E3225">
        <v>2.10657E-4</v>
      </c>
      <c r="F3225" t="s">
        <v>233</v>
      </c>
      <c r="G3225" t="s">
        <v>234</v>
      </c>
      <c r="H3225">
        <v>3</v>
      </c>
    </row>
    <row r="3226" spans="1:8" x14ac:dyDescent="0.25">
      <c r="A3226" t="s">
        <v>1324</v>
      </c>
      <c r="B3226" t="s">
        <v>1324</v>
      </c>
      <c r="C3226" t="s">
        <v>407</v>
      </c>
      <c r="D3226" t="s">
        <v>408</v>
      </c>
      <c r="E3226">
        <v>1.6713599999999999E-4</v>
      </c>
      <c r="F3226" t="s">
        <v>233</v>
      </c>
      <c r="G3226" t="s">
        <v>234</v>
      </c>
      <c r="H3226">
        <v>3</v>
      </c>
    </row>
    <row r="3227" spans="1:8" x14ac:dyDescent="0.25">
      <c r="A3227" t="s">
        <v>6030</v>
      </c>
      <c r="B3227" t="s">
        <v>6030</v>
      </c>
      <c r="C3227" t="s">
        <v>346</v>
      </c>
      <c r="D3227" t="s">
        <v>347</v>
      </c>
      <c r="E3227">
        <v>2.10657E-4</v>
      </c>
      <c r="F3227" t="s">
        <v>233</v>
      </c>
      <c r="G3227" t="s">
        <v>234</v>
      </c>
      <c r="H3227">
        <v>3</v>
      </c>
    </row>
    <row r="3228" spans="1:8" x14ac:dyDescent="0.25">
      <c r="A3228" t="s">
        <v>973</v>
      </c>
      <c r="B3228" t="s">
        <v>973</v>
      </c>
      <c r="C3228" t="s">
        <v>346</v>
      </c>
      <c r="D3228" t="s">
        <v>347</v>
      </c>
      <c r="E3228">
        <v>2.10657E-4</v>
      </c>
      <c r="F3228" t="s">
        <v>233</v>
      </c>
      <c r="G3228" t="s">
        <v>234</v>
      </c>
      <c r="H3228">
        <v>3</v>
      </c>
    </row>
    <row r="3229" spans="1:8" x14ac:dyDescent="0.25">
      <c r="A3229" t="s">
        <v>6024</v>
      </c>
      <c r="B3229" t="s">
        <v>6024</v>
      </c>
      <c r="C3229" t="s">
        <v>407</v>
      </c>
      <c r="D3229" t="s">
        <v>408</v>
      </c>
      <c r="E3229">
        <v>1.6713599999999999E-4</v>
      </c>
      <c r="F3229" t="s">
        <v>233</v>
      </c>
      <c r="G3229" t="s">
        <v>234</v>
      </c>
      <c r="H3229">
        <v>3</v>
      </c>
    </row>
    <row r="3230" spans="1:8" x14ac:dyDescent="0.25">
      <c r="A3230" t="s">
        <v>6025</v>
      </c>
      <c r="B3230" t="s">
        <v>6025</v>
      </c>
      <c r="C3230" t="s">
        <v>407</v>
      </c>
      <c r="D3230" t="s">
        <v>408</v>
      </c>
      <c r="E3230">
        <v>1.6713599999999999E-4</v>
      </c>
      <c r="F3230" t="s">
        <v>233</v>
      </c>
      <c r="G3230" t="s">
        <v>234</v>
      </c>
      <c r="H3230">
        <v>3</v>
      </c>
    </row>
    <row r="3231" spans="1:8" x14ac:dyDescent="0.25">
      <c r="A3231" t="s">
        <v>622</v>
      </c>
      <c r="B3231" t="s">
        <v>622</v>
      </c>
      <c r="C3231" t="s">
        <v>413</v>
      </c>
      <c r="D3231" t="s">
        <v>414</v>
      </c>
      <c r="E3231">
        <v>3.1322199999999999E-4</v>
      </c>
      <c r="F3231" t="s">
        <v>233</v>
      </c>
      <c r="G3231" t="s">
        <v>234</v>
      </c>
      <c r="H3231">
        <v>3</v>
      </c>
    </row>
    <row r="3232" spans="1:8" x14ac:dyDescent="0.25">
      <c r="A3232" t="s">
        <v>6026</v>
      </c>
      <c r="B3232" t="s">
        <v>6026</v>
      </c>
      <c r="C3232" t="s">
        <v>346</v>
      </c>
      <c r="D3232" t="s">
        <v>347</v>
      </c>
      <c r="E3232">
        <v>2.10657E-4</v>
      </c>
      <c r="F3232" t="s">
        <v>233</v>
      </c>
      <c r="G3232" t="s">
        <v>234</v>
      </c>
      <c r="H3232">
        <v>3</v>
      </c>
    </row>
    <row r="3233" spans="1:8" x14ac:dyDescent="0.25">
      <c r="A3233" t="s">
        <v>6027</v>
      </c>
      <c r="B3233" t="s">
        <v>6027</v>
      </c>
      <c r="C3233" t="s">
        <v>465</v>
      </c>
      <c r="D3233" t="s">
        <v>466</v>
      </c>
      <c r="E3233">
        <v>2.2128299999999999E-4</v>
      </c>
      <c r="F3233" t="s">
        <v>233</v>
      </c>
      <c r="G3233" t="s">
        <v>234</v>
      </c>
      <c r="H3233">
        <v>3</v>
      </c>
    </row>
    <row r="3234" spans="1:8" x14ac:dyDescent="0.25">
      <c r="A3234" t="s">
        <v>1467</v>
      </c>
      <c r="B3234" t="s">
        <v>1467</v>
      </c>
      <c r="C3234" t="s">
        <v>346</v>
      </c>
      <c r="D3234" t="s">
        <v>347</v>
      </c>
      <c r="E3234">
        <v>2.10657E-4</v>
      </c>
      <c r="F3234" t="s">
        <v>233</v>
      </c>
      <c r="G3234" t="s">
        <v>234</v>
      </c>
      <c r="H3234">
        <v>3</v>
      </c>
    </row>
    <row r="3235" spans="1:8" x14ac:dyDescent="0.25">
      <c r="A3235" t="s">
        <v>5595</v>
      </c>
      <c r="B3235" t="s">
        <v>5595</v>
      </c>
      <c r="C3235" t="s">
        <v>346</v>
      </c>
      <c r="D3235" t="s">
        <v>347</v>
      </c>
      <c r="E3235">
        <v>2.10657E-4</v>
      </c>
      <c r="F3235" t="s">
        <v>233</v>
      </c>
      <c r="G3235" t="s">
        <v>234</v>
      </c>
      <c r="H3235">
        <v>3</v>
      </c>
    </row>
    <row r="3236" spans="1:8" x14ac:dyDescent="0.25">
      <c r="A3236" t="s">
        <v>1335</v>
      </c>
      <c r="B3236" t="s">
        <v>1335</v>
      </c>
      <c r="C3236" t="s">
        <v>346</v>
      </c>
      <c r="D3236" t="s">
        <v>347</v>
      </c>
      <c r="E3236">
        <v>2.10657E-4</v>
      </c>
      <c r="F3236" t="s">
        <v>233</v>
      </c>
      <c r="G3236" t="s">
        <v>234</v>
      </c>
      <c r="H3236">
        <v>3</v>
      </c>
    </row>
    <row r="3237" spans="1:8" x14ac:dyDescent="0.25">
      <c r="A3237" t="s">
        <v>6028</v>
      </c>
      <c r="B3237" t="s">
        <v>6028</v>
      </c>
      <c r="C3237" t="s">
        <v>407</v>
      </c>
      <c r="D3237" t="s">
        <v>408</v>
      </c>
      <c r="E3237">
        <v>1.6713599999999999E-4</v>
      </c>
      <c r="F3237" t="s">
        <v>233</v>
      </c>
      <c r="G3237" t="s">
        <v>234</v>
      </c>
      <c r="H3237">
        <v>3</v>
      </c>
    </row>
    <row r="3238" spans="1:8" x14ac:dyDescent="0.25">
      <c r="A3238" t="s">
        <v>887</v>
      </c>
      <c r="B3238" t="s">
        <v>887</v>
      </c>
      <c r="C3238" t="s">
        <v>729</v>
      </c>
      <c r="D3238" t="s">
        <v>730</v>
      </c>
      <c r="E3238">
        <v>1.8648100000000001E-4</v>
      </c>
      <c r="F3238" t="s">
        <v>233</v>
      </c>
      <c r="G3238" t="s">
        <v>234</v>
      </c>
      <c r="H3238">
        <v>3</v>
      </c>
    </row>
    <row r="3239" spans="1:8" x14ac:dyDescent="0.25">
      <c r="A3239" t="s">
        <v>6029</v>
      </c>
      <c r="B3239" t="s">
        <v>6029</v>
      </c>
      <c r="C3239" t="s">
        <v>250</v>
      </c>
      <c r="D3239" t="s">
        <v>248</v>
      </c>
      <c r="E3239">
        <v>4.3868599999999998E-4</v>
      </c>
      <c r="F3239" t="s">
        <v>233</v>
      </c>
      <c r="G3239" t="s">
        <v>234</v>
      </c>
      <c r="H3239">
        <v>3</v>
      </c>
    </row>
    <row r="3240" spans="1:8" x14ac:dyDescent="0.25">
      <c r="A3240" t="s">
        <v>828</v>
      </c>
      <c r="B3240" t="s">
        <v>828</v>
      </c>
      <c r="C3240" t="s">
        <v>346</v>
      </c>
      <c r="D3240" t="s">
        <v>347</v>
      </c>
      <c r="E3240">
        <v>2.10657E-4</v>
      </c>
      <c r="F3240" t="s">
        <v>233</v>
      </c>
      <c r="G3240" t="s">
        <v>234</v>
      </c>
      <c r="H3240">
        <v>3</v>
      </c>
    </row>
    <row r="3241" spans="1:8" x14ac:dyDescent="0.25">
      <c r="A3241" t="s">
        <v>1324</v>
      </c>
      <c r="B3241" t="s">
        <v>1324</v>
      </c>
      <c r="C3241" t="s">
        <v>407</v>
      </c>
      <c r="D3241" t="s">
        <v>408</v>
      </c>
      <c r="E3241">
        <v>1.6713599999999999E-4</v>
      </c>
      <c r="F3241" t="s">
        <v>233</v>
      </c>
      <c r="G3241" t="s">
        <v>234</v>
      </c>
      <c r="H3241">
        <v>3</v>
      </c>
    </row>
    <row r="3242" spans="1:8" x14ac:dyDescent="0.25">
      <c r="A3242" t="s">
        <v>6030</v>
      </c>
      <c r="B3242" t="s">
        <v>6030</v>
      </c>
      <c r="C3242" t="s">
        <v>346</v>
      </c>
      <c r="D3242" t="s">
        <v>347</v>
      </c>
      <c r="E3242">
        <v>2.10657E-4</v>
      </c>
      <c r="F3242" t="s">
        <v>233</v>
      </c>
      <c r="G3242" t="s">
        <v>234</v>
      </c>
      <c r="H3242">
        <v>3</v>
      </c>
    </row>
    <row r="3243" spans="1:8" x14ac:dyDescent="0.25">
      <c r="A3243" t="s">
        <v>6035</v>
      </c>
      <c r="B3243" t="s">
        <v>6035</v>
      </c>
      <c r="C3243" t="s">
        <v>250</v>
      </c>
      <c r="D3243" t="s">
        <v>248</v>
      </c>
      <c r="E3243">
        <v>4.3868599999999998E-4</v>
      </c>
      <c r="F3243" t="s">
        <v>233</v>
      </c>
      <c r="G3243" t="s">
        <v>234</v>
      </c>
      <c r="H3243">
        <v>3</v>
      </c>
    </row>
    <row r="3244" spans="1:8" x14ac:dyDescent="0.25">
      <c r="A3244" t="s">
        <v>420</v>
      </c>
      <c r="B3244" t="s">
        <v>420</v>
      </c>
      <c r="C3244" t="s">
        <v>346</v>
      </c>
      <c r="D3244" t="s">
        <v>347</v>
      </c>
      <c r="E3244">
        <v>2.10657E-4</v>
      </c>
      <c r="F3244" t="s">
        <v>233</v>
      </c>
      <c r="G3244" t="s">
        <v>234</v>
      </c>
      <c r="H3244">
        <v>3</v>
      </c>
    </row>
    <row r="3245" spans="1:8" x14ac:dyDescent="0.25">
      <c r="A3245" t="s">
        <v>6036</v>
      </c>
      <c r="B3245" t="s">
        <v>6036</v>
      </c>
      <c r="C3245" t="s">
        <v>271</v>
      </c>
      <c r="D3245" t="s">
        <v>269</v>
      </c>
      <c r="E3245">
        <v>5.2359699999999999E-4</v>
      </c>
      <c r="F3245" t="s">
        <v>233</v>
      </c>
      <c r="G3245" t="s">
        <v>234</v>
      </c>
      <c r="H3245">
        <v>3</v>
      </c>
    </row>
    <row r="3246" spans="1:8" x14ac:dyDescent="0.25">
      <c r="A3246" t="s">
        <v>2500</v>
      </c>
      <c r="B3246" t="s">
        <v>2500</v>
      </c>
      <c r="C3246" t="s">
        <v>346</v>
      </c>
      <c r="D3246" t="s">
        <v>347</v>
      </c>
      <c r="E3246">
        <v>2.10657E-4</v>
      </c>
      <c r="F3246" t="s">
        <v>233</v>
      </c>
      <c r="G3246" t="s">
        <v>234</v>
      </c>
      <c r="H3246">
        <v>3</v>
      </c>
    </row>
    <row r="3247" spans="1:8" x14ac:dyDescent="0.25">
      <c r="A3247" t="s">
        <v>6037</v>
      </c>
      <c r="B3247" t="s">
        <v>6037</v>
      </c>
      <c r="C3247" t="s">
        <v>346</v>
      </c>
      <c r="D3247" t="s">
        <v>347</v>
      </c>
      <c r="E3247">
        <v>2.10657E-4</v>
      </c>
      <c r="F3247" t="s">
        <v>233</v>
      </c>
      <c r="G3247" t="s">
        <v>234</v>
      </c>
      <c r="H3247">
        <v>3</v>
      </c>
    </row>
    <row r="3248" spans="1:8" x14ac:dyDescent="0.25">
      <c r="A3248" t="s">
        <v>6038</v>
      </c>
      <c r="B3248" t="s">
        <v>6038</v>
      </c>
      <c r="C3248" t="s">
        <v>407</v>
      </c>
      <c r="D3248" t="s">
        <v>408</v>
      </c>
      <c r="E3248">
        <v>1.6713599999999999E-4</v>
      </c>
      <c r="F3248" t="s">
        <v>233</v>
      </c>
      <c r="G3248" t="s">
        <v>234</v>
      </c>
      <c r="H3248">
        <v>3</v>
      </c>
    </row>
    <row r="3249" spans="1:8" x14ac:dyDescent="0.25">
      <c r="A3249" t="s">
        <v>6039</v>
      </c>
      <c r="B3249" t="s">
        <v>6039</v>
      </c>
      <c r="C3249" t="s">
        <v>346</v>
      </c>
      <c r="D3249" t="s">
        <v>347</v>
      </c>
      <c r="E3249">
        <v>2.10657E-4</v>
      </c>
      <c r="F3249" t="s">
        <v>233</v>
      </c>
      <c r="G3249" t="s">
        <v>234</v>
      </c>
      <c r="H3249">
        <v>3</v>
      </c>
    </row>
    <row r="3250" spans="1:8" x14ac:dyDescent="0.25">
      <c r="A3250" t="s">
        <v>1919</v>
      </c>
      <c r="B3250" t="s">
        <v>1919</v>
      </c>
      <c r="C3250" t="s">
        <v>256</v>
      </c>
      <c r="D3250" t="s">
        <v>254</v>
      </c>
      <c r="E3250">
        <v>8.1312799999999998E-4</v>
      </c>
      <c r="F3250" t="s">
        <v>233</v>
      </c>
      <c r="G3250" t="s">
        <v>234</v>
      </c>
      <c r="H3250">
        <v>3</v>
      </c>
    </row>
    <row r="3251" spans="1:8" x14ac:dyDescent="0.25">
      <c r="A3251" t="s">
        <v>6040</v>
      </c>
      <c r="B3251" t="s">
        <v>6040</v>
      </c>
      <c r="C3251" t="s">
        <v>407</v>
      </c>
      <c r="D3251" t="s">
        <v>408</v>
      </c>
      <c r="E3251">
        <v>1.6713599999999999E-4</v>
      </c>
      <c r="F3251" t="s">
        <v>233</v>
      </c>
      <c r="G3251" t="s">
        <v>234</v>
      </c>
      <c r="H3251">
        <v>3</v>
      </c>
    </row>
    <row r="3252" spans="1:8" x14ac:dyDescent="0.25">
      <c r="A3252" t="s">
        <v>5096</v>
      </c>
      <c r="B3252" t="s">
        <v>5096</v>
      </c>
      <c r="C3252" t="s">
        <v>465</v>
      </c>
      <c r="D3252" t="s">
        <v>466</v>
      </c>
      <c r="E3252">
        <v>2.2128299999999999E-4</v>
      </c>
      <c r="F3252" t="s">
        <v>233</v>
      </c>
      <c r="G3252" t="s">
        <v>234</v>
      </c>
      <c r="H3252">
        <v>3</v>
      </c>
    </row>
    <row r="3253" spans="1:8" x14ac:dyDescent="0.25">
      <c r="A3253" t="s">
        <v>6041</v>
      </c>
      <c r="B3253" t="s">
        <v>6041</v>
      </c>
      <c r="C3253" t="s">
        <v>271</v>
      </c>
      <c r="D3253" t="s">
        <v>269</v>
      </c>
      <c r="E3253">
        <v>5.2359699999999999E-4</v>
      </c>
      <c r="F3253" t="s">
        <v>233</v>
      </c>
      <c r="G3253" t="s">
        <v>234</v>
      </c>
      <c r="H3253">
        <v>3</v>
      </c>
    </row>
    <row r="3254" spans="1:8" x14ac:dyDescent="0.25">
      <c r="A3254" t="s">
        <v>428</v>
      </c>
      <c r="B3254" t="s">
        <v>428</v>
      </c>
      <c r="C3254" t="s">
        <v>271</v>
      </c>
      <c r="D3254" t="s">
        <v>269</v>
      </c>
      <c r="E3254">
        <v>5.2359699999999999E-4</v>
      </c>
      <c r="F3254" t="s">
        <v>233</v>
      </c>
      <c r="G3254" t="s">
        <v>234</v>
      </c>
      <c r="H3254">
        <v>3</v>
      </c>
    </row>
    <row r="3255" spans="1:8" x14ac:dyDescent="0.25">
      <c r="A3255" t="s">
        <v>5937</v>
      </c>
      <c r="B3255" t="s">
        <v>5937</v>
      </c>
      <c r="C3255" t="s">
        <v>737</v>
      </c>
      <c r="D3255" t="s">
        <v>738</v>
      </c>
      <c r="E3255">
        <v>1.81306E-4</v>
      </c>
      <c r="F3255" t="s">
        <v>233</v>
      </c>
      <c r="G3255" t="s">
        <v>234</v>
      </c>
      <c r="H3255">
        <v>3</v>
      </c>
    </row>
    <row r="3256" spans="1:8" x14ac:dyDescent="0.25">
      <c r="A3256" t="s">
        <v>943</v>
      </c>
      <c r="B3256" t="s">
        <v>943</v>
      </c>
      <c r="C3256" t="s">
        <v>346</v>
      </c>
      <c r="D3256" t="s">
        <v>347</v>
      </c>
      <c r="E3256">
        <v>2.10657E-4</v>
      </c>
      <c r="F3256" t="s">
        <v>233</v>
      </c>
      <c r="G3256" t="s">
        <v>234</v>
      </c>
      <c r="H3256">
        <v>3</v>
      </c>
    </row>
    <row r="3257" spans="1:8" x14ac:dyDescent="0.25">
      <c r="A3257" t="s">
        <v>5746</v>
      </c>
      <c r="B3257" t="s">
        <v>5746</v>
      </c>
      <c r="C3257" t="s">
        <v>737</v>
      </c>
      <c r="D3257" t="s">
        <v>738</v>
      </c>
      <c r="E3257">
        <v>1.81306E-4</v>
      </c>
      <c r="F3257" t="s">
        <v>233</v>
      </c>
      <c r="G3257" t="s">
        <v>234</v>
      </c>
      <c r="H3257">
        <v>3</v>
      </c>
    </row>
    <row r="3258" spans="1:8" x14ac:dyDescent="0.25">
      <c r="A3258" t="s">
        <v>6042</v>
      </c>
      <c r="B3258" t="s">
        <v>6042</v>
      </c>
      <c r="C3258" t="s">
        <v>250</v>
      </c>
      <c r="D3258" t="s">
        <v>248</v>
      </c>
      <c r="E3258">
        <v>4.3868599999999998E-4</v>
      </c>
      <c r="F3258" t="s">
        <v>233</v>
      </c>
      <c r="G3258" t="s">
        <v>234</v>
      </c>
      <c r="H3258">
        <v>3</v>
      </c>
    </row>
    <row r="3259" spans="1:8" x14ac:dyDescent="0.25">
      <c r="A3259" t="s">
        <v>6043</v>
      </c>
      <c r="B3259" t="s">
        <v>6043</v>
      </c>
      <c r="C3259" t="s">
        <v>256</v>
      </c>
      <c r="D3259" t="s">
        <v>254</v>
      </c>
      <c r="E3259">
        <v>8.1312799999999998E-4</v>
      </c>
      <c r="F3259" t="s">
        <v>233</v>
      </c>
      <c r="G3259" t="s">
        <v>234</v>
      </c>
      <c r="H3259">
        <v>3</v>
      </c>
    </row>
    <row r="3260" spans="1:8" x14ac:dyDescent="0.25">
      <c r="A3260" t="s">
        <v>1753</v>
      </c>
      <c r="B3260" t="s">
        <v>1753</v>
      </c>
      <c r="C3260" t="s">
        <v>247</v>
      </c>
      <c r="D3260" t="s">
        <v>245</v>
      </c>
      <c r="E3260">
        <v>1.0475809999999999E-3</v>
      </c>
      <c r="F3260" t="s">
        <v>233</v>
      </c>
      <c r="G3260" t="s">
        <v>234</v>
      </c>
      <c r="H3260">
        <v>3</v>
      </c>
    </row>
    <row r="3261" spans="1:8" x14ac:dyDescent="0.25">
      <c r="A3261" t="s">
        <v>5936</v>
      </c>
      <c r="B3261" t="s">
        <v>5936</v>
      </c>
      <c r="C3261" t="s">
        <v>353</v>
      </c>
      <c r="D3261" t="s">
        <v>354</v>
      </c>
      <c r="E3261">
        <v>2.78752E-4</v>
      </c>
      <c r="F3261" t="s">
        <v>233</v>
      </c>
      <c r="G3261" t="s">
        <v>234</v>
      </c>
      <c r="H3261">
        <v>3</v>
      </c>
    </row>
    <row r="3262" spans="1:8" x14ac:dyDescent="0.25">
      <c r="A3262" t="s">
        <v>6044</v>
      </c>
      <c r="B3262" t="s">
        <v>6044</v>
      </c>
      <c r="C3262" t="s">
        <v>465</v>
      </c>
      <c r="D3262" t="s">
        <v>466</v>
      </c>
      <c r="E3262">
        <v>2.2128299999999999E-4</v>
      </c>
      <c r="F3262" t="s">
        <v>233</v>
      </c>
      <c r="G3262" t="s">
        <v>234</v>
      </c>
      <c r="H3262">
        <v>3</v>
      </c>
    </row>
    <row r="3263" spans="1:8" x14ac:dyDescent="0.25">
      <c r="A3263" t="s">
        <v>6045</v>
      </c>
      <c r="B3263" t="s">
        <v>6045</v>
      </c>
      <c r="C3263" t="s">
        <v>256</v>
      </c>
      <c r="D3263" t="s">
        <v>254</v>
      </c>
      <c r="E3263">
        <v>8.1312799999999998E-4</v>
      </c>
      <c r="F3263" t="s">
        <v>233</v>
      </c>
      <c r="G3263" t="s">
        <v>234</v>
      </c>
      <c r="H3263">
        <v>3</v>
      </c>
    </row>
    <row r="3264" spans="1:8" x14ac:dyDescent="0.25">
      <c r="A3264" t="s">
        <v>6046</v>
      </c>
      <c r="B3264" t="s">
        <v>6046</v>
      </c>
      <c r="C3264" t="s">
        <v>256</v>
      </c>
      <c r="D3264" t="s">
        <v>254</v>
      </c>
      <c r="E3264">
        <v>8.1312799999999998E-4</v>
      </c>
      <c r="F3264" t="s">
        <v>233</v>
      </c>
      <c r="G3264" t="s">
        <v>234</v>
      </c>
      <c r="H3264">
        <v>3</v>
      </c>
    </row>
    <row r="3265" spans="1:8" x14ac:dyDescent="0.25">
      <c r="A3265" t="s">
        <v>6047</v>
      </c>
      <c r="B3265" t="s">
        <v>6047</v>
      </c>
      <c r="C3265" t="s">
        <v>280</v>
      </c>
      <c r="D3265" t="s">
        <v>278</v>
      </c>
      <c r="E3265">
        <v>6.2829699999999999E-4</v>
      </c>
      <c r="F3265" t="s">
        <v>233</v>
      </c>
      <c r="G3265" t="s">
        <v>234</v>
      </c>
      <c r="H3265">
        <v>3</v>
      </c>
    </row>
    <row r="3266" spans="1:8" x14ac:dyDescent="0.25">
      <c r="A3266" t="s">
        <v>2633</v>
      </c>
      <c r="B3266" t="s">
        <v>2633</v>
      </c>
      <c r="C3266" t="s">
        <v>271</v>
      </c>
      <c r="D3266" t="s">
        <v>269</v>
      </c>
      <c r="E3266">
        <v>5.2359699999999999E-4</v>
      </c>
      <c r="F3266" t="s">
        <v>233</v>
      </c>
      <c r="G3266" t="s">
        <v>234</v>
      </c>
      <c r="H3266">
        <v>3</v>
      </c>
    </row>
    <row r="3267" spans="1:8" x14ac:dyDescent="0.25">
      <c r="A3267" t="s">
        <v>6048</v>
      </c>
      <c r="B3267" t="s">
        <v>6048</v>
      </c>
      <c r="C3267" t="s">
        <v>247</v>
      </c>
      <c r="D3267" t="s">
        <v>245</v>
      </c>
      <c r="E3267">
        <v>1.0475809999999999E-3</v>
      </c>
      <c r="F3267" t="s">
        <v>233</v>
      </c>
      <c r="G3267" t="s">
        <v>234</v>
      </c>
      <c r="H3267">
        <v>3</v>
      </c>
    </row>
    <row r="3268" spans="1:8" x14ac:dyDescent="0.25">
      <c r="A3268" t="s">
        <v>5115</v>
      </c>
      <c r="B3268" t="s">
        <v>5115</v>
      </c>
      <c r="C3268" t="s">
        <v>346</v>
      </c>
      <c r="D3268" t="s">
        <v>347</v>
      </c>
      <c r="E3268">
        <v>2.10657E-4</v>
      </c>
      <c r="F3268" t="s">
        <v>233</v>
      </c>
      <c r="G3268" t="s">
        <v>234</v>
      </c>
      <c r="H3268">
        <v>3</v>
      </c>
    </row>
    <row r="3269" spans="1:8" x14ac:dyDescent="0.25">
      <c r="A3269" t="s">
        <v>6049</v>
      </c>
      <c r="B3269" t="s">
        <v>6049</v>
      </c>
      <c r="C3269" t="s">
        <v>346</v>
      </c>
      <c r="D3269" t="s">
        <v>347</v>
      </c>
      <c r="E3269">
        <v>2.10657E-4</v>
      </c>
      <c r="F3269" t="s">
        <v>233</v>
      </c>
      <c r="G3269" t="s">
        <v>234</v>
      </c>
      <c r="H3269">
        <v>3</v>
      </c>
    </row>
    <row r="3270" spans="1:8" x14ac:dyDescent="0.25">
      <c r="A3270" t="s">
        <v>5097</v>
      </c>
      <c r="B3270" t="s">
        <v>5097</v>
      </c>
      <c r="C3270" t="s">
        <v>247</v>
      </c>
      <c r="D3270" t="s">
        <v>245</v>
      </c>
      <c r="E3270">
        <v>1.0475809999999999E-3</v>
      </c>
      <c r="F3270" t="s">
        <v>233</v>
      </c>
      <c r="G3270" t="s">
        <v>234</v>
      </c>
      <c r="H3270">
        <v>3</v>
      </c>
    </row>
    <row r="3271" spans="1:8" x14ac:dyDescent="0.25">
      <c r="A3271" t="s">
        <v>6050</v>
      </c>
      <c r="B3271" t="s">
        <v>6050</v>
      </c>
      <c r="C3271" t="s">
        <v>413</v>
      </c>
      <c r="D3271" t="s">
        <v>414</v>
      </c>
      <c r="E3271">
        <v>3.1322199999999999E-4</v>
      </c>
      <c r="F3271" t="s">
        <v>233</v>
      </c>
      <c r="G3271" t="s">
        <v>234</v>
      </c>
      <c r="H3271">
        <v>3</v>
      </c>
    </row>
    <row r="3272" spans="1:8" x14ac:dyDescent="0.25">
      <c r="A3272" t="s">
        <v>409</v>
      </c>
      <c r="B3272" t="s">
        <v>409</v>
      </c>
      <c r="C3272" t="s">
        <v>346</v>
      </c>
      <c r="D3272" t="s">
        <v>347</v>
      </c>
      <c r="E3272">
        <v>2.10657E-4</v>
      </c>
      <c r="F3272" t="s">
        <v>233</v>
      </c>
      <c r="G3272" t="s">
        <v>234</v>
      </c>
      <c r="H3272">
        <v>3</v>
      </c>
    </row>
    <row r="3273" spans="1:8" x14ac:dyDescent="0.25">
      <c r="A3273" t="s">
        <v>6051</v>
      </c>
      <c r="B3273" t="s">
        <v>6051</v>
      </c>
      <c r="C3273" t="s">
        <v>247</v>
      </c>
      <c r="D3273" t="s">
        <v>245</v>
      </c>
      <c r="E3273">
        <v>1.0475809999999999E-3</v>
      </c>
      <c r="F3273" t="s">
        <v>233</v>
      </c>
      <c r="G3273" t="s">
        <v>234</v>
      </c>
      <c r="H3273">
        <v>3</v>
      </c>
    </row>
    <row r="3274" spans="1:8" x14ac:dyDescent="0.25">
      <c r="A3274" t="s">
        <v>6052</v>
      </c>
      <c r="B3274" t="s">
        <v>6052</v>
      </c>
      <c r="C3274" t="s">
        <v>265</v>
      </c>
      <c r="D3274" t="s">
        <v>263</v>
      </c>
      <c r="E3274">
        <v>3.0449399999999999E-4</v>
      </c>
      <c r="F3274" t="s">
        <v>233</v>
      </c>
      <c r="G3274" t="s">
        <v>234</v>
      </c>
      <c r="H3274">
        <v>3</v>
      </c>
    </row>
    <row r="3275" spans="1:8" x14ac:dyDescent="0.25">
      <c r="A3275" t="s">
        <v>6053</v>
      </c>
      <c r="B3275" t="s">
        <v>6053</v>
      </c>
      <c r="C3275" t="s">
        <v>413</v>
      </c>
      <c r="D3275" t="s">
        <v>414</v>
      </c>
      <c r="E3275">
        <v>3.1322199999999999E-4</v>
      </c>
      <c r="F3275" t="s">
        <v>233</v>
      </c>
      <c r="G3275" t="s">
        <v>234</v>
      </c>
      <c r="H3275">
        <v>3</v>
      </c>
    </row>
    <row r="3276" spans="1:8" x14ac:dyDescent="0.25">
      <c r="A3276" t="s">
        <v>1485</v>
      </c>
      <c r="B3276" t="s">
        <v>1485</v>
      </c>
      <c r="C3276" t="s">
        <v>265</v>
      </c>
      <c r="D3276" t="s">
        <v>263</v>
      </c>
      <c r="E3276">
        <v>3.0449399999999999E-4</v>
      </c>
      <c r="F3276" t="s">
        <v>233</v>
      </c>
      <c r="G3276" t="s">
        <v>234</v>
      </c>
      <c r="H3276">
        <v>3</v>
      </c>
    </row>
    <row r="3277" spans="1:8" x14ac:dyDescent="0.25">
      <c r="A3277" t="s">
        <v>6054</v>
      </c>
      <c r="B3277" t="s">
        <v>6054</v>
      </c>
      <c r="C3277" t="s">
        <v>256</v>
      </c>
      <c r="D3277" t="s">
        <v>254</v>
      </c>
      <c r="E3277">
        <v>8.1312799999999998E-4</v>
      </c>
      <c r="F3277" t="s">
        <v>233</v>
      </c>
      <c r="G3277" t="s">
        <v>234</v>
      </c>
      <c r="H3277">
        <v>3</v>
      </c>
    </row>
    <row r="3278" spans="1:8" x14ac:dyDescent="0.25">
      <c r="A3278" t="s">
        <v>369</v>
      </c>
      <c r="B3278" t="s">
        <v>369</v>
      </c>
      <c r="C3278" t="s">
        <v>346</v>
      </c>
      <c r="D3278" t="s">
        <v>347</v>
      </c>
      <c r="E3278">
        <v>2.10657E-4</v>
      </c>
      <c r="F3278" t="s">
        <v>233</v>
      </c>
      <c r="G3278" t="s">
        <v>234</v>
      </c>
      <c r="H3278">
        <v>3</v>
      </c>
    </row>
    <row r="3279" spans="1:8" x14ac:dyDescent="0.25">
      <c r="A3279" t="s">
        <v>6055</v>
      </c>
      <c r="B3279" t="s">
        <v>6055</v>
      </c>
      <c r="C3279" t="s">
        <v>265</v>
      </c>
      <c r="D3279" t="s">
        <v>263</v>
      </c>
      <c r="E3279">
        <v>3.0449399999999999E-4</v>
      </c>
      <c r="F3279" t="s">
        <v>233</v>
      </c>
      <c r="G3279" t="s">
        <v>234</v>
      </c>
      <c r="H3279">
        <v>3</v>
      </c>
    </row>
    <row r="3280" spans="1:8" x14ac:dyDescent="0.25">
      <c r="A3280" t="s">
        <v>6056</v>
      </c>
      <c r="B3280" t="s">
        <v>6056</v>
      </c>
      <c r="C3280" t="s">
        <v>265</v>
      </c>
      <c r="D3280" t="s">
        <v>263</v>
      </c>
      <c r="E3280">
        <v>3.0449399999999999E-4</v>
      </c>
      <c r="F3280" t="s">
        <v>233</v>
      </c>
      <c r="G3280" t="s">
        <v>234</v>
      </c>
      <c r="H3280">
        <v>3</v>
      </c>
    </row>
    <row r="3281" spans="1:8" x14ac:dyDescent="0.25">
      <c r="A3281" t="s">
        <v>6057</v>
      </c>
      <c r="B3281" t="s">
        <v>6057</v>
      </c>
      <c r="C3281" t="s">
        <v>265</v>
      </c>
      <c r="D3281" t="s">
        <v>263</v>
      </c>
      <c r="E3281">
        <v>3.0449399999999999E-4</v>
      </c>
      <c r="F3281" t="s">
        <v>233</v>
      </c>
      <c r="G3281" t="s">
        <v>234</v>
      </c>
      <c r="H3281">
        <v>3</v>
      </c>
    </row>
    <row r="3282" spans="1:8" x14ac:dyDescent="0.25">
      <c r="A3282" t="s">
        <v>6058</v>
      </c>
      <c r="B3282" t="s">
        <v>6058</v>
      </c>
      <c r="C3282" t="s">
        <v>247</v>
      </c>
      <c r="D3282" t="s">
        <v>245</v>
      </c>
      <c r="E3282">
        <v>1.0475809999999999E-3</v>
      </c>
      <c r="F3282" t="s">
        <v>233</v>
      </c>
      <c r="G3282" t="s">
        <v>234</v>
      </c>
      <c r="H3282">
        <v>3</v>
      </c>
    </row>
    <row r="3283" spans="1:8" x14ac:dyDescent="0.25">
      <c r="A3283" t="s">
        <v>1685</v>
      </c>
      <c r="B3283" t="s">
        <v>1685</v>
      </c>
      <c r="C3283" t="s">
        <v>247</v>
      </c>
      <c r="D3283" t="s">
        <v>245</v>
      </c>
      <c r="E3283">
        <v>1.0475809999999999E-3</v>
      </c>
      <c r="F3283" t="s">
        <v>233</v>
      </c>
      <c r="G3283" t="s">
        <v>234</v>
      </c>
      <c r="H3283">
        <v>3</v>
      </c>
    </row>
    <row r="3284" spans="1:8" x14ac:dyDescent="0.25">
      <c r="A3284" t="s">
        <v>4663</v>
      </c>
      <c r="B3284" t="s">
        <v>4663</v>
      </c>
      <c r="C3284" t="s">
        <v>250</v>
      </c>
      <c r="D3284" t="s">
        <v>248</v>
      </c>
      <c r="E3284">
        <v>4.3868599999999998E-4</v>
      </c>
      <c r="F3284" t="s">
        <v>233</v>
      </c>
      <c r="G3284" t="s">
        <v>234</v>
      </c>
      <c r="H3284">
        <v>3</v>
      </c>
    </row>
    <row r="3285" spans="1:8" x14ac:dyDescent="0.25">
      <c r="A3285" t="s">
        <v>6059</v>
      </c>
      <c r="B3285" t="s">
        <v>6059</v>
      </c>
      <c r="C3285" t="s">
        <v>271</v>
      </c>
      <c r="D3285" t="s">
        <v>269</v>
      </c>
      <c r="E3285">
        <v>5.2359699999999999E-4</v>
      </c>
      <c r="F3285" t="s">
        <v>233</v>
      </c>
      <c r="G3285" t="s">
        <v>234</v>
      </c>
      <c r="H3285">
        <v>3</v>
      </c>
    </row>
    <row r="3286" spans="1:8" x14ac:dyDescent="0.25">
      <c r="A3286" t="s">
        <v>6060</v>
      </c>
      <c r="B3286" t="s">
        <v>6060</v>
      </c>
      <c r="C3286" t="s">
        <v>265</v>
      </c>
      <c r="D3286" t="s">
        <v>263</v>
      </c>
      <c r="E3286">
        <v>3.0449399999999999E-4</v>
      </c>
      <c r="F3286" t="s">
        <v>233</v>
      </c>
      <c r="G3286" t="s">
        <v>234</v>
      </c>
      <c r="H3286">
        <v>3</v>
      </c>
    </row>
    <row r="3287" spans="1:8" x14ac:dyDescent="0.25">
      <c r="A3287" t="s">
        <v>930</v>
      </c>
      <c r="B3287" t="s">
        <v>930</v>
      </c>
      <c r="C3287" t="s">
        <v>256</v>
      </c>
      <c r="D3287" t="s">
        <v>254</v>
      </c>
      <c r="E3287">
        <v>8.1312799999999998E-4</v>
      </c>
      <c r="F3287" t="s">
        <v>233</v>
      </c>
      <c r="G3287" t="s">
        <v>234</v>
      </c>
      <c r="H3287">
        <v>3</v>
      </c>
    </row>
    <row r="3288" spans="1:8" x14ac:dyDescent="0.25">
      <c r="A3288" t="s">
        <v>5512</v>
      </c>
      <c r="B3288" t="s">
        <v>5512</v>
      </c>
      <c r="C3288" t="s">
        <v>280</v>
      </c>
      <c r="D3288" t="s">
        <v>278</v>
      </c>
      <c r="E3288">
        <v>6.2829699999999999E-4</v>
      </c>
      <c r="F3288" t="s">
        <v>233</v>
      </c>
      <c r="G3288" t="s">
        <v>234</v>
      </c>
      <c r="H3288">
        <v>3</v>
      </c>
    </row>
    <row r="3289" spans="1:8" x14ac:dyDescent="0.25">
      <c r="A3289" t="s">
        <v>613</v>
      </c>
      <c r="B3289" t="s">
        <v>613</v>
      </c>
      <c r="C3289" t="s">
        <v>265</v>
      </c>
      <c r="D3289" t="s">
        <v>263</v>
      </c>
      <c r="E3289">
        <v>3.0449399999999999E-4</v>
      </c>
      <c r="F3289" t="s">
        <v>233</v>
      </c>
      <c r="G3289" t="s">
        <v>234</v>
      </c>
      <c r="H3289">
        <v>3</v>
      </c>
    </row>
    <row r="3290" spans="1:8" x14ac:dyDescent="0.25">
      <c r="A3290" t="s">
        <v>1403</v>
      </c>
      <c r="B3290" t="s">
        <v>1403</v>
      </c>
      <c r="C3290" t="s">
        <v>280</v>
      </c>
      <c r="D3290" t="s">
        <v>278</v>
      </c>
      <c r="E3290">
        <v>6.2829699999999999E-4</v>
      </c>
      <c r="F3290" t="s">
        <v>233</v>
      </c>
      <c r="G3290" t="s">
        <v>234</v>
      </c>
      <c r="H3290">
        <v>3</v>
      </c>
    </row>
    <row r="3291" spans="1:8" x14ac:dyDescent="0.25">
      <c r="A3291" t="s">
        <v>608</v>
      </c>
      <c r="B3291" t="s">
        <v>608</v>
      </c>
      <c r="C3291" t="s">
        <v>265</v>
      </c>
      <c r="D3291" t="s">
        <v>263</v>
      </c>
      <c r="E3291">
        <v>3.0449399999999999E-4</v>
      </c>
      <c r="F3291" t="s">
        <v>233</v>
      </c>
      <c r="G3291" t="s">
        <v>234</v>
      </c>
      <c r="H3291">
        <v>3</v>
      </c>
    </row>
    <row r="3292" spans="1:8" x14ac:dyDescent="0.25">
      <c r="A3292" t="s">
        <v>621</v>
      </c>
      <c r="B3292" t="s">
        <v>621</v>
      </c>
      <c r="C3292" t="s">
        <v>256</v>
      </c>
      <c r="D3292" t="s">
        <v>254</v>
      </c>
      <c r="E3292">
        <v>8.1312799999999998E-4</v>
      </c>
      <c r="F3292" t="s">
        <v>233</v>
      </c>
      <c r="G3292" t="s">
        <v>234</v>
      </c>
      <c r="H3292">
        <v>3</v>
      </c>
    </row>
    <row r="3293" spans="1:8" x14ac:dyDescent="0.25">
      <c r="A3293" t="s">
        <v>1406</v>
      </c>
      <c r="B3293" t="s">
        <v>1406</v>
      </c>
      <c r="C3293" t="s">
        <v>280</v>
      </c>
      <c r="D3293" t="s">
        <v>278</v>
      </c>
      <c r="E3293">
        <v>6.2829699999999999E-4</v>
      </c>
      <c r="F3293" t="s">
        <v>233</v>
      </c>
      <c r="G3293" t="s">
        <v>234</v>
      </c>
      <c r="H3293">
        <v>3</v>
      </c>
    </row>
    <row r="3294" spans="1:8" x14ac:dyDescent="0.25">
      <c r="A3294" t="s">
        <v>625</v>
      </c>
      <c r="B3294" t="s">
        <v>625</v>
      </c>
      <c r="C3294" t="s">
        <v>280</v>
      </c>
      <c r="D3294" t="s">
        <v>278</v>
      </c>
      <c r="E3294">
        <v>6.2829699999999999E-4</v>
      </c>
      <c r="F3294" t="s">
        <v>233</v>
      </c>
      <c r="G3294" t="s">
        <v>234</v>
      </c>
      <c r="H3294">
        <v>3</v>
      </c>
    </row>
    <row r="3295" spans="1:8" x14ac:dyDescent="0.25">
      <c r="A3295" t="s">
        <v>1250</v>
      </c>
      <c r="B3295" t="s">
        <v>1250</v>
      </c>
      <c r="C3295" t="s">
        <v>280</v>
      </c>
      <c r="D3295" t="s">
        <v>278</v>
      </c>
      <c r="E3295">
        <v>6.2829699999999999E-4</v>
      </c>
      <c r="F3295" t="s">
        <v>233</v>
      </c>
      <c r="G3295" t="s">
        <v>234</v>
      </c>
      <c r="H3295">
        <v>3</v>
      </c>
    </row>
    <row r="3296" spans="1:8" x14ac:dyDescent="0.25">
      <c r="A3296" t="s">
        <v>1113</v>
      </c>
      <c r="B3296" t="s">
        <v>1113</v>
      </c>
      <c r="C3296" t="s">
        <v>271</v>
      </c>
      <c r="D3296" t="s">
        <v>269</v>
      </c>
      <c r="E3296">
        <v>5.2359699999999999E-4</v>
      </c>
      <c r="F3296" t="s">
        <v>233</v>
      </c>
      <c r="G3296" t="s">
        <v>234</v>
      </c>
      <c r="H3296">
        <v>3</v>
      </c>
    </row>
    <row r="3297" spans="1:8" x14ac:dyDescent="0.25">
      <c r="A3297" t="s">
        <v>5892</v>
      </c>
      <c r="B3297" t="s">
        <v>5892</v>
      </c>
      <c r="C3297" t="s">
        <v>268</v>
      </c>
      <c r="D3297" t="s">
        <v>266</v>
      </c>
      <c r="E3297">
        <v>5.4511299999999996E-4</v>
      </c>
      <c r="F3297" t="s">
        <v>233</v>
      </c>
      <c r="G3297" t="s">
        <v>234</v>
      </c>
      <c r="H3297">
        <v>3</v>
      </c>
    </row>
    <row r="3298" spans="1:8" x14ac:dyDescent="0.25">
      <c r="A3298" t="s">
        <v>5891</v>
      </c>
      <c r="B3298" t="s">
        <v>5891</v>
      </c>
      <c r="C3298" t="s">
        <v>407</v>
      </c>
      <c r="D3298" t="s">
        <v>408</v>
      </c>
      <c r="E3298">
        <v>1.6713599999999999E-4</v>
      </c>
      <c r="F3298" t="s">
        <v>233</v>
      </c>
      <c r="G3298" t="s">
        <v>234</v>
      </c>
      <c r="H3298">
        <v>3</v>
      </c>
    </row>
    <row r="3299" spans="1:8" x14ac:dyDescent="0.25">
      <c r="A3299" t="s">
        <v>6061</v>
      </c>
      <c r="B3299" t="s">
        <v>6061</v>
      </c>
      <c r="C3299" t="s">
        <v>247</v>
      </c>
      <c r="D3299" t="s">
        <v>245</v>
      </c>
      <c r="E3299">
        <v>1.0475809999999999E-3</v>
      </c>
      <c r="F3299" t="s">
        <v>233</v>
      </c>
      <c r="G3299" t="s">
        <v>234</v>
      </c>
      <c r="H3299">
        <v>3</v>
      </c>
    </row>
    <row r="3300" spans="1:8" x14ac:dyDescent="0.25">
      <c r="A3300" t="s">
        <v>6062</v>
      </c>
      <c r="B3300" t="s">
        <v>6062</v>
      </c>
      <c r="C3300" t="s">
        <v>413</v>
      </c>
      <c r="D3300" t="s">
        <v>414</v>
      </c>
      <c r="E3300">
        <v>3.1322199999999999E-4</v>
      </c>
      <c r="F3300" t="s">
        <v>233</v>
      </c>
      <c r="G3300" t="s">
        <v>234</v>
      </c>
      <c r="H3300">
        <v>3</v>
      </c>
    </row>
    <row r="3301" spans="1:8" x14ac:dyDescent="0.25">
      <c r="A3301" t="s">
        <v>6063</v>
      </c>
      <c r="B3301" t="s">
        <v>6063</v>
      </c>
      <c r="C3301" t="s">
        <v>247</v>
      </c>
      <c r="D3301" t="s">
        <v>245</v>
      </c>
      <c r="E3301">
        <v>1.0475809999999999E-3</v>
      </c>
      <c r="F3301" t="s">
        <v>233</v>
      </c>
      <c r="G3301" t="s">
        <v>234</v>
      </c>
      <c r="H3301">
        <v>3</v>
      </c>
    </row>
    <row r="3302" spans="1:8" x14ac:dyDescent="0.25">
      <c r="A3302" t="s">
        <v>6049</v>
      </c>
      <c r="B3302" t="s">
        <v>6049</v>
      </c>
      <c r="C3302" t="s">
        <v>346</v>
      </c>
      <c r="D3302" t="s">
        <v>347</v>
      </c>
      <c r="E3302">
        <v>2.10657E-4</v>
      </c>
      <c r="F3302" t="s">
        <v>233</v>
      </c>
      <c r="G3302" t="s">
        <v>234</v>
      </c>
      <c r="H3302">
        <v>3</v>
      </c>
    </row>
    <row r="3303" spans="1:8" x14ac:dyDescent="0.25">
      <c r="A3303" t="s">
        <v>6064</v>
      </c>
      <c r="B3303" t="s">
        <v>6064</v>
      </c>
      <c r="C3303" t="s">
        <v>346</v>
      </c>
      <c r="D3303" t="s">
        <v>347</v>
      </c>
      <c r="E3303">
        <v>2.10657E-4</v>
      </c>
      <c r="F3303" t="s">
        <v>233</v>
      </c>
      <c r="G3303" t="s">
        <v>234</v>
      </c>
      <c r="H3303">
        <v>3</v>
      </c>
    </row>
    <row r="3304" spans="1:8" x14ac:dyDescent="0.25">
      <c r="A3304" t="s">
        <v>6065</v>
      </c>
      <c r="B3304" t="s">
        <v>6065</v>
      </c>
      <c r="C3304" t="s">
        <v>271</v>
      </c>
      <c r="D3304" t="s">
        <v>269</v>
      </c>
      <c r="E3304">
        <v>5.2359699999999999E-4</v>
      </c>
      <c r="F3304" t="s">
        <v>233</v>
      </c>
      <c r="G3304" t="s">
        <v>234</v>
      </c>
      <c r="H3304">
        <v>3</v>
      </c>
    </row>
    <row r="3305" spans="1:8" x14ac:dyDescent="0.25">
      <c r="A3305" t="s">
        <v>6066</v>
      </c>
      <c r="B3305" t="s">
        <v>6066</v>
      </c>
      <c r="C3305" t="s">
        <v>346</v>
      </c>
      <c r="D3305" t="s">
        <v>347</v>
      </c>
      <c r="E3305">
        <v>2.10657E-4</v>
      </c>
      <c r="F3305" t="s">
        <v>233</v>
      </c>
      <c r="G3305" t="s">
        <v>234</v>
      </c>
      <c r="H3305">
        <v>3</v>
      </c>
    </row>
    <row r="3306" spans="1:8" x14ac:dyDescent="0.25">
      <c r="A3306" t="s">
        <v>6067</v>
      </c>
      <c r="B3306" t="s">
        <v>6067</v>
      </c>
      <c r="C3306" t="s">
        <v>271</v>
      </c>
      <c r="D3306" t="s">
        <v>269</v>
      </c>
      <c r="E3306">
        <v>5.2359699999999999E-4</v>
      </c>
      <c r="F3306" t="s">
        <v>233</v>
      </c>
      <c r="G3306" t="s">
        <v>234</v>
      </c>
      <c r="H3306">
        <v>3</v>
      </c>
    </row>
    <row r="3307" spans="1:8" x14ac:dyDescent="0.25">
      <c r="A3307" t="s">
        <v>6068</v>
      </c>
      <c r="B3307" t="s">
        <v>6068</v>
      </c>
      <c r="C3307" t="s">
        <v>271</v>
      </c>
      <c r="D3307" t="s">
        <v>269</v>
      </c>
      <c r="E3307">
        <v>5.2359699999999999E-4</v>
      </c>
      <c r="F3307" t="s">
        <v>233</v>
      </c>
      <c r="G3307" t="s">
        <v>234</v>
      </c>
      <c r="H3307">
        <v>3</v>
      </c>
    </row>
  </sheetData>
  <autoFilter ref="D1:D2827" xr:uid="{820CF7D9-EA37-49C6-A7BA-B524164CAEAC}"/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5994-9252-43F9-8E04-7671DAAF8D83}">
  <dimension ref="A1:K539"/>
  <sheetViews>
    <sheetView topLeftCell="A458" zoomScale="70" zoomScaleNormal="70" workbookViewId="0">
      <selection activeCell="C443" sqref="C443"/>
    </sheetView>
  </sheetViews>
  <sheetFormatPr defaultRowHeight="15" x14ac:dyDescent="0.25"/>
  <cols>
    <col min="1" max="1" width="26.28515625" bestFit="1" customWidth="1"/>
    <col min="2" max="2" width="115.42578125" style="29" customWidth="1"/>
    <col min="3" max="3" width="96.85546875" style="29" customWidth="1"/>
    <col min="4" max="4" width="16.7109375" bestFit="1" customWidth="1"/>
    <col min="5" max="5" width="88.140625" bestFit="1" customWidth="1"/>
    <col min="6" max="6" width="11.85546875" bestFit="1" customWidth="1"/>
    <col min="7" max="7" width="7.85546875" bestFit="1" customWidth="1"/>
    <col min="8" max="8" width="88.140625" bestFit="1" customWidth="1"/>
    <col min="9" max="9" width="15.5703125" bestFit="1" customWidth="1"/>
    <col min="10" max="10" width="17.140625" bestFit="1" customWidth="1"/>
    <col min="11" max="11" width="6.140625" bestFit="1" customWidth="1"/>
  </cols>
  <sheetData>
    <row r="1" spans="1:11" x14ac:dyDescent="0.25">
      <c r="A1" s="30" t="s">
        <v>1481</v>
      </c>
      <c r="B1" s="31" t="s">
        <v>1482</v>
      </c>
      <c r="C1" s="31" t="s">
        <v>317</v>
      </c>
      <c r="D1" s="30" t="s">
        <v>1483</v>
      </c>
      <c r="E1" s="15" t="s">
        <v>0</v>
      </c>
      <c r="F1" s="30" t="s">
        <v>5</v>
      </c>
      <c r="G1" s="30" t="s">
        <v>4</v>
      </c>
      <c r="H1" s="30" t="s">
        <v>8</v>
      </c>
      <c r="I1" s="16" t="s">
        <v>6</v>
      </c>
      <c r="J1" s="16" t="s">
        <v>7</v>
      </c>
      <c r="K1" s="16" t="s">
        <v>2</v>
      </c>
    </row>
    <row r="2" spans="1:11" x14ac:dyDescent="0.25">
      <c r="A2" s="6" t="s">
        <v>1484</v>
      </c>
      <c r="B2" s="5" t="s">
        <v>1485</v>
      </c>
      <c r="C2" s="5" t="s">
        <v>1485</v>
      </c>
      <c r="D2" s="6" t="s">
        <v>1486</v>
      </c>
      <c r="E2" s="6" t="s">
        <v>263</v>
      </c>
      <c r="F2" s="6">
        <v>3.0449399999999999E-4</v>
      </c>
      <c r="G2" s="6" t="s">
        <v>265</v>
      </c>
      <c r="H2" s="6" t="s">
        <v>263</v>
      </c>
      <c r="I2" s="6" t="s">
        <v>233</v>
      </c>
      <c r="J2" s="6" t="s">
        <v>234</v>
      </c>
      <c r="K2" s="6">
        <v>3</v>
      </c>
    </row>
    <row r="3" spans="1:11" x14ac:dyDescent="0.25">
      <c r="A3" s="6" t="s">
        <v>1487</v>
      </c>
      <c r="B3" s="5" t="s">
        <v>1488</v>
      </c>
      <c r="C3" s="5" t="s">
        <v>1488</v>
      </c>
      <c r="D3" s="6" t="s">
        <v>1489</v>
      </c>
      <c r="E3" s="6" t="s">
        <v>347</v>
      </c>
      <c r="F3" s="6">
        <v>2.1065654610590999E-4</v>
      </c>
      <c r="G3" s="6" t="s">
        <v>346</v>
      </c>
      <c r="H3" s="6" t="s">
        <v>347</v>
      </c>
      <c r="I3" s="6" t="s">
        <v>233</v>
      </c>
      <c r="J3" s="6" t="s">
        <v>234</v>
      </c>
      <c r="K3" s="6">
        <v>3</v>
      </c>
    </row>
    <row r="4" spans="1:11" x14ac:dyDescent="0.25">
      <c r="A4" s="6" t="s">
        <v>1490</v>
      </c>
      <c r="B4" s="5" t="s">
        <v>1491</v>
      </c>
      <c r="C4" s="5" t="s">
        <v>1491</v>
      </c>
      <c r="D4" s="6" t="s">
        <v>1492</v>
      </c>
      <c r="E4" s="6" t="s">
        <v>263</v>
      </c>
      <c r="F4" s="6">
        <v>3.0449399999999999E-4</v>
      </c>
      <c r="G4" s="6" t="s">
        <v>265</v>
      </c>
      <c r="H4" s="6" t="s">
        <v>263</v>
      </c>
      <c r="I4" s="6" t="s">
        <v>233</v>
      </c>
      <c r="J4" s="6" t="s">
        <v>234</v>
      </c>
      <c r="K4" s="6">
        <v>3</v>
      </c>
    </row>
    <row r="5" spans="1:11" x14ac:dyDescent="0.25">
      <c r="A5" s="6" t="s">
        <v>1493</v>
      </c>
      <c r="B5" s="5" t="s">
        <v>420</v>
      </c>
      <c r="C5" s="5" t="s">
        <v>420</v>
      </c>
      <c r="D5" s="6" t="s">
        <v>1494</v>
      </c>
      <c r="E5" s="6" t="s">
        <v>347</v>
      </c>
      <c r="F5" s="6">
        <v>2.10657E-4</v>
      </c>
      <c r="G5" s="6" t="s">
        <v>346</v>
      </c>
      <c r="H5" s="6" t="s">
        <v>347</v>
      </c>
      <c r="I5" s="6" t="s">
        <v>233</v>
      </c>
      <c r="J5" s="6" t="s">
        <v>234</v>
      </c>
      <c r="K5" s="6">
        <v>3</v>
      </c>
    </row>
    <row r="6" spans="1:11" x14ac:dyDescent="0.25">
      <c r="A6" s="6" t="s">
        <v>1495</v>
      </c>
      <c r="B6" s="5" t="s">
        <v>1496</v>
      </c>
      <c r="C6" s="5" t="s">
        <v>1496</v>
      </c>
      <c r="D6" s="6" t="s">
        <v>1494</v>
      </c>
      <c r="E6" s="6" t="s">
        <v>347</v>
      </c>
      <c r="F6" s="6">
        <v>2.10657E-4</v>
      </c>
      <c r="G6" s="6" t="s">
        <v>346</v>
      </c>
      <c r="H6" s="6" t="s">
        <v>347</v>
      </c>
      <c r="I6" s="6" t="s">
        <v>233</v>
      </c>
      <c r="J6" s="6" t="s">
        <v>234</v>
      </c>
      <c r="K6" s="6">
        <v>3</v>
      </c>
    </row>
    <row r="7" spans="1:11" x14ac:dyDescent="0.25">
      <c r="A7" s="6" t="s">
        <v>1497</v>
      </c>
      <c r="B7" s="5" t="s">
        <v>1498</v>
      </c>
      <c r="C7" s="5" t="s">
        <v>1498</v>
      </c>
      <c r="D7" s="6" t="s">
        <v>1499</v>
      </c>
      <c r="E7" s="6" t="s">
        <v>269</v>
      </c>
      <c r="F7" s="6">
        <v>5.2359699999999999E-4</v>
      </c>
      <c r="G7" s="6" t="s">
        <v>271</v>
      </c>
      <c r="H7" s="6" t="s">
        <v>269</v>
      </c>
      <c r="I7" s="6" t="s">
        <v>233</v>
      </c>
      <c r="J7" s="6" t="s">
        <v>234</v>
      </c>
      <c r="K7" s="6">
        <v>3</v>
      </c>
    </row>
    <row r="8" spans="1:11" x14ac:dyDescent="0.25">
      <c r="A8" s="6" t="s">
        <v>1500</v>
      </c>
      <c r="B8" s="5" t="s">
        <v>1501</v>
      </c>
      <c r="C8" s="5" t="s">
        <v>1501</v>
      </c>
      <c r="D8" s="6" t="s">
        <v>1502</v>
      </c>
      <c r="E8" s="6" t="s">
        <v>254</v>
      </c>
      <c r="F8" s="6">
        <v>8.1312799999999998E-4</v>
      </c>
      <c r="G8" s="6" t="s">
        <v>256</v>
      </c>
      <c r="H8" s="6" t="s">
        <v>254</v>
      </c>
      <c r="I8" s="6" t="s">
        <v>233</v>
      </c>
      <c r="J8" s="6" t="s">
        <v>234</v>
      </c>
      <c r="K8" s="6">
        <v>3</v>
      </c>
    </row>
    <row r="9" spans="1:11" ht="30" x14ac:dyDescent="0.25">
      <c r="A9" s="6" t="s">
        <v>1503</v>
      </c>
      <c r="B9" s="5" t="s">
        <v>1504</v>
      </c>
      <c r="C9" s="5" t="s">
        <v>1504</v>
      </c>
      <c r="D9" s="6" t="s">
        <v>1505</v>
      </c>
      <c r="E9" s="6" t="s">
        <v>269</v>
      </c>
      <c r="F9" s="6">
        <v>5.2359699999999999E-4</v>
      </c>
      <c r="G9" s="6" t="s">
        <v>271</v>
      </c>
      <c r="H9" s="6" t="s">
        <v>269</v>
      </c>
      <c r="I9" s="6" t="s">
        <v>233</v>
      </c>
      <c r="J9" s="6" t="s">
        <v>234</v>
      </c>
      <c r="K9" s="6">
        <v>3</v>
      </c>
    </row>
    <row r="10" spans="1:11" x14ac:dyDescent="0.25">
      <c r="A10" s="6" t="s">
        <v>1506</v>
      </c>
      <c r="B10" s="5" t="s">
        <v>1055</v>
      </c>
      <c r="C10" s="5" t="s">
        <v>1055</v>
      </c>
      <c r="D10" s="6" t="s">
        <v>1486</v>
      </c>
      <c r="E10" s="6" t="s">
        <v>263</v>
      </c>
      <c r="F10" s="6">
        <v>3.0449399999999999E-4</v>
      </c>
      <c r="G10" s="6" t="s">
        <v>265</v>
      </c>
      <c r="H10" s="6" t="s">
        <v>263</v>
      </c>
      <c r="I10" s="6" t="s">
        <v>233</v>
      </c>
      <c r="J10" s="6" t="s">
        <v>234</v>
      </c>
      <c r="K10" s="6">
        <v>3</v>
      </c>
    </row>
    <row r="11" spans="1:11" x14ac:dyDescent="0.25">
      <c r="A11" s="6" t="s">
        <v>1507</v>
      </c>
      <c r="B11" s="5" t="s">
        <v>1508</v>
      </c>
      <c r="C11" s="5" t="s">
        <v>1508</v>
      </c>
      <c r="D11" s="6" t="s">
        <v>1509</v>
      </c>
      <c r="E11" s="6" t="s">
        <v>269</v>
      </c>
      <c r="F11" s="6">
        <v>5.2359699999999999E-4</v>
      </c>
      <c r="G11" s="6" t="s">
        <v>271</v>
      </c>
      <c r="H11" s="6" t="s">
        <v>269</v>
      </c>
      <c r="I11" s="6" t="s">
        <v>233</v>
      </c>
      <c r="J11" s="6" t="s">
        <v>234</v>
      </c>
      <c r="K11" s="6">
        <v>3</v>
      </c>
    </row>
    <row r="12" spans="1:11" x14ac:dyDescent="0.25">
      <c r="A12" s="6" t="s">
        <v>1510</v>
      </c>
      <c r="B12" s="5" t="s">
        <v>432</v>
      </c>
      <c r="C12" s="5" t="s">
        <v>432</v>
      </c>
      <c r="D12" s="6" t="s">
        <v>1511</v>
      </c>
      <c r="E12" s="6" t="s">
        <v>263</v>
      </c>
      <c r="F12" s="6">
        <v>3.0449399999999999E-4</v>
      </c>
      <c r="G12" s="6" t="s">
        <v>265</v>
      </c>
      <c r="H12" s="6" t="s">
        <v>263</v>
      </c>
      <c r="I12" s="6" t="s">
        <v>233</v>
      </c>
      <c r="J12" s="6" t="s">
        <v>234</v>
      </c>
      <c r="K12" s="6">
        <v>3</v>
      </c>
    </row>
    <row r="13" spans="1:11" x14ac:dyDescent="0.25">
      <c r="A13" s="6" t="s">
        <v>1512</v>
      </c>
      <c r="B13" s="5" t="s">
        <v>1513</v>
      </c>
      <c r="C13" s="5" t="s">
        <v>1513</v>
      </c>
      <c r="D13" s="6" t="s">
        <v>1514</v>
      </c>
      <c r="E13" s="6" t="s">
        <v>245</v>
      </c>
      <c r="F13" s="6">
        <v>1.0475809999999999E-3</v>
      </c>
      <c r="G13" s="6" t="s">
        <v>247</v>
      </c>
      <c r="H13" s="6" t="s">
        <v>245</v>
      </c>
      <c r="I13" s="6" t="s">
        <v>233</v>
      </c>
      <c r="J13" s="6" t="s">
        <v>234</v>
      </c>
      <c r="K13" s="6">
        <v>3</v>
      </c>
    </row>
    <row r="14" spans="1:11" x14ac:dyDescent="0.25">
      <c r="A14" s="6" t="s">
        <v>1515</v>
      </c>
      <c r="B14" s="5" t="s">
        <v>1047</v>
      </c>
      <c r="C14" s="5" t="s">
        <v>1047</v>
      </c>
      <c r="D14" s="6" t="s">
        <v>1516</v>
      </c>
      <c r="E14" s="6" t="s">
        <v>245</v>
      </c>
      <c r="F14" s="6">
        <v>1.0475809999999999E-3</v>
      </c>
      <c r="G14" s="6" t="s">
        <v>247</v>
      </c>
      <c r="H14" s="6" t="s">
        <v>245</v>
      </c>
      <c r="I14" s="6" t="s">
        <v>233</v>
      </c>
      <c r="J14" s="6" t="s">
        <v>234</v>
      </c>
      <c r="K14" s="6">
        <v>3</v>
      </c>
    </row>
    <row r="15" spans="1:11" x14ac:dyDescent="0.25">
      <c r="A15" s="6" t="s">
        <v>1517</v>
      </c>
      <c r="B15" s="5" t="s">
        <v>1518</v>
      </c>
      <c r="C15" s="5" t="s">
        <v>1518</v>
      </c>
      <c r="D15" s="6" t="s">
        <v>1519</v>
      </c>
      <c r="E15" s="6" t="s">
        <v>248</v>
      </c>
      <c r="F15" s="6">
        <v>4.3868599999999998E-4</v>
      </c>
      <c r="G15" s="6" t="s">
        <v>250</v>
      </c>
      <c r="H15" s="6" t="s">
        <v>248</v>
      </c>
      <c r="I15" s="6" t="s">
        <v>233</v>
      </c>
      <c r="J15" s="6" t="s">
        <v>234</v>
      </c>
      <c r="K15" s="6">
        <v>3</v>
      </c>
    </row>
    <row r="16" spans="1:11" x14ac:dyDescent="0.25">
      <c r="A16" s="6" t="s">
        <v>1520</v>
      </c>
      <c r="B16" s="5" t="s">
        <v>1521</v>
      </c>
      <c r="C16" s="5" t="s">
        <v>1521</v>
      </c>
      <c r="D16" s="6" t="s">
        <v>1522</v>
      </c>
      <c r="E16" s="6" t="s">
        <v>248</v>
      </c>
      <c r="F16" s="6">
        <v>4.3868599999999998E-4</v>
      </c>
      <c r="G16" s="6" t="s">
        <v>250</v>
      </c>
      <c r="H16" s="6" t="s">
        <v>248</v>
      </c>
      <c r="I16" s="6" t="s">
        <v>233</v>
      </c>
      <c r="J16" s="6" t="s">
        <v>234</v>
      </c>
      <c r="K16" s="6">
        <v>3</v>
      </c>
    </row>
    <row r="17" spans="1:11" x14ac:dyDescent="0.25">
      <c r="A17" s="6" t="s">
        <v>1523</v>
      </c>
      <c r="B17" s="5" t="s">
        <v>431</v>
      </c>
      <c r="C17" s="5" t="s">
        <v>431</v>
      </c>
      <c r="D17" s="6" t="s">
        <v>1492</v>
      </c>
      <c r="E17" s="6" t="s">
        <v>1524</v>
      </c>
      <c r="F17" s="6">
        <v>3.0449377823614201E-4</v>
      </c>
      <c r="G17" s="6" t="s">
        <v>265</v>
      </c>
      <c r="H17" s="6" t="s">
        <v>263</v>
      </c>
      <c r="I17" s="6" t="s">
        <v>233</v>
      </c>
      <c r="J17" s="6" t="s">
        <v>234</v>
      </c>
      <c r="K17" s="6">
        <v>3</v>
      </c>
    </row>
    <row r="18" spans="1:11" x14ac:dyDescent="0.25">
      <c r="A18" s="6" t="s">
        <v>1525</v>
      </c>
      <c r="B18" s="5" t="s">
        <v>1526</v>
      </c>
      <c r="C18" s="5" t="s">
        <v>1526</v>
      </c>
      <c r="D18" s="6" t="s">
        <v>1527</v>
      </c>
      <c r="E18" s="6" t="s">
        <v>254</v>
      </c>
      <c r="F18" s="6">
        <v>8.1312799999999998E-4</v>
      </c>
      <c r="G18" s="6" t="s">
        <v>256</v>
      </c>
      <c r="H18" s="6" t="s">
        <v>254</v>
      </c>
      <c r="I18" s="6" t="s">
        <v>233</v>
      </c>
      <c r="J18" s="6" t="s">
        <v>234</v>
      </c>
      <c r="K18" s="6">
        <v>3</v>
      </c>
    </row>
    <row r="19" spans="1:11" x14ac:dyDescent="0.25">
      <c r="A19" s="6" t="s">
        <v>1528</v>
      </c>
      <c r="B19" s="5" t="s">
        <v>1529</v>
      </c>
      <c r="C19" s="5" t="s">
        <v>1529</v>
      </c>
      <c r="D19" s="6" t="s">
        <v>1492</v>
      </c>
      <c r="E19" s="6" t="s">
        <v>1524</v>
      </c>
      <c r="F19" s="6">
        <v>3.0449377823614201E-4</v>
      </c>
      <c r="G19" s="6" t="s">
        <v>265</v>
      </c>
      <c r="H19" s="6" t="s">
        <v>263</v>
      </c>
      <c r="I19" s="6" t="s">
        <v>233</v>
      </c>
      <c r="J19" s="6" t="s">
        <v>234</v>
      </c>
      <c r="K19" s="6">
        <v>3</v>
      </c>
    </row>
    <row r="20" spans="1:11" x14ac:dyDescent="0.25">
      <c r="A20" s="6" t="s">
        <v>1530</v>
      </c>
      <c r="B20" s="5" t="s">
        <v>456</v>
      </c>
      <c r="C20" s="5" t="s">
        <v>456</v>
      </c>
      <c r="D20" s="6" t="s">
        <v>1531</v>
      </c>
      <c r="E20" s="6" t="s">
        <v>254</v>
      </c>
      <c r="F20" s="6">
        <v>8.1312799999999998E-4</v>
      </c>
      <c r="G20" s="6" t="s">
        <v>256</v>
      </c>
      <c r="H20" s="6" t="s">
        <v>254</v>
      </c>
      <c r="I20" s="6" t="s">
        <v>233</v>
      </c>
      <c r="J20" s="6" t="s">
        <v>234</v>
      </c>
      <c r="K20" s="6">
        <v>3</v>
      </c>
    </row>
    <row r="21" spans="1:11" x14ac:dyDescent="0.25">
      <c r="A21" s="6" t="s">
        <v>1532</v>
      </c>
      <c r="B21" s="5" t="s">
        <v>1533</v>
      </c>
      <c r="C21" s="5" t="s">
        <v>1533</v>
      </c>
      <c r="D21" s="6" t="s">
        <v>1534</v>
      </c>
      <c r="E21" s="6" t="s">
        <v>263</v>
      </c>
      <c r="F21" s="6">
        <v>3.0449399999999999E-4</v>
      </c>
      <c r="G21" s="6" t="s">
        <v>265</v>
      </c>
      <c r="H21" s="6" t="s">
        <v>263</v>
      </c>
      <c r="I21" s="6" t="s">
        <v>233</v>
      </c>
      <c r="J21" s="6" t="s">
        <v>234</v>
      </c>
      <c r="K21" s="6">
        <v>3</v>
      </c>
    </row>
    <row r="22" spans="1:11" x14ac:dyDescent="0.25">
      <c r="A22" s="6" t="s">
        <v>1535</v>
      </c>
      <c r="B22" s="5" t="s">
        <v>368</v>
      </c>
      <c r="C22" s="5" t="s">
        <v>368</v>
      </c>
      <c r="D22" s="6" t="s">
        <v>1516</v>
      </c>
      <c r="E22" s="6" t="s">
        <v>245</v>
      </c>
      <c r="F22" s="6">
        <v>1.0475809999999999E-3</v>
      </c>
      <c r="G22" s="6" t="s">
        <v>247</v>
      </c>
      <c r="H22" s="6" t="s">
        <v>245</v>
      </c>
      <c r="I22" s="6" t="s">
        <v>233</v>
      </c>
      <c r="J22" s="6" t="s">
        <v>234</v>
      </c>
      <c r="K22" s="6">
        <v>3</v>
      </c>
    </row>
    <row r="23" spans="1:11" x14ac:dyDescent="0.25">
      <c r="A23" s="6" t="s">
        <v>1536</v>
      </c>
      <c r="B23" s="5" t="s">
        <v>1537</v>
      </c>
      <c r="C23" s="5" t="s">
        <v>1537</v>
      </c>
      <c r="D23" s="6" t="s">
        <v>1538</v>
      </c>
      <c r="E23" s="6" t="s">
        <v>263</v>
      </c>
      <c r="F23" s="6">
        <v>3.0449399999999999E-4</v>
      </c>
      <c r="G23" s="6" t="s">
        <v>265</v>
      </c>
      <c r="H23" s="6" t="s">
        <v>263</v>
      </c>
      <c r="I23" s="6" t="s">
        <v>233</v>
      </c>
      <c r="J23" s="6" t="s">
        <v>234</v>
      </c>
      <c r="K23" s="6">
        <v>3</v>
      </c>
    </row>
    <row r="24" spans="1:11" x14ac:dyDescent="0.25">
      <c r="A24" s="6" t="s">
        <v>1539</v>
      </c>
      <c r="B24" s="5" t="s">
        <v>1540</v>
      </c>
      <c r="C24" s="5" t="s">
        <v>1540</v>
      </c>
      <c r="D24" s="6" t="s">
        <v>1502</v>
      </c>
      <c r="E24" s="6" t="s">
        <v>347</v>
      </c>
      <c r="F24" s="6">
        <v>2.10657E-4</v>
      </c>
      <c r="G24" s="6" t="s">
        <v>346</v>
      </c>
      <c r="H24" s="6" t="s">
        <v>347</v>
      </c>
      <c r="I24" s="6" t="s">
        <v>233</v>
      </c>
      <c r="J24" s="6" t="s">
        <v>234</v>
      </c>
      <c r="K24" s="6">
        <v>3</v>
      </c>
    </row>
    <row r="25" spans="1:11" x14ac:dyDescent="0.25">
      <c r="A25" s="6" t="s">
        <v>1541</v>
      </c>
      <c r="B25" s="5" t="s">
        <v>370</v>
      </c>
      <c r="C25" s="5" t="s">
        <v>370</v>
      </c>
      <c r="D25" s="6" t="s">
        <v>1542</v>
      </c>
      <c r="E25" s="6" t="s">
        <v>1543</v>
      </c>
      <c r="F25" s="6">
        <v>5.2359699999999999E-5</v>
      </c>
      <c r="G25" s="6" t="s">
        <v>271</v>
      </c>
      <c r="H25" s="6" t="s">
        <v>269</v>
      </c>
      <c r="I25" s="6" t="s">
        <v>233</v>
      </c>
      <c r="J25" s="6" t="s">
        <v>234</v>
      </c>
      <c r="K25" s="6">
        <v>3</v>
      </c>
    </row>
    <row r="26" spans="1:11" x14ac:dyDescent="0.25">
      <c r="A26" s="6" t="s">
        <v>1544</v>
      </c>
      <c r="B26" s="5" t="s">
        <v>433</v>
      </c>
      <c r="C26" s="5" t="s">
        <v>433</v>
      </c>
      <c r="D26" s="6" t="s">
        <v>1545</v>
      </c>
      <c r="E26" s="6" t="s">
        <v>263</v>
      </c>
      <c r="F26" s="6">
        <v>3.0449399999999999E-4</v>
      </c>
      <c r="G26" s="6" t="s">
        <v>265</v>
      </c>
      <c r="H26" s="6" t="s">
        <v>263</v>
      </c>
      <c r="I26" s="6" t="s">
        <v>233</v>
      </c>
      <c r="J26" s="6" t="s">
        <v>234</v>
      </c>
      <c r="K26" s="6">
        <v>3</v>
      </c>
    </row>
    <row r="27" spans="1:11" x14ac:dyDescent="0.25">
      <c r="A27" s="6" t="s">
        <v>1546</v>
      </c>
      <c r="B27" s="5" t="s">
        <v>364</v>
      </c>
      <c r="C27" s="5" t="s">
        <v>364</v>
      </c>
      <c r="D27" s="6" t="s">
        <v>1547</v>
      </c>
      <c r="E27" s="6" t="s">
        <v>248</v>
      </c>
      <c r="F27" s="6">
        <v>4.3868599999999998E-4</v>
      </c>
      <c r="G27" s="6" t="s">
        <v>250</v>
      </c>
      <c r="H27" s="6" t="s">
        <v>248</v>
      </c>
      <c r="I27" s="6" t="s">
        <v>233</v>
      </c>
      <c r="J27" s="6" t="s">
        <v>234</v>
      </c>
      <c r="K27" s="6">
        <v>3</v>
      </c>
    </row>
    <row r="28" spans="1:11" x14ac:dyDescent="0.25">
      <c r="A28" s="6" t="s">
        <v>1548</v>
      </c>
      <c r="B28" s="5" t="s">
        <v>1549</v>
      </c>
      <c r="C28" s="5" t="s">
        <v>1549</v>
      </c>
      <c r="D28" s="6" t="s">
        <v>1550</v>
      </c>
      <c r="E28" s="6" t="s">
        <v>248</v>
      </c>
      <c r="F28" s="6">
        <v>4.3868599999999998E-4</v>
      </c>
      <c r="G28" s="6" t="s">
        <v>250</v>
      </c>
      <c r="H28" s="6" t="s">
        <v>248</v>
      </c>
      <c r="I28" s="6" t="s">
        <v>233</v>
      </c>
      <c r="J28" s="6" t="s">
        <v>234</v>
      </c>
      <c r="K28" s="6">
        <v>3</v>
      </c>
    </row>
    <row r="29" spans="1:11" x14ac:dyDescent="0.25">
      <c r="A29" s="6" t="s">
        <v>1551</v>
      </c>
      <c r="B29" s="5" t="s">
        <v>1041</v>
      </c>
      <c r="C29" s="5" t="s">
        <v>1041</v>
      </c>
      <c r="D29" s="6" t="s">
        <v>1511</v>
      </c>
      <c r="E29" s="6" t="s">
        <v>263</v>
      </c>
      <c r="F29" s="6">
        <v>3.0449399999999999E-4</v>
      </c>
      <c r="G29" s="6" t="s">
        <v>265</v>
      </c>
      <c r="H29" s="6" t="s">
        <v>263</v>
      </c>
      <c r="I29" s="6" t="s">
        <v>233</v>
      </c>
      <c r="J29" s="6" t="s">
        <v>234</v>
      </c>
      <c r="K29" s="6">
        <v>3</v>
      </c>
    </row>
    <row r="30" spans="1:11" x14ac:dyDescent="0.25">
      <c r="A30" s="6" t="s">
        <v>1552</v>
      </c>
      <c r="B30" s="5" t="s">
        <v>1060</v>
      </c>
      <c r="C30" s="5" t="s">
        <v>1060</v>
      </c>
      <c r="D30" s="6" t="s">
        <v>1542</v>
      </c>
      <c r="E30" s="6" t="s">
        <v>1543</v>
      </c>
      <c r="F30" s="6">
        <v>5.2359699999999999E-5</v>
      </c>
      <c r="G30" s="6" t="s">
        <v>271</v>
      </c>
      <c r="H30" s="6" t="s">
        <v>269</v>
      </c>
      <c r="I30" s="6" t="s">
        <v>233</v>
      </c>
      <c r="J30" s="6" t="s">
        <v>234</v>
      </c>
      <c r="K30" s="6">
        <v>3</v>
      </c>
    </row>
    <row r="31" spans="1:11" x14ac:dyDescent="0.25">
      <c r="A31" s="6" t="s">
        <v>1553</v>
      </c>
      <c r="B31" s="5" t="s">
        <v>1554</v>
      </c>
      <c r="C31" s="5" t="s">
        <v>1554</v>
      </c>
      <c r="D31" s="6" t="s">
        <v>1555</v>
      </c>
      <c r="E31" s="6" t="s">
        <v>254</v>
      </c>
      <c r="F31" s="6">
        <v>8.1312799999999998E-4</v>
      </c>
      <c r="G31" s="6" t="s">
        <v>256</v>
      </c>
      <c r="H31" s="6" t="s">
        <v>254</v>
      </c>
      <c r="I31" s="6" t="s">
        <v>233</v>
      </c>
      <c r="J31" s="6" t="s">
        <v>234</v>
      </c>
      <c r="K31" s="6">
        <v>3</v>
      </c>
    </row>
    <row r="32" spans="1:11" x14ac:dyDescent="0.25">
      <c r="A32" s="6" t="s">
        <v>1556</v>
      </c>
      <c r="B32" s="5" t="s">
        <v>1557</v>
      </c>
      <c r="C32" s="5" t="s">
        <v>1557</v>
      </c>
      <c r="D32" s="6" t="s">
        <v>1558</v>
      </c>
      <c r="E32" s="6" t="s">
        <v>254</v>
      </c>
      <c r="F32" s="6">
        <v>8.1312799999999998E-4</v>
      </c>
      <c r="G32" s="6" t="s">
        <v>256</v>
      </c>
      <c r="H32" s="6" t="s">
        <v>254</v>
      </c>
      <c r="I32" s="6" t="s">
        <v>233</v>
      </c>
      <c r="J32" s="6" t="s">
        <v>234</v>
      </c>
      <c r="K32" s="6">
        <v>3</v>
      </c>
    </row>
    <row r="33" spans="1:11" x14ac:dyDescent="0.25">
      <c r="A33" s="6" t="s">
        <v>1559</v>
      </c>
      <c r="B33" s="5" t="s">
        <v>1560</v>
      </c>
      <c r="C33" s="5" t="s">
        <v>1560</v>
      </c>
      <c r="D33" s="6" t="s">
        <v>1561</v>
      </c>
      <c r="E33" s="6" t="s">
        <v>1543</v>
      </c>
      <c r="F33" s="6">
        <v>5.2359699999999999E-5</v>
      </c>
      <c r="G33" s="6" t="s">
        <v>271</v>
      </c>
      <c r="H33" s="6" t="s">
        <v>269</v>
      </c>
      <c r="I33" s="6" t="s">
        <v>233</v>
      </c>
      <c r="J33" s="6" t="s">
        <v>234</v>
      </c>
      <c r="K33" s="6">
        <v>3</v>
      </c>
    </row>
    <row r="34" spans="1:11" x14ac:dyDescent="0.25">
      <c r="A34" s="6" t="s">
        <v>1562</v>
      </c>
      <c r="B34" s="5" t="s">
        <v>1038</v>
      </c>
      <c r="C34" s="5" t="s">
        <v>1038</v>
      </c>
      <c r="D34" s="6" t="s">
        <v>1563</v>
      </c>
      <c r="E34" s="6" t="s">
        <v>254</v>
      </c>
      <c r="F34" s="6">
        <v>8.1312799999999998E-4</v>
      </c>
      <c r="G34" s="6" t="s">
        <v>256</v>
      </c>
      <c r="H34" s="6" t="s">
        <v>254</v>
      </c>
      <c r="I34" s="6" t="s">
        <v>233</v>
      </c>
      <c r="J34" s="6" t="s">
        <v>234</v>
      </c>
      <c r="K34" s="6">
        <v>3</v>
      </c>
    </row>
    <row r="35" spans="1:11" x14ac:dyDescent="0.25">
      <c r="A35" s="6" t="s">
        <v>1564</v>
      </c>
      <c r="B35" s="5" t="s">
        <v>1565</v>
      </c>
      <c r="C35" s="5" t="s">
        <v>1565</v>
      </c>
      <c r="D35" s="6" t="s">
        <v>1542</v>
      </c>
      <c r="E35" s="6" t="s">
        <v>1543</v>
      </c>
      <c r="F35" s="6">
        <v>5.2359699999999999E-5</v>
      </c>
      <c r="G35" s="6" t="s">
        <v>271</v>
      </c>
      <c r="H35" s="6" t="s">
        <v>269</v>
      </c>
      <c r="I35" s="6" t="s">
        <v>233</v>
      </c>
      <c r="J35" s="6" t="s">
        <v>234</v>
      </c>
      <c r="K35" s="6">
        <v>3</v>
      </c>
    </row>
    <row r="36" spans="1:11" x14ac:dyDescent="0.25">
      <c r="A36" s="6" t="s">
        <v>1566</v>
      </c>
      <c r="B36" s="5" t="s">
        <v>1567</v>
      </c>
      <c r="C36" s="5" t="s">
        <v>1567</v>
      </c>
      <c r="D36" s="6" t="s">
        <v>1568</v>
      </c>
      <c r="E36" s="6" t="s">
        <v>278</v>
      </c>
      <c r="F36" s="6">
        <v>6.2829699999999999E-4</v>
      </c>
      <c r="G36" s="6" t="s">
        <v>280</v>
      </c>
      <c r="H36" s="6" t="s">
        <v>278</v>
      </c>
      <c r="I36" s="6" t="s">
        <v>233</v>
      </c>
      <c r="J36" s="6" t="s">
        <v>234</v>
      </c>
      <c r="K36" s="6">
        <v>3</v>
      </c>
    </row>
    <row r="37" spans="1:11" x14ac:dyDescent="0.25">
      <c r="A37" s="6" t="s">
        <v>1569</v>
      </c>
      <c r="B37" s="5" t="s">
        <v>1570</v>
      </c>
      <c r="C37" s="5" t="s">
        <v>1570</v>
      </c>
      <c r="D37" s="6" t="s">
        <v>1563</v>
      </c>
      <c r="E37" s="6" t="s">
        <v>263</v>
      </c>
      <c r="F37" s="6">
        <v>3.0449399999999999E-4</v>
      </c>
      <c r="G37" s="6" t="s">
        <v>265</v>
      </c>
      <c r="H37" s="6" t="s">
        <v>263</v>
      </c>
      <c r="I37" s="6" t="s">
        <v>233</v>
      </c>
      <c r="J37" s="6" t="s">
        <v>234</v>
      </c>
      <c r="K37" s="6">
        <v>3</v>
      </c>
    </row>
    <row r="38" spans="1:11" x14ac:dyDescent="0.25">
      <c r="A38" s="6" t="s">
        <v>1571</v>
      </c>
      <c r="B38" s="5" t="s">
        <v>1572</v>
      </c>
      <c r="C38" s="5" t="s">
        <v>1572</v>
      </c>
      <c r="D38" s="6" t="s">
        <v>1573</v>
      </c>
      <c r="E38" s="6" t="s">
        <v>254</v>
      </c>
      <c r="F38" s="6">
        <v>8.1312799999999998E-4</v>
      </c>
      <c r="G38" s="6" t="s">
        <v>256</v>
      </c>
      <c r="H38" s="6" t="s">
        <v>254</v>
      </c>
      <c r="I38" s="6" t="s">
        <v>233</v>
      </c>
      <c r="J38" s="6" t="s">
        <v>234</v>
      </c>
      <c r="K38" s="6">
        <v>3</v>
      </c>
    </row>
    <row r="39" spans="1:11" x14ac:dyDescent="0.25">
      <c r="A39" s="6" t="s">
        <v>1574</v>
      </c>
      <c r="B39" s="5" t="s">
        <v>1575</v>
      </c>
      <c r="C39" s="5" t="s">
        <v>1575</v>
      </c>
      <c r="D39" s="6" t="s">
        <v>1514</v>
      </c>
      <c r="E39" s="6" t="s">
        <v>254</v>
      </c>
      <c r="F39" s="6">
        <v>8.1312799999999998E-4</v>
      </c>
      <c r="G39" s="6" t="s">
        <v>256</v>
      </c>
      <c r="H39" s="6" t="s">
        <v>254</v>
      </c>
      <c r="I39" s="6" t="s">
        <v>233</v>
      </c>
      <c r="J39" s="6" t="s">
        <v>234</v>
      </c>
      <c r="K39" s="6">
        <v>3</v>
      </c>
    </row>
    <row r="40" spans="1:11" x14ac:dyDescent="0.25">
      <c r="A40" s="6" t="s">
        <v>1576</v>
      </c>
      <c r="B40" s="5" t="s">
        <v>382</v>
      </c>
      <c r="C40" s="5" t="s">
        <v>382</v>
      </c>
      <c r="D40" s="6" t="s">
        <v>1577</v>
      </c>
      <c r="E40" s="6" t="s">
        <v>248</v>
      </c>
      <c r="F40" s="6">
        <v>4.3868599999999998E-4</v>
      </c>
      <c r="G40" s="6" t="s">
        <v>250</v>
      </c>
      <c r="H40" s="6" t="s">
        <v>248</v>
      </c>
      <c r="I40" s="6" t="s">
        <v>233</v>
      </c>
      <c r="J40" s="6" t="s">
        <v>234</v>
      </c>
      <c r="K40" s="6">
        <v>3</v>
      </c>
    </row>
    <row r="41" spans="1:11" x14ac:dyDescent="0.25">
      <c r="A41" s="6" t="s">
        <v>1578</v>
      </c>
      <c r="B41" s="5" t="s">
        <v>1579</v>
      </c>
      <c r="C41" s="5" t="s">
        <v>1579</v>
      </c>
      <c r="D41" s="6" t="s">
        <v>1580</v>
      </c>
      <c r="E41" s="6" t="s">
        <v>254</v>
      </c>
      <c r="F41" s="6">
        <v>8.1312799999999998E-4</v>
      </c>
      <c r="G41" s="6" t="s">
        <v>256</v>
      </c>
      <c r="H41" s="6" t="s">
        <v>254</v>
      </c>
      <c r="I41" s="6" t="s">
        <v>233</v>
      </c>
      <c r="J41" s="6" t="s">
        <v>234</v>
      </c>
      <c r="K41" s="6">
        <v>3</v>
      </c>
    </row>
    <row r="42" spans="1:11" x14ac:dyDescent="0.25">
      <c r="A42" s="6" t="s">
        <v>1581</v>
      </c>
      <c r="B42" s="5" t="s">
        <v>1582</v>
      </c>
      <c r="C42" s="5" t="s">
        <v>1582</v>
      </c>
      <c r="D42" s="6" t="s">
        <v>1583</v>
      </c>
      <c r="E42" s="6" t="s">
        <v>269</v>
      </c>
      <c r="F42" s="6">
        <v>5.2359699999999999E-4</v>
      </c>
      <c r="G42" s="6" t="s">
        <v>271</v>
      </c>
      <c r="H42" s="6" t="s">
        <v>269</v>
      </c>
      <c r="I42" s="6" t="s">
        <v>233</v>
      </c>
      <c r="J42" s="6" t="s">
        <v>234</v>
      </c>
      <c r="K42" s="6">
        <v>3</v>
      </c>
    </row>
    <row r="43" spans="1:11" x14ac:dyDescent="0.25">
      <c r="A43" s="6" t="s">
        <v>1584</v>
      </c>
      <c r="B43" s="5" t="s">
        <v>1585</v>
      </c>
      <c r="C43" s="5" t="s">
        <v>1585</v>
      </c>
      <c r="D43" s="6" t="s">
        <v>1586</v>
      </c>
      <c r="E43" s="6" t="s">
        <v>347</v>
      </c>
      <c r="F43" s="6">
        <v>2.1065654610590999E-4</v>
      </c>
      <c r="G43" s="6" t="s">
        <v>346</v>
      </c>
      <c r="H43" s="6" t="s">
        <v>347</v>
      </c>
      <c r="I43" s="6" t="s">
        <v>233</v>
      </c>
      <c r="J43" s="6" t="s">
        <v>234</v>
      </c>
      <c r="K43" s="6">
        <v>3</v>
      </c>
    </row>
    <row r="44" spans="1:11" x14ac:dyDescent="0.25">
      <c r="A44" s="6" t="s">
        <v>1587</v>
      </c>
      <c r="B44" s="5" t="s">
        <v>1588</v>
      </c>
      <c r="C44" s="5" t="s">
        <v>1588</v>
      </c>
      <c r="D44" s="6" t="s">
        <v>1568</v>
      </c>
      <c r="E44" s="6" t="s">
        <v>278</v>
      </c>
      <c r="F44" s="6">
        <v>6.2829699999999999E-4</v>
      </c>
      <c r="G44" s="6" t="s">
        <v>280</v>
      </c>
      <c r="H44" s="6" t="s">
        <v>278</v>
      </c>
      <c r="I44" s="6" t="s">
        <v>233</v>
      </c>
      <c r="J44" s="6" t="s">
        <v>234</v>
      </c>
      <c r="K44" s="6">
        <v>3</v>
      </c>
    </row>
    <row r="45" spans="1:11" x14ac:dyDescent="0.25">
      <c r="A45" s="6" t="s">
        <v>1589</v>
      </c>
      <c r="B45" s="5" t="s">
        <v>1590</v>
      </c>
      <c r="C45" s="5" t="s">
        <v>1590</v>
      </c>
      <c r="D45" s="6" t="s">
        <v>1591</v>
      </c>
      <c r="E45" s="6" t="s">
        <v>254</v>
      </c>
      <c r="F45" s="6">
        <v>8.1312799999999998E-4</v>
      </c>
      <c r="G45" s="6" t="s">
        <v>256</v>
      </c>
      <c r="H45" s="6" t="s">
        <v>254</v>
      </c>
      <c r="I45" s="6" t="s">
        <v>233</v>
      </c>
      <c r="J45" s="6" t="s">
        <v>234</v>
      </c>
      <c r="K45" s="6">
        <v>3</v>
      </c>
    </row>
    <row r="46" spans="1:11" x14ac:dyDescent="0.25">
      <c r="A46" s="6" t="s">
        <v>1592</v>
      </c>
      <c r="B46" s="5" t="s">
        <v>1593</v>
      </c>
      <c r="C46" s="5" t="s">
        <v>1593</v>
      </c>
      <c r="D46" s="6" t="s">
        <v>1594</v>
      </c>
      <c r="E46" s="6" t="s">
        <v>245</v>
      </c>
      <c r="F46" s="6">
        <v>1.0475809999999999E-3</v>
      </c>
      <c r="G46" s="6" t="s">
        <v>247</v>
      </c>
      <c r="H46" s="6" t="s">
        <v>245</v>
      </c>
      <c r="I46" s="6" t="s">
        <v>233</v>
      </c>
      <c r="J46" s="6" t="s">
        <v>234</v>
      </c>
      <c r="K46" s="6">
        <v>3</v>
      </c>
    </row>
    <row r="47" spans="1:11" x14ac:dyDescent="0.25">
      <c r="A47" s="6" t="s">
        <v>1595</v>
      </c>
      <c r="B47" s="5" t="s">
        <v>1596</v>
      </c>
      <c r="C47" s="5" t="s">
        <v>1596</v>
      </c>
      <c r="D47" s="6" t="s">
        <v>1597</v>
      </c>
      <c r="E47" s="6" t="s">
        <v>263</v>
      </c>
      <c r="F47" s="6">
        <v>3.0449399999999999E-4</v>
      </c>
      <c r="G47" s="6" t="s">
        <v>265</v>
      </c>
      <c r="H47" s="6" t="s">
        <v>263</v>
      </c>
      <c r="I47" s="6" t="s">
        <v>233</v>
      </c>
      <c r="J47" s="6" t="s">
        <v>234</v>
      </c>
      <c r="K47" s="6">
        <v>3</v>
      </c>
    </row>
    <row r="48" spans="1:11" x14ac:dyDescent="0.25">
      <c r="A48" s="6" t="s">
        <v>1598</v>
      </c>
      <c r="B48" s="5" t="s">
        <v>1599</v>
      </c>
      <c r="C48" s="5" t="s">
        <v>1599</v>
      </c>
      <c r="D48" s="6" t="s">
        <v>1600</v>
      </c>
      <c r="E48" s="6" t="s">
        <v>248</v>
      </c>
      <c r="F48" s="6">
        <v>4.3868599999999998E-4</v>
      </c>
      <c r="G48" s="6" t="s">
        <v>250</v>
      </c>
      <c r="H48" s="6" t="s">
        <v>248</v>
      </c>
      <c r="I48" s="6" t="s">
        <v>233</v>
      </c>
      <c r="J48" s="6" t="s">
        <v>234</v>
      </c>
      <c r="K48" s="6">
        <v>3</v>
      </c>
    </row>
    <row r="49" spans="1:11" x14ac:dyDescent="0.25">
      <c r="A49" s="6" t="s">
        <v>1601</v>
      </c>
      <c r="B49" s="5" t="s">
        <v>1045</v>
      </c>
      <c r="C49" s="5" t="s">
        <v>1045</v>
      </c>
      <c r="D49" s="6" t="s">
        <v>1519</v>
      </c>
      <c r="E49" s="6" t="s">
        <v>248</v>
      </c>
      <c r="F49" s="6">
        <v>4.3868599999999998E-4</v>
      </c>
      <c r="G49" s="6" t="s">
        <v>250</v>
      </c>
      <c r="H49" s="6" t="s">
        <v>248</v>
      </c>
      <c r="I49" s="6" t="s">
        <v>233</v>
      </c>
      <c r="J49" s="6" t="s">
        <v>234</v>
      </c>
      <c r="K49" s="6">
        <v>3</v>
      </c>
    </row>
    <row r="50" spans="1:11" x14ac:dyDescent="0.25">
      <c r="A50" s="6" t="s">
        <v>1602</v>
      </c>
      <c r="B50" s="5" t="s">
        <v>1603</v>
      </c>
      <c r="C50" s="5" t="s">
        <v>1603</v>
      </c>
      <c r="D50" s="6" t="s">
        <v>1604</v>
      </c>
      <c r="E50" s="6" t="s">
        <v>245</v>
      </c>
      <c r="F50" s="6">
        <v>1.0475809999999999E-3</v>
      </c>
      <c r="G50" s="6" t="s">
        <v>247</v>
      </c>
      <c r="H50" s="6" t="s">
        <v>245</v>
      </c>
      <c r="I50" s="6" t="s">
        <v>233</v>
      </c>
      <c r="J50" s="6" t="s">
        <v>234</v>
      </c>
      <c r="K50" s="6">
        <v>3</v>
      </c>
    </row>
    <row r="51" spans="1:11" x14ac:dyDescent="0.25">
      <c r="A51" s="6" t="s">
        <v>1605</v>
      </c>
      <c r="B51" s="5" t="s">
        <v>1606</v>
      </c>
      <c r="C51" s="5" t="s">
        <v>1606</v>
      </c>
      <c r="D51" s="6" t="s">
        <v>1607</v>
      </c>
      <c r="E51" s="6" t="s">
        <v>263</v>
      </c>
      <c r="F51" s="6">
        <v>3.0449399999999999E-4</v>
      </c>
      <c r="G51" s="6" t="s">
        <v>265</v>
      </c>
      <c r="H51" s="6" t="s">
        <v>263</v>
      </c>
      <c r="I51" s="6" t="s">
        <v>233</v>
      </c>
      <c r="J51" s="6" t="s">
        <v>234</v>
      </c>
      <c r="K51" s="6">
        <v>3</v>
      </c>
    </row>
    <row r="52" spans="1:11" x14ac:dyDescent="0.25">
      <c r="A52" s="6" t="s">
        <v>1608</v>
      </c>
      <c r="B52" s="5" t="s">
        <v>1609</v>
      </c>
      <c r="C52" s="5" t="s">
        <v>1609</v>
      </c>
      <c r="D52" s="6" t="s">
        <v>1610</v>
      </c>
      <c r="E52" s="6" t="s">
        <v>254</v>
      </c>
      <c r="F52" s="6">
        <v>8.1312799999999998E-4</v>
      </c>
      <c r="G52" s="6" t="s">
        <v>256</v>
      </c>
      <c r="H52" s="6" t="s">
        <v>254</v>
      </c>
      <c r="I52" s="6" t="s">
        <v>233</v>
      </c>
      <c r="J52" s="6" t="s">
        <v>234</v>
      </c>
      <c r="K52" s="6">
        <v>3</v>
      </c>
    </row>
    <row r="53" spans="1:11" x14ac:dyDescent="0.25">
      <c r="A53" s="6" t="s">
        <v>1611</v>
      </c>
      <c r="B53" s="5" t="s">
        <v>398</v>
      </c>
      <c r="C53" s="5" t="s">
        <v>398</v>
      </c>
      <c r="D53" s="6" t="s">
        <v>1612</v>
      </c>
      <c r="E53" s="6" t="s">
        <v>1543</v>
      </c>
      <c r="F53" s="6">
        <v>5.2359699999999999E-5</v>
      </c>
      <c r="G53" s="6" t="s">
        <v>271</v>
      </c>
      <c r="H53" s="6" t="s">
        <v>269</v>
      </c>
      <c r="I53" s="6" t="s">
        <v>233</v>
      </c>
      <c r="J53" s="6" t="s">
        <v>234</v>
      </c>
      <c r="K53" s="6">
        <v>3</v>
      </c>
    </row>
    <row r="54" spans="1:11" x14ac:dyDescent="0.25">
      <c r="A54" s="6" t="s">
        <v>1613</v>
      </c>
      <c r="B54" s="5" t="s">
        <v>1614</v>
      </c>
      <c r="C54" s="5" t="s">
        <v>1614</v>
      </c>
      <c r="D54" s="6" t="s">
        <v>1615</v>
      </c>
      <c r="E54" s="6" t="s">
        <v>1614</v>
      </c>
      <c r="F54" s="6">
        <v>4.3868590254058401E-4</v>
      </c>
      <c r="G54" s="6" t="s">
        <v>250</v>
      </c>
      <c r="H54" s="6" t="s">
        <v>248</v>
      </c>
      <c r="I54" s="6" t="s">
        <v>233</v>
      </c>
      <c r="J54" s="6" t="s">
        <v>234</v>
      </c>
      <c r="K54" s="6">
        <v>3</v>
      </c>
    </row>
    <row r="55" spans="1:11" x14ac:dyDescent="0.25">
      <c r="A55" s="6" t="s">
        <v>1616</v>
      </c>
      <c r="B55" s="5" t="s">
        <v>1617</v>
      </c>
      <c r="C55" s="5" t="s">
        <v>1617</v>
      </c>
      <c r="D55" s="6" t="s">
        <v>1618</v>
      </c>
      <c r="E55" s="6" t="s">
        <v>263</v>
      </c>
      <c r="F55" s="6">
        <v>3.0449399999999999E-4</v>
      </c>
      <c r="G55" s="6" t="s">
        <v>265</v>
      </c>
      <c r="H55" s="6" t="s">
        <v>263</v>
      </c>
      <c r="I55" s="6" t="s">
        <v>233</v>
      </c>
      <c r="J55" s="6" t="s">
        <v>234</v>
      </c>
      <c r="K55" s="6">
        <v>3</v>
      </c>
    </row>
    <row r="56" spans="1:11" x14ac:dyDescent="0.25">
      <c r="A56" s="6" t="s">
        <v>1619</v>
      </c>
      <c r="B56" s="5" t="s">
        <v>1620</v>
      </c>
      <c r="C56" s="5" t="s">
        <v>1620</v>
      </c>
      <c r="D56" s="6" t="s">
        <v>1621</v>
      </c>
      <c r="E56" s="6" t="s">
        <v>245</v>
      </c>
      <c r="F56" s="6">
        <v>1.0475809999999999E-3</v>
      </c>
      <c r="G56" s="6" t="s">
        <v>247</v>
      </c>
      <c r="H56" s="6" t="s">
        <v>245</v>
      </c>
      <c r="I56" s="6" t="s">
        <v>233</v>
      </c>
      <c r="J56" s="6" t="s">
        <v>234</v>
      </c>
      <c r="K56" s="6">
        <v>3</v>
      </c>
    </row>
    <row r="57" spans="1:11" x14ac:dyDescent="0.25">
      <c r="A57" s="6" t="s">
        <v>1622</v>
      </c>
      <c r="B57" s="5" t="s">
        <v>1623</v>
      </c>
      <c r="C57" s="5" t="s">
        <v>1623</v>
      </c>
      <c r="D57" s="6" t="s">
        <v>1624</v>
      </c>
      <c r="E57" s="6" t="s">
        <v>254</v>
      </c>
      <c r="F57" s="6">
        <v>8.1312799999999998E-4</v>
      </c>
      <c r="G57" s="6" t="s">
        <v>256</v>
      </c>
      <c r="H57" s="6" t="s">
        <v>254</v>
      </c>
      <c r="I57" s="6" t="s">
        <v>233</v>
      </c>
      <c r="J57" s="6" t="s">
        <v>234</v>
      </c>
      <c r="K57" s="6">
        <v>3</v>
      </c>
    </row>
    <row r="58" spans="1:11" x14ac:dyDescent="0.25">
      <c r="A58" s="6" t="s">
        <v>1625</v>
      </c>
      <c r="B58" s="5" t="s">
        <v>1626</v>
      </c>
      <c r="C58" s="5" t="s">
        <v>1626</v>
      </c>
      <c r="D58" s="6" t="s">
        <v>1627</v>
      </c>
      <c r="E58" s="6" t="s">
        <v>254</v>
      </c>
      <c r="F58" s="6">
        <v>8.1312799999999998E-4</v>
      </c>
      <c r="G58" s="6" t="s">
        <v>256</v>
      </c>
      <c r="H58" s="6" t="s">
        <v>254</v>
      </c>
      <c r="I58" s="6" t="s">
        <v>233</v>
      </c>
      <c r="J58" s="6" t="s">
        <v>234</v>
      </c>
      <c r="K58" s="6">
        <v>3</v>
      </c>
    </row>
    <row r="59" spans="1:11" x14ac:dyDescent="0.25">
      <c r="A59" s="6" t="s">
        <v>1628</v>
      </c>
      <c r="B59" s="5" t="s">
        <v>371</v>
      </c>
      <c r="C59" s="5" t="s">
        <v>371</v>
      </c>
      <c r="D59" s="6" t="s">
        <v>1629</v>
      </c>
      <c r="E59" s="6" t="s">
        <v>245</v>
      </c>
      <c r="F59" s="6">
        <v>1.0475809999999999E-3</v>
      </c>
      <c r="G59" s="6" t="s">
        <v>247</v>
      </c>
      <c r="H59" s="6" t="s">
        <v>245</v>
      </c>
      <c r="I59" s="6" t="s">
        <v>233</v>
      </c>
      <c r="J59" s="6" t="s">
        <v>234</v>
      </c>
      <c r="K59" s="6">
        <v>3</v>
      </c>
    </row>
    <row r="60" spans="1:11" x14ac:dyDescent="0.25">
      <c r="A60" s="6" t="s">
        <v>1630</v>
      </c>
      <c r="B60" s="5" t="s">
        <v>365</v>
      </c>
      <c r="C60" s="5" t="s">
        <v>365</v>
      </c>
      <c r="D60" s="6" t="s">
        <v>1631</v>
      </c>
      <c r="E60" s="6" t="s">
        <v>1632</v>
      </c>
      <c r="F60" s="6">
        <v>5.2359699999999999E-4</v>
      </c>
      <c r="G60" s="6" t="s">
        <v>271</v>
      </c>
      <c r="H60" s="6" t="s">
        <v>269</v>
      </c>
      <c r="I60" s="6" t="s">
        <v>233</v>
      </c>
      <c r="J60" s="6" t="s">
        <v>234</v>
      </c>
      <c r="K60" s="6">
        <v>3</v>
      </c>
    </row>
    <row r="61" spans="1:11" x14ac:dyDescent="0.25">
      <c r="A61" s="6" t="s">
        <v>1633</v>
      </c>
      <c r="B61" s="5" t="s">
        <v>1054</v>
      </c>
      <c r="C61" s="5" t="s">
        <v>1054</v>
      </c>
      <c r="D61" s="6" t="s">
        <v>1634</v>
      </c>
      <c r="E61" s="6" t="s">
        <v>254</v>
      </c>
      <c r="F61" s="6">
        <v>8.1312799999999998E-4</v>
      </c>
      <c r="G61" s="6" t="s">
        <v>256</v>
      </c>
      <c r="H61" s="6" t="s">
        <v>254</v>
      </c>
      <c r="I61" s="6" t="s">
        <v>233</v>
      </c>
      <c r="J61" s="6" t="s">
        <v>234</v>
      </c>
      <c r="K61" s="6">
        <v>3</v>
      </c>
    </row>
    <row r="62" spans="1:11" x14ac:dyDescent="0.25">
      <c r="A62" s="6" t="s">
        <v>1635</v>
      </c>
      <c r="B62" s="5" t="s">
        <v>434</v>
      </c>
      <c r="C62" s="5" t="s">
        <v>434</v>
      </c>
      <c r="D62" s="6" t="s">
        <v>1636</v>
      </c>
      <c r="E62" s="6" t="s">
        <v>254</v>
      </c>
      <c r="F62" s="6">
        <v>8.1312799999999998E-4</v>
      </c>
      <c r="G62" s="6" t="s">
        <v>256</v>
      </c>
      <c r="H62" s="6" t="s">
        <v>254</v>
      </c>
      <c r="I62" s="6" t="s">
        <v>233</v>
      </c>
      <c r="J62" s="6" t="s">
        <v>234</v>
      </c>
      <c r="K62" s="6">
        <v>3</v>
      </c>
    </row>
    <row r="63" spans="1:11" x14ac:dyDescent="0.25">
      <c r="A63" s="6" t="s">
        <v>1637</v>
      </c>
      <c r="B63" s="5" t="s">
        <v>1638</v>
      </c>
      <c r="C63" s="5" t="s">
        <v>1638</v>
      </c>
      <c r="D63" s="6" t="s">
        <v>1639</v>
      </c>
      <c r="E63" s="6" t="s">
        <v>347</v>
      </c>
      <c r="F63" s="6">
        <v>2.10657E-4</v>
      </c>
      <c r="G63" s="6" t="s">
        <v>346</v>
      </c>
      <c r="H63" s="6" t="s">
        <v>347</v>
      </c>
      <c r="I63" s="6" t="s">
        <v>233</v>
      </c>
      <c r="J63" s="6" t="s">
        <v>234</v>
      </c>
      <c r="K63" s="6">
        <v>3</v>
      </c>
    </row>
    <row r="64" spans="1:11" x14ac:dyDescent="0.25">
      <c r="A64" s="6" t="s">
        <v>1640</v>
      </c>
      <c r="B64" s="5" t="s">
        <v>1052</v>
      </c>
      <c r="C64" s="5" t="s">
        <v>1052</v>
      </c>
      <c r="D64" s="6" t="s">
        <v>1641</v>
      </c>
      <c r="E64" s="6" t="s">
        <v>245</v>
      </c>
      <c r="F64" s="6">
        <v>1.0475809999999999E-3</v>
      </c>
      <c r="G64" s="6" t="s">
        <v>247</v>
      </c>
      <c r="H64" s="6" t="s">
        <v>245</v>
      </c>
      <c r="I64" s="6" t="s">
        <v>233</v>
      </c>
      <c r="J64" s="6" t="s">
        <v>234</v>
      </c>
      <c r="K64" s="6">
        <v>3</v>
      </c>
    </row>
    <row r="65" spans="1:11" x14ac:dyDescent="0.25">
      <c r="A65" s="6" t="s">
        <v>1642</v>
      </c>
      <c r="B65" s="5" t="s">
        <v>1643</v>
      </c>
      <c r="C65" s="5" t="s">
        <v>1643</v>
      </c>
      <c r="D65" s="6" t="s">
        <v>1644</v>
      </c>
      <c r="E65" s="6" t="s">
        <v>245</v>
      </c>
      <c r="F65" s="6">
        <v>1.0475809999999999E-3</v>
      </c>
      <c r="G65" s="6" t="s">
        <v>247</v>
      </c>
      <c r="H65" s="6" t="s">
        <v>245</v>
      </c>
      <c r="I65" s="6" t="s">
        <v>233</v>
      </c>
      <c r="J65" s="6" t="s">
        <v>234</v>
      </c>
      <c r="K65" s="6">
        <v>3</v>
      </c>
    </row>
    <row r="66" spans="1:11" ht="30" x14ac:dyDescent="0.25">
      <c r="A66" s="6" t="s">
        <v>1645</v>
      </c>
      <c r="B66" s="5" t="s">
        <v>452</v>
      </c>
      <c r="C66" s="5" t="s">
        <v>452</v>
      </c>
      <c r="D66" s="6" t="s">
        <v>1641</v>
      </c>
      <c r="E66" s="6" t="s">
        <v>245</v>
      </c>
      <c r="F66" s="6">
        <v>1.0475809999999999E-3</v>
      </c>
      <c r="G66" s="6" t="s">
        <v>247</v>
      </c>
      <c r="H66" s="6" t="s">
        <v>245</v>
      </c>
      <c r="I66" s="6" t="s">
        <v>233</v>
      </c>
      <c r="J66" s="6" t="s">
        <v>234</v>
      </c>
      <c r="K66" s="6">
        <v>3</v>
      </c>
    </row>
    <row r="67" spans="1:11" x14ac:dyDescent="0.25">
      <c r="A67" s="6" t="s">
        <v>1646</v>
      </c>
      <c r="B67" s="5" t="s">
        <v>1647</v>
      </c>
      <c r="C67" s="5" t="s">
        <v>1647</v>
      </c>
      <c r="D67" s="6" t="s">
        <v>1648</v>
      </c>
      <c r="E67" s="6" t="s">
        <v>254</v>
      </c>
      <c r="F67" s="6">
        <v>8.1312799999999998E-4</v>
      </c>
      <c r="G67" s="6" t="s">
        <v>256</v>
      </c>
      <c r="H67" s="6" t="s">
        <v>254</v>
      </c>
      <c r="I67" s="6" t="s">
        <v>233</v>
      </c>
      <c r="J67" s="6" t="s">
        <v>234</v>
      </c>
      <c r="K67" s="6">
        <v>3</v>
      </c>
    </row>
    <row r="68" spans="1:11" x14ac:dyDescent="0.25">
      <c r="A68" s="6" t="s">
        <v>1649</v>
      </c>
      <c r="B68" s="5" t="s">
        <v>1650</v>
      </c>
      <c r="C68" s="5" t="s">
        <v>1650</v>
      </c>
      <c r="D68" s="6" t="s">
        <v>1651</v>
      </c>
      <c r="E68" s="6" t="s">
        <v>245</v>
      </c>
      <c r="F68" s="6">
        <v>1.0475809999999999E-3</v>
      </c>
      <c r="G68" s="6" t="s">
        <v>247</v>
      </c>
      <c r="H68" s="6" t="s">
        <v>245</v>
      </c>
      <c r="I68" s="6" t="s">
        <v>233</v>
      </c>
      <c r="J68" s="6" t="s">
        <v>234</v>
      </c>
      <c r="K68" s="6">
        <v>3</v>
      </c>
    </row>
    <row r="69" spans="1:11" x14ac:dyDescent="0.25">
      <c r="A69" s="6" t="s">
        <v>1652</v>
      </c>
      <c r="B69" s="5" t="s">
        <v>1653</v>
      </c>
      <c r="C69" s="5" t="s">
        <v>1653</v>
      </c>
      <c r="D69" s="6" t="s">
        <v>1654</v>
      </c>
      <c r="E69" s="6" t="s">
        <v>248</v>
      </c>
      <c r="F69" s="6">
        <v>4.3868599999999998E-4</v>
      </c>
      <c r="G69" s="6" t="s">
        <v>250</v>
      </c>
      <c r="H69" s="6" t="s">
        <v>248</v>
      </c>
      <c r="I69" s="6" t="s">
        <v>233</v>
      </c>
      <c r="J69" s="6" t="s">
        <v>234</v>
      </c>
      <c r="K69" s="6">
        <v>3</v>
      </c>
    </row>
    <row r="70" spans="1:11" x14ac:dyDescent="0.25">
      <c r="A70" s="6" t="s">
        <v>1655</v>
      </c>
      <c r="B70" s="5" t="s">
        <v>1656</v>
      </c>
      <c r="C70" s="5" t="s">
        <v>1656</v>
      </c>
      <c r="D70" s="6" t="s">
        <v>1568</v>
      </c>
      <c r="E70" s="6" t="s">
        <v>278</v>
      </c>
      <c r="F70" s="6">
        <v>6.2829699999999999E-4</v>
      </c>
      <c r="G70" s="6" t="s">
        <v>280</v>
      </c>
      <c r="H70" s="6" t="s">
        <v>278</v>
      </c>
      <c r="I70" s="6" t="s">
        <v>233</v>
      </c>
      <c r="J70" s="6" t="s">
        <v>234</v>
      </c>
      <c r="K70" s="6">
        <v>3</v>
      </c>
    </row>
    <row r="71" spans="1:11" x14ac:dyDescent="0.25">
      <c r="A71" s="6" t="s">
        <v>1657</v>
      </c>
      <c r="B71" s="5" t="s">
        <v>1658</v>
      </c>
      <c r="C71" s="5" t="s">
        <v>1658</v>
      </c>
      <c r="D71" s="6" t="s">
        <v>1659</v>
      </c>
      <c r="E71" s="6" t="s">
        <v>248</v>
      </c>
      <c r="F71" s="6">
        <v>4.3868599999999998E-4</v>
      </c>
      <c r="G71" s="6" t="s">
        <v>250</v>
      </c>
      <c r="H71" s="6" t="s">
        <v>248</v>
      </c>
      <c r="I71" s="6" t="s">
        <v>233</v>
      </c>
      <c r="J71" s="6" t="s">
        <v>234</v>
      </c>
      <c r="K71" s="6">
        <v>3</v>
      </c>
    </row>
    <row r="72" spans="1:11" x14ac:dyDescent="0.25">
      <c r="A72" s="6" t="s">
        <v>1660</v>
      </c>
      <c r="B72" s="5" t="s">
        <v>1661</v>
      </c>
      <c r="C72" s="5" t="s">
        <v>1661</v>
      </c>
      <c r="D72" s="6" t="s">
        <v>1662</v>
      </c>
      <c r="E72" s="6" t="s">
        <v>254</v>
      </c>
      <c r="F72" s="6">
        <v>8.1312799999999998E-4</v>
      </c>
      <c r="G72" s="6" t="s">
        <v>256</v>
      </c>
      <c r="H72" s="6" t="s">
        <v>254</v>
      </c>
      <c r="I72" s="6" t="s">
        <v>233</v>
      </c>
      <c r="J72" s="6" t="s">
        <v>234</v>
      </c>
      <c r="K72" s="6">
        <v>3</v>
      </c>
    </row>
    <row r="73" spans="1:11" x14ac:dyDescent="0.25">
      <c r="A73" s="6" t="s">
        <v>1663</v>
      </c>
      <c r="B73" s="5" t="s">
        <v>1053</v>
      </c>
      <c r="C73" s="5" t="s">
        <v>1053</v>
      </c>
      <c r="D73" s="6" t="s">
        <v>1664</v>
      </c>
      <c r="E73" s="6" t="s">
        <v>254</v>
      </c>
      <c r="F73" s="6">
        <v>8.1312799999999998E-4</v>
      </c>
      <c r="G73" s="6" t="s">
        <v>256</v>
      </c>
      <c r="H73" s="6" t="s">
        <v>254</v>
      </c>
      <c r="I73" s="6" t="s">
        <v>233</v>
      </c>
      <c r="J73" s="6" t="s">
        <v>234</v>
      </c>
      <c r="K73" s="6">
        <v>3</v>
      </c>
    </row>
    <row r="74" spans="1:11" x14ac:dyDescent="0.25">
      <c r="A74" s="6" t="s">
        <v>1665</v>
      </c>
      <c r="B74" s="5" t="s">
        <v>1666</v>
      </c>
      <c r="C74" s="5" t="s">
        <v>1666</v>
      </c>
      <c r="D74" s="6" t="s">
        <v>1667</v>
      </c>
      <c r="E74" s="6" t="s">
        <v>248</v>
      </c>
      <c r="F74" s="6">
        <v>4.3868599999999998E-4</v>
      </c>
      <c r="G74" s="6" t="s">
        <v>250</v>
      </c>
      <c r="H74" s="6" t="s">
        <v>248</v>
      </c>
      <c r="I74" s="6" t="s">
        <v>233</v>
      </c>
      <c r="J74" s="6" t="s">
        <v>234</v>
      </c>
      <c r="K74" s="6">
        <v>3</v>
      </c>
    </row>
    <row r="75" spans="1:11" x14ac:dyDescent="0.25">
      <c r="A75" s="6" t="s">
        <v>1668</v>
      </c>
      <c r="B75" s="5" t="s">
        <v>1669</v>
      </c>
      <c r="C75" s="5" t="s">
        <v>1669</v>
      </c>
      <c r="D75" s="6" t="s">
        <v>1670</v>
      </c>
      <c r="E75" s="6" t="s">
        <v>254</v>
      </c>
      <c r="F75" s="6">
        <v>8.1312799999999998E-4</v>
      </c>
      <c r="G75" s="6" t="s">
        <v>256</v>
      </c>
      <c r="H75" s="6" t="s">
        <v>254</v>
      </c>
      <c r="I75" s="6" t="s">
        <v>233</v>
      </c>
      <c r="J75" s="6" t="s">
        <v>234</v>
      </c>
      <c r="K75" s="6">
        <v>3</v>
      </c>
    </row>
    <row r="76" spans="1:11" ht="30" x14ac:dyDescent="0.25">
      <c r="A76" s="6" t="s">
        <v>1671</v>
      </c>
      <c r="B76" s="5" t="s">
        <v>1672</v>
      </c>
      <c r="C76" s="5" t="s">
        <v>1672</v>
      </c>
      <c r="D76" s="6" t="s">
        <v>1534</v>
      </c>
      <c r="E76" s="6" t="s">
        <v>263</v>
      </c>
      <c r="F76" s="6">
        <v>3.0449399999999999E-4</v>
      </c>
      <c r="G76" s="6" t="s">
        <v>265</v>
      </c>
      <c r="H76" s="6" t="s">
        <v>263</v>
      </c>
      <c r="I76" s="6" t="s">
        <v>233</v>
      </c>
      <c r="J76" s="6" t="s">
        <v>234</v>
      </c>
      <c r="K76" s="6">
        <v>3</v>
      </c>
    </row>
    <row r="77" spans="1:11" x14ac:dyDescent="0.25">
      <c r="A77" s="6" t="s">
        <v>1673</v>
      </c>
      <c r="B77" s="5" t="s">
        <v>1674</v>
      </c>
      <c r="C77" s="5" t="s">
        <v>1674</v>
      </c>
      <c r="D77" s="6" t="s">
        <v>1675</v>
      </c>
      <c r="E77" s="6" t="s">
        <v>299</v>
      </c>
      <c r="F77" s="6">
        <v>6.3590900000000004E-4</v>
      </c>
      <c r="G77" s="6" t="s">
        <v>301</v>
      </c>
      <c r="H77" s="6" t="s">
        <v>299</v>
      </c>
      <c r="I77" s="6" t="s">
        <v>233</v>
      </c>
      <c r="J77" s="6" t="s">
        <v>234</v>
      </c>
      <c r="K77" s="6">
        <v>3</v>
      </c>
    </row>
    <row r="78" spans="1:11" x14ac:dyDescent="0.25">
      <c r="A78" s="6" t="s">
        <v>1676</v>
      </c>
      <c r="B78" s="5" t="s">
        <v>1677</v>
      </c>
      <c r="C78" s="5" t="s">
        <v>1677</v>
      </c>
      <c r="D78" s="6" t="s">
        <v>1644</v>
      </c>
      <c r="E78" s="6" t="s">
        <v>245</v>
      </c>
      <c r="F78" s="6">
        <v>1.0475809999999999E-3</v>
      </c>
      <c r="G78" s="6" t="s">
        <v>247</v>
      </c>
      <c r="H78" s="6" t="s">
        <v>245</v>
      </c>
      <c r="I78" s="6" t="s">
        <v>233</v>
      </c>
      <c r="J78" s="6" t="s">
        <v>234</v>
      </c>
      <c r="K78" s="6">
        <v>3</v>
      </c>
    </row>
    <row r="79" spans="1:11" x14ac:dyDescent="0.25">
      <c r="A79" s="6" t="s">
        <v>1678</v>
      </c>
      <c r="B79" s="5" t="s">
        <v>1679</v>
      </c>
      <c r="C79" s="5" t="s">
        <v>1679</v>
      </c>
      <c r="D79" s="6" t="s">
        <v>1680</v>
      </c>
      <c r="E79" s="6" t="s">
        <v>245</v>
      </c>
      <c r="F79" s="6">
        <v>1.0475809999999999E-3</v>
      </c>
      <c r="G79" s="6" t="s">
        <v>247</v>
      </c>
      <c r="H79" s="6" t="s">
        <v>245</v>
      </c>
      <c r="I79" s="6" t="s">
        <v>233</v>
      </c>
      <c r="J79" s="6" t="s">
        <v>234</v>
      </c>
      <c r="K79" s="6">
        <v>3</v>
      </c>
    </row>
    <row r="80" spans="1:11" x14ac:dyDescent="0.25">
      <c r="A80" s="6" t="s">
        <v>1681</v>
      </c>
      <c r="B80" s="5" t="s">
        <v>1682</v>
      </c>
      <c r="C80" s="5" t="s">
        <v>1682</v>
      </c>
      <c r="D80" s="6" t="s">
        <v>1683</v>
      </c>
      <c r="E80" s="6" t="s">
        <v>254</v>
      </c>
      <c r="F80" s="6">
        <v>8.1312799999999998E-4</v>
      </c>
      <c r="G80" s="6" t="s">
        <v>256</v>
      </c>
      <c r="H80" s="6" t="s">
        <v>254</v>
      </c>
      <c r="I80" s="6" t="s">
        <v>233</v>
      </c>
      <c r="J80" s="6" t="s">
        <v>234</v>
      </c>
      <c r="K80" s="6">
        <v>3</v>
      </c>
    </row>
    <row r="81" spans="1:11" x14ac:dyDescent="0.25">
      <c r="A81" s="6" t="s">
        <v>1684</v>
      </c>
      <c r="B81" s="5" t="s">
        <v>1685</v>
      </c>
      <c r="C81" s="5" t="s">
        <v>1685</v>
      </c>
      <c r="D81" s="6" t="s">
        <v>1686</v>
      </c>
      <c r="E81" s="6" t="s">
        <v>248</v>
      </c>
      <c r="F81" s="6">
        <v>4.3868599999999998E-4</v>
      </c>
      <c r="G81" s="6" t="s">
        <v>250</v>
      </c>
      <c r="H81" s="6" t="s">
        <v>248</v>
      </c>
      <c r="I81" s="6" t="s">
        <v>233</v>
      </c>
      <c r="J81" s="6" t="s">
        <v>234</v>
      </c>
      <c r="K81" s="6">
        <v>3</v>
      </c>
    </row>
    <row r="82" spans="1:11" x14ac:dyDescent="0.25">
      <c r="A82" s="6" t="s">
        <v>1687</v>
      </c>
      <c r="B82" s="5" t="s">
        <v>1688</v>
      </c>
      <c r="C82" s="5" t="s">
        <v>1688</v>
      </c>
      <c r="D82" s="6" t="s">
        <v>1689</v>
      </c>
      <c r="E82" s="6" t="s">
        <v>414</v>
      </c>
      <c r="F82" s="6">
        <v>3.1322198387294099E-4</v>
      </c>
      <c r="G82" s="6" t="s">
        <v>413</v>
      </c>
      <c r="H82" s="6" t="s">
        <v>414</v>
      </c>
      <c r="I82" s="6" t="s">
        <v>233</v>
      </c>
      <c r="J82" s="6" t="s">
        <v>234</v>
      </c>
      <c r="K82" s="6">
        <v>3</v>
      </c>
    </row>
    <row r="83" spans="1:11" x14ac:dyDescent="0.25">
      <c r="A83" s="6" t="s">
        <v>1690</v>
      </c>
      <c r="B83" s="5" t="s">
        <v>391</v>
      </c>
      <c r="C83" s="5" t="s">
        <v>391</v>
      </c>
      <c r="D83" s="6" t="s">
        <v>1691</v>
      </c>
      <c r="E83" s="6" t="s">
        <v>269</v>
      </c>
      <c r="F83" s="6">
        <v>5.2359699999999999E-4</v>
      </c>
      <c r="G83" s="6" t="s">
        <v>271</v>
      </c>
      <c r="H83" s="6" t="s">
        <v>269</v>
      </c>
      <c r="I83" s="6" t="s">
        <v>233</v>
      </c>
      <c r="J83" s="6" t="s">
        <v>234</v>
      </c>
      <c r="K83" s="6">
        <v>3</v>
      </c>
    </row>
    <row r="84" spans="1:11" x14ac:dyDescent="0.25">
      <c r="A84" s="6" t="s">
        <v>1692</v>
      </c>
      <c r="B84" s="5" t="s">
        <v>1693</v>
      </c>
      <c r="C84" s="5" t="s">
        <v>1693</v>
      </c>
      <c r="D84" s="6" t="s">
        <v>1694</v>
      </c>
      <c r="E84" s="6" t="s">
        <v>263</v>
      </c>
      <c r="F84" s="6">
        <v>3.0449399999999999E-4</v>
      </c>
      <c r="G84" s="6" t="s">
        <v>265</v>
      </c>
      <c r="H84" s="6" t="s">
        <v>263</v>
      </c>
      <c r="I84" s="6" t="s">
        <v>233</v>
      </c>
      <c r="J84" s="6" t="s">
        <v>234</v>
      </c>
      <c r="K84" s="6">
        <v>3</v>
      </c>
    </row>
    <row r="85" spans="1:11" x14ac:dyDescent="0.25">
      <c r="A85" s="6" t="s">
        <v>1695</v>
      </c>
      <c r="B85" s="5" t="s">
        <v>1696</v>
      </c>
      <c r="C85" s="5" t="s">
        <v>1696</v>
      </c>
      <c r="D85" s="6" t="s">
        <v>1697</v>
      </c>
      <c r="E85" s="6" t="s">
        <v>269</v>
      </c>
      <c r="F85" s="6">
        <v>5.2359699999999999E-4</v>
      </c>
      <c r="G85" s="6" t="s">
        <v>271</v>
      </c>
      <c r="H85" s="6" t="s">
        <v>269</v>
      </c>
      <c r="I85" s="6" t="s">
        <v>233</v>
      </c>
      <c r="J85" s="6" t="s">
        <v>234</v>
      </c>
      <c r="K85" s="6">
        <v>3</v>
      </c>
    </row>
    <row r="86" spans="1:11" x14ac:dyDescent="0.25">
      <c r="A86" s="6" t="s">
        <v>1698</v>
      </c>
      <c r="B86" s="5" t="s">
        <v>1699</v>
      </c>
      <c r="C86" s="5" t="s">
        <v>1699</v>
      </c>
      <c r="D86" s="6" t="s">
        <v>1700</v>
      </c>
      <c r="E86" s="6" t="s">
        <v>254</v>
      </c>
      <c r="F86" s="6">
        <v>8.1312799999999998E-4</v>
      </c>
      <c r="G86" s="6" t="s">
        <v>256</v>
      </c>
      <c r="H86" s="6" t="s">
        <v>254</v>
      </c>
      <c r="I86" s="6" t="s">
        <v>233</v>
      </c>
      <c r="J86" s="6" t="s">
        <v>234</v>
      </c>
      <c r="K86" s="6">
        <v>3</v>
      </c>
    </row>
    <row r="87" spans="1:11" x14ac:dyDescent="0.25">
      <c r="A87" s="6" t="s">
        <v>1701</v>
      </c>
      <c r="B87" s="5" t="s">
        <v>1702</v>
      </c>
      <c r="C87" s="5" t="s">
        <v>1702</v>
      </c>
      <c r="D87" s="6" t="s">
        <v>1597</v>
      </c>
      <c r="E87" s="6" t="s">
        <v>263</v>
      </c>
      <c r="F87" s="6">
        <v>3.0449399999999999E-4</v>
      </c>
      <c r="G87" s="6" t="s">
        <v>265</v>
      </c>
      <c r="H87" s="6" t="s">
        <v>263</v>
      </c>
      <c r="I87" s="6" t="s">
        <v>233</v>
      </c>
      <c r="J87" s="6" t="s">
        <v>234</v>
      </c>
      <c r="K87" s="6">
        <v>3</v>
      </c>
    </row>
    <row r="88" spans="1:11" x14ac:dyDescent="0.25">
      <c r="A88" s="6" t="s">
        <v>1703</v>
      </c>
      <c r="B88" s="5" t="s">
        <v>1704</v>
      </c>
      <c r="C88" s="5" t="s">
        <v>1704</v>
      </c>
      <c r="D88" s="6" t="s">
        <v>1705</v>
      </c>
      <c r="E88" s="6" t="s">
        <v>248</v>
      </c>
      <c r="F88" s="6">
        <v>4.3868599999999998E-4</v>
      </c>
      <c r="G88" s="6" t="s">
        <v>250</v>
      </c>
      <c r="H88" s="6" t="s">
        <v>248</v>
      </c>
      <c r="I88" s="6" t="s">
        <v>233</v>
      </c>
      <c r="J88" s="6" t="s">
        <v>234</v>
      </c>
      <c r="K88" s="6">
        <v>3</v>
      </c>
    </row>
    <row r="89" spans="1:11" x14ac:dyDescent="0.25">
      <c r="A89" s="6" t="s">
        <v>1706</v>
      </c>
      <c r="B89" s="5" t="s">
        <v>389</v>
      </c>
      <c r="C89" s="5" t="s">
        <v>389</v>
      </c>
      <c r="D89" s="6" t="s">
        <v>1577</v>
      </c>
      <c r="E89" s="6" t="s">
        <v>248</v>
      </c>
      <c r="F89" s="6">
        <v>4.3868599999999998E-4</v>
      </c>
      <c r="G89" s="6" t="s">
        <v>250</v>
      </c>
      <c r="H89" s="6" t="s">
        <v>248</v>
      </c>
      <c r="I89" s="6" t="s">
        <v>233</v>
      </c>
      <c r="J89" s="6" t="s">
        <v>234</v>
      </c>
      <c r="K89" s="6">
        <v>3</v>
      </c>
    </row>
    <row r="90" spans="1:11" x14ac:dyDescent="0.25">
      <c r="A90" s="6" t="s">
        <v>1707</v>
      </c>
      <c r="B90" s="5" t="s">
        <v>1708</v>
      </c>
      <c r="C90" s="5" t="s">
        <v>1708</v>
      </c>
      <c r="D90" s="6" t="s">
        <v>1709</v>
      </c>
      <c r="E90" s="6" t="s">
        <v>278</v>
      </c>
      <c r="F90" s="6">
        <v>6.2829699999999999E-4</v>
      </c>
      <c r="G90" s="6" t="s">
        <v>280</v>
      </c>
      <c r="H90" s="6" t="s">
        <v>278</v>
      </c>
      <c r="I90" s="6" t="s">
        <v>233</v>
      </c>
      <c r="J90" s="6" t="s">
        <v>234</v>
      </c>
      <c r="K90" s="6">
        <v>3</v>
      </c>
    </row>
    <row r="91" spans="1:11" x14ac:dyDescent="0.25">
      <c r="A91" s="6" t="s">
        <v>1710</v>
      </c>
      <c r="B91" s="5" t="s">
        <v>1050</v>
      </c>
      <c r="C91" s="5" t="s">
        <v>1050</v>
      </c>
      <c r="D91" s="6" t="s">
        <v>1711</v>
      </c>
      <c r="E91" s="6" t="s">
        <v>278</v>
      </c>
      <c r="F91" s="6">
        <v>6.2829699999999999E-4</v>
      </c>
      <c r="G91" s="6" t="s">
        <v>280</v>
      </c>
      <c r="H91" s="6" t="s">
        <v>278</v>
      </c>
      <c r="I91" s="6" t="s">
        <v>233</v>
      </c>
      <c r="J91" s="6" t="s">
        <v>234</v>
      </c>
      <c r="K91" s="6">
        <v>3</v>
      </c>
    </row>
    <row r="92" spans="1:11" x14ac:dyDescent="0.25">
      <c r="A92" s="6" t="s">
        <v>1712</v>
      </c>
      <c r="B92" s="5" t="s">
        <v>1713</v>
      </c>
      <c r="C92" s="5" t="s">
        <v>1713</v>
      </c>
      <c r="D92" s="6" t="s">
        <v>1591</v>
      </c>
      <c r="E92" s="6" t="s">
        <v>254</v>
      </c>
      <c r="F92" s="6">
        <v>8.1312799999999998E-4</v>
      </c>
      <c r="G92" s="6" t="s">
        <v>256</v>
      </c>
      <c r="H92" s="6" t="s">
        <v>254</v>
      </c>
      <c r="I92" s="6" t="s">
        <v>233</v>
      </c>
      <c r="J92" s="6" t="s">
        <v>234</v>
      </c>
      <c r="K92" s="6">
        <v>3</v>
      </c>
    </row>
    <row r="93" spans="1:11" x14ac:dyDescent="0.25">
      <c r="A93" s="6" t="s">
        <v>1714</v>
      </c>
      <c r="B93" s="5" t="s">
        <v>1715</v>
      </c>
      <c r="C93" s="5" t="s">
        <v>1715</v>
      </c>
      <c r="D93" s="6" t="s">
        <v>1716</v>
      </c>
      <c r="E93" s="6" t="s">
        <v>263</v>
      </c>
      <c r="F93" s="6">
        <v>3.0449399999999999E-4</v>
      </c>
      <c r="G93" s="6" t="s">
        <v>265</v>
      </c>
      <c r="H93" s="6" t="s">
        <v>263</v>
      </c>
      <c r="I93" s="6" t="s">
        <v>233</v>
      </c>
      <c r="J93" s="6" t="s">
        <v>234</v>
      </c>
      <c r="K93" s="6">
        <v>3</v>
      </c>
    </row>
    <row r="94" spans="1:11" x14ac:dyDescent="0.25">
      <c r="A94" s="6" t="s">
        <v>1717</v>
      </c>
      <c r="B94" s="5" t="s">
        <v>1718</v>
      </c>
      <c r="C94" s="5" t="s">
        <v>1718</v>
      </c>
      <c r="D94" s="6" t="s">
        <v>1719</v>
      </c>
      <c r="E94" s="6" t="s">
        <v>254</v>
      </c>
      <c r="F94" s="6">
        <v>8.1312799999999998E-4</v>
      </c>
      <c r="G94" s="6" t="s">
        <v>256</v>
      </c>
      <c r="H94" s="6" t="s">
        <v>254</v>
      </c>
      <c r="I94" s="6" t="s">
        <v>233</v>
      </c>
      <c r="J94" s="6" t="s">
        <v>234</v>
      </c>
      <c r="K94" s="6">
        <v>3</v>
      </c>
    </row>
    <row r="95" spans="1:11" x14ac:dyDescent="0.25">
      <c r="A95" s="6" t="s">
        <v>1720</v>
      </c>
      <c r="B95" s="5" t="s">
        <v>421</v>
      </c>
      <c r="C95" s="5" t="s">
        <v>421</v>
      </c>
      <c r="D95" s="6" t="s">
        <v>1721</v>
      </c>
      <c r="E95" s="6" t="s">
        <v>254</v>
      </c>
      <c r="F95" s="6">
        <v>8.1312799999999998E-4</v>
      </c>
      <c r="G95" s="6" t="s">
        <v>256</v>
      </c>
      <c r="H95" s="6" t="s">
        <v>254</v>
      </c>
      <c r="I95" s="6" t="s">
        <v>233</v>
      </c>
      <c r="J95" s="6" t="s">
        <v>234</v>
      </c>
      <c r="K95" s="6">
        <v>3</v>
      </c>
    </row>
    <row r="96" spans="1:11" x14ac:dyDescent="0.25">
      <c r="A96" s="6" t="s">
        <v>1722</v>
      </c>
      <c r="B96" s="5" t="s">
        <v>1723</v>
      </c>
      <c r="C96" s="5" t="s">
        <v>1723</v>
      </c>
      <c r="D96" s="6" t="s">
        <v>1724</v>
      </c>
      <c r="E96" s="6" t="s">
        <v>245</v>
      </c>
      <c r="F96" s="6">
        <v>1.0475809999999999E-3</v>
      </c>
      <c r="G96" s="6" t="s">
        <v>247</v>
      </c>
      <c r="H96" s="6" t="s">
        <v>245</v>
      </c>
      <c r="I96" s="6" t="s">
        <v>233</v>
      </c>
      <c r="J96" s="6" t="s">
        <v>234</v>
      </c>
      <c r="K96" s="6">
        <v>3</v>
      </c>
    </row>
    <row r="97" spans="1:11" x14ac:dyDescent="0.25">
      <c r="A97" s="6" t="s">
        <v>1725</v>
      </c>
      <c r="B97" s="5" t="s">
        <v>1726</v>
      </c>
      <c r="C97" s="5" t="s">
        <v>1726</v>
      </c>
      <c r="D97" s="6" t="s">
        <v>1727</v>
      </c>
      <c r="E97" s="6" t="s">
        <v>254</v>
      </c>
      <c r="F97" s="6">
        <v>8.1312799999999998E-4</v>
      </c>
      <c r="G97" s="6" t="s">
        <v>256</v>
      </c>
      <c r="H97" s="6" t="s">
        <v>254</v>
      </c>
      <c r="I97" s="6" t="s">
        <v>233</v>
      </c>
      <c r="J97" s="6" t="s">
        <v>234</v>
      </c>
      <c r="K97" s="6">
        <v>3</v>
      </c>
    </row>
    <row r="98" spans="1:11" x14ac:dyDescent="0.25">
      <c r="A98" s="6" t="s">
        <v>1728</v>
      </c>
      <c r="B98" s="5" t="s">
        <v>1729</v>
      </c>
      <c r="C98" s="5" t="s">
        <v>1729</v>
      </c>
      <c r="D98" s="6" t="s">
        <v>1730</v>
      </c>
      <c r="E98" s="6" t="s">
        <v>269</v>
      </c>
      <c r="F98" s="6">
        <v>5.2359699999999999E-4</v>
      </c>
      <c r="G98" s="6" t="s">
        <v>271</v>
      </c>
      <c r="H98" s="6" t="s">
        <v>269</v>
      </c>
      <c r="I98" s="6" t="s">
        <v>233</v>
      </c>
      <c r="J98" s="6" t="s">
        <v>234</v>
      </c>
      <c r="K98" s="6">
        <v>3</v>
      </c>
    </row>
    <row r="99" spans="1:11" x14ac:dyDescent="0.25">
      <c r="A99" s="6" t="s">
        <v>1731</v>
      </c>
      <c r="B99" s="5" t="s">
        <v>390</v>
      </c>
      <c r="C99" s="5" t="s">
        <v>390</v>
      </c>
      <c r="D99" s="6" t="s">
        <v>1732</v>
      </c>
      <c r="E99" s="6" t="s">
        <v>347</v>
      </c>
      <c r="F99" s="6">
        <v>2.10657E-4</v>
      </c>
      <c r="G99" s="6" t="s">
        <v>346</v>
      </c>
      <c r="H99" s="6" t="s">
        <v>347</v>
      </c>
      <c r="I99" s="6" t="s">
        <v>233</v>
      </c>
      <c r="J99" s="6" t="s">
        <v>234</v>
      </c>
      <c r="K99" s="6">
        <v>3</v>
      </c>
    </row>
    <row r="100" spans="1:11" x14ac:dyDescent="0.25">
      <c r="A100" s="6" t="s">
        <v>1733</v>
      </c>
      <c r="B100" s="5" t="s">
        <v>1063</v>
      </c>
      <c r="C100" s="5" t="s">
        <v>1063</v>
      </c>
      <c r="D100" s="6" t="s">
        <v>1734</v>
      </c>
      <c r="E100" s="6" t="s">
        <v>414</v>
      </c>
      <c r="F100" s="6">
        <v>3.1322198387294099E-4</v>
      </c>
      <c r="G100" s="6" t="s">
        <v>413</v>
      </c>
      <c r="H100" s="6" t="s">
        <v>414</v>
      </c>
      <c r="I100" s="6" t="s">
        <v>233</v>
      </c>
      <c r="J100" s="6" t="s">
        <v>234</v>
      </c>
      <c r="K100" s="6">
        <v>3</v>
      </c>
    </row>
    <row r="101" spans="1:11" x14ac:dyDescent="0.25">
      <c r="A101" s="6" t="s">
        <v>1735</v>
      </c>
      <c r="B101" s="5" t="s">
        <v>1632</v>
      </c>
      <c r="C101" s="5" t="s">
        <v>1632</v>
      </c>
      <c r="D101" s="6" t="s">
        <v>1631</v>
      </c>
      <c r="E101" s="6" t="s">
        <v>1632</v>
      </c>
      <c r="F101" s="6">
        <v>5.2359699999999999E-4</v>
      </c>
      <c r="G101" s="6" t="s">
        <v>271</v>
      </c>
      <c r="H101" s="6" t="s">
        <v>269</v>
      </c>
      <c r="I101" s="6" t="s">
        <v>233</v>
      </c>
      <c r="J101" s="6" t="s">
        <v>234</v>
      </c>
      <c r="K101" s="6">
        <v>3</v>
      </c>
    </row>
    <row r="102" spans="1:11" x14ac:dyDescent="0.25">
      <c r="A102" s="6" t="s">
        <v>1736</v>
      </c>
      <c r="B102" s="5" t="s">
        <v>1737</v>
      </c>
      <c r="C102" s="5" t="s">
        <v>1737</v>
      </c>
      <c r="D102" s="6" t="s">
        <v>1624</v>
      </c>
      <c r="E102" s="6" t="s">
        <v>744</v>
      </c>
      <c r="F102" s="6">
        <v>3.813E-4</v>
      </c>
      <c r="G102" s="6" t="s">
        <v>743</v>
      </c>
      <c r="H102" s="6" t="s">
        <v>744</v>
      </c>
      <c r="I102" s="6" t="s">
        <v>233</v>
      </c>
      <c r="J102" s="6" t="s">
        <v>234</v>
      </c>
      <c r="K102" s="6">
        <v>3</v>
      </c>
    </row>
    <row r="103" spans="1:11" x14ac:dyDescent="0.25">
      <c r="A103" s="6" t="s">
        <v>1738</v>
      </c>
      <c r="B103" s="5" t="s">
        <v>1739</v>
      </c>
      <c r="C103" s="5" t="s">
        <v>1739</v>
      </c>
      <c r="D103" s="6" t="s">
        <v>1740</v>
      </c>
      <c r="E103" s="6" t="s">
        <v>245</v>
      </c>
      <c r="F103" s="6">
        <v>1.0475809999999999E-3</v>
      </c>
      <c r="G103" s="6" t="s">
        <v>247</v>
      </c>
      <c r="H103" s="6" t="s">
        <v>245</v>
      </c>
      <c r="I103" s="6" t="s">
        <v>233</v>
      </c>
      <c r="J103" s="6" t="s">
        <v>234</v>
      </c>
      <c r="K103" s="6">
        <v>3</v>
      </c>
    </row>
    <row r="104" spans="1:11" x14ac:dyDescent="0.25">
      <c r="A104" s="6" t="s">
        <v>1741</v>
      </c>
      <c r="B104" s="5" t="s">
        <v>1742</v>
      </c>
      <c r="C104" s="5" t="s">
        <v>1742</v>
      </c>
      <c r="D104" s="6" t="s">
        <v>1743</v>
      </c>
      <c r="E104" s="6" t="s">
        <v>347</v>
      </c>
      <c r="F104" s="6">
        <v>2.10657E-4</v>
      </c>
      <c r="G104" s="6" t="s">
        <v>346</v>
      </c>
      <c r="H104" s="6" t="s">
        <v>347</v>
      </c>
      <c r="I104" s="6" t="s">
        <v>233</v>
      </c>
      <c r="J104" s="6" t="s">
        <v>234</v>
      </c>
      <c r="K104" s="6">
        <v>3</v>
      </c>
    </row>
    <row r="105" spans="1:11" x14ac:dyDescent="0.25">
      <c r="A105" s="6" t="s">
        <v>1744</v>
      </c>
      <c r="B105" s="5" t="s">
        <v>1745</v>
      </c>
      <c r="C105" s="5" t="s">
        <v>1745</v>
      </c>
      <c r="D105" s="6" t="s">
        <v>1746</v>
      </c>
      <c r="E105" s="6" t="s">
        <v>269</v>
      </c>
      <c r="F105" s="6">
        <v>5.2359699999999999E-4</v>
      </c>
      <c r="G105" s="6" t="s">
        <v>271</v>
      </c>
      <c r="H105" s="6" t="s">
        <v>269</v>
      </c>
      <c r="I105" s="6" t="s">
        <v>233</v>
      </c>
      <c r="J105" s="6" t="s">
        <v>234</v>
      </c>
      <c r="K105" s="6">
        <v>3</v>
      </c>
    </row>
    <row r="106" spans="1:11" x14ac:dyDescent="0.25">
      <c r="A106" s="6" t="s">
        <v>1747</v>
      </c>
      <c r="B106" s="5" t="s">
        <v>436</v>
      </c>
      <c r="C106" s="5" t="s">
        <v>436</v>
      </c>
      <c r="D106" s="6" t="s">
        <v>1748</v>
      </c>
      <c r="E106" s="6" t="s">
        <v>245</v>
      </c>
      <c r="F106" s="6">
        <v>1.0475809999999999E-3</v>
      </c>
      <c r="G106" s="6" t="s">
        <v>247</v>
      </c>
      <c r="H106" s="6" t="s">
        <v>245</v>
      </c>
      <c r="I106" s="6" t="s">
        <v>233</v>
      </c>
      <c r="J106" s="6" t="s">
        <v>234</v>
      </c>
      <c r="K106" s="6">
        <v>3</v>
      </c>
    </row>
    <row r="107" spans="1:11" x14ac:dyDescent="0.25">
      <c r="A107" s="6" t="s">
        <v>1749</v>
      </c>
      <c r="B107" s="5" t="s">
        <v>1750</v>
      </c>
      <c r="C107" s="5" t="s">
        <v>1750</v>
      </c>
      <c r="D107" s="6" t="s">
        <v>1751</v>
      </c>
      <c r="E107" s="6" t="s">
        <v>254</v>
      </c>
      <c r="F107" s="6">
        <v>8.1312799999999998E-4</v>
      </c>
      <c r="G107" s="6" t="s">
        <v>256</v>
      </c>
      <c r="H107" s="6" t="s">
        <v>254</v>
      </c>
      <c r="I107" s="6" t="s">
        <v>233</v>
      </c>
      <c r="J107" s="6" t="s">
        <v>234</v>
      </c>
      <c r="K107" s="6">
        <v>3</v>
      </c>
    </row>
    <row r="108" spans="1:11" x14ac:dyDescent="0.25">
      <c r="A108" s="6" t="s">
        <v>1752</v>
      </c>
      <c r="B108" s="5" t="s">
        <v>1753</v>
      </c>
      <c r="C108" s="5" t="s">
        <v>1753</v>
      </c>
      <c r="D108" s="6" t="s">
        <v>1754</v>
      </c>
      <c r="E108" s="6" t="s">
        <v>248</v>
      </c>
      <c r="F108" s="6">
        <v>4.386859E-4</v>
      </c>
      <c r="G108" s="6" t="s">
        <v>250</v>
      </c>
      <c r="H108" s="6" t="s">
        <v>248</v>
      </c>
      <c r="I108" s="6" t="s">
        <v>233</v>
      </c>
      <c r="J108" s="6" t="s">
        <v>234</v>
      </c>
      <c r="K108" s="6">
        <v>3</v>
      </c>
    </row>
    <row r="109" spans="1:11" x14ac:dyDescent="0.25">
      <c r="A109" s="6" t="s">
        <v>1755</v>
      </c>
      <c r="B109" s="5" t="s">
        <v>437</v>
      </c>
      <c r="C109" s="5" t="s">
        <v>437</v>
      </c>
      <c r="D109" s="6" t="s">
        <v>1591</v>
      </c>
      <c r="E109" s="6" t="s">
        <v>254</v>
      </c>
      <c r="F109" s="6">
        <v>8.1312799999999998E-4</v>
      </c>
      <c r="G109" s="6" t="s">
        <v>256</v>
      </c>
      <c r="H109" s="6" t="s">
        <v>254</v>
      </c>
      <c r="I109" s="6" t="s">
        <v>233</v>
      </c>
      <c r="J109" s="6" t="s">
        <v>234</v>
      </c>
      <c r="K109" s="6">
        <v>3</v>
      </c>
    </row>
    <row r="110" spans="1:11" x14ac:dyDescent="0.25">
      <c r="A110" s="6" t="s">
        <v>1756</v>
      </c>
      <c r="B110" s="5" t="s">
        <v>1757</v>
      </c>
      <c r="C110" s="5" t="s">
        <v>1757</v>
      </c>
      <c r="D110" s="6" t="s">
        <v>1758</v>
      </c>
      <c r="E110" s="6" t="s">
        <v>254</v>
      </c>
      <c r="F110" s="6">
        <v>8.1312799999999998E-4</v>
      </c>
      <c r="G110" s="6" t="s">
        <v>256</v>
      </c>
      <c r="H110" s="6" t="s">
        <v>254</v>
      </c>
      <c r="I110" s="6" t="s">
        <v>233</v>
      </c>
      <c r="J110" s="6" t="s">
        <v>234</v>
      </c>
      <c r="K110" s="6">
        <v>3</v>
      </c>
    </row>
    <row r="111" spans="1:11" x14ac:dyDescent="0.25">
      <c r="A111" s="6" t="s">
        <v>1759</v>
      </c>
      <c r="B111" s="5" t="s">
        <v>422</v>
      </c>
      <c r="C111" s="5" t="s">
        <v>422</v>
      </c>
      <c r="D111" s="6" t="s">
        <v>1516</v>
      </c>
      <c r="E111" s="6" t="s">
        <v>245</v>
      </c>
      <c r="F111" s="6">
        <v>1.0475809999999999E-3</v>
      </c>
      <c r="G111" s="6" t="s">
        <v>247</v>
      </c>
      <c r="H111" s="6" t="s">
        <v>245</v>
      </c>
      <c r="I111" s="6" t="s">
        <v>233</v>
      </c>
      <c r="J111" s="6" t="s">
        <v>234</v>
      </c>
      <c r="K111" s="6">
        <v>3</v>
      </c>
    </row>
    <row r="112" spans="1:11" x14ac:dyDescent="0.25">
      <c r="A112" s="6" t="s">
        <v>1760</v>
      </c>
      <c r="B112" s="5" t="s">
        <v>451</v>
      </c>
      <c r="C112" s="5" t="s">
        <v>451</v>
      </c>
      <c r="D112" s="6" t="s">
        <v>1761</v>
      </c>
      <c r="E112" s="6" t="s">
        <v>263</v>
      </c>
      <c r="F112" s="6">
        <v>3.0449399999999999E-4</v>
      </c>
      <c r="G112" s="6" t="s">
        <v>265</v>
      </c>
      <c r="H112" s="6" t="s">
        <v>263</v>
      </c>
      <c r="I112" s="6" t="s">
        <v>233</v>
      </c>
      <c r="J112" s="6" t="s">
        <v>234</v>
      </c>
      <c r="K112" s="6">
        <v>3</v>
      </c>
    </row>
    <row r="113" spans="1:11" x14ac:dyDescent="0.25">
      <c r="A113" s="6" t="s">
        <v>1762</v>
      </c>
      <c r="B113" s="5" t="s">
        <v>1763</v>
      </c>
      <c r="C113" s="5" t="s">
        <v>1763</v>
      </c>
      <c r="D113" s="6" t="s">
        <v>1764</v>
      </c>
      <c r="E113" s="6" t="s">
        <v>347</v>
      </c>
      <c r="F113" s="6">
        <v>2.10657E-4</v>
      </c>
      <c r="G113" s="6" t="s">
        <v>346</v>
      </c>
      <c r="H113" s="6" t="s">
        <v>347</v>
      </c>
      <c r="I113" s="6" t="s">
        <v>233</v>
      </c>
      <c r="J113" s="6" t="s">
        <v>234</v>
      </c>
      <c r="K113" s="6">
        <v>3</v>
      </c>
    </row>
    <row r="114" spans="1:11" x14ac:dyDescent="0.25">
      <c r="A114" s="6" t="s">
        <v>1765</v>
      </c>
      <c r="B114" s="5" t="s">
        <v>393</v>
      </c>
      <c r="C114" s="5" t="s">
        <v>393</v>
      </c>
      <c r="D114" s="6" t="s">
        <v>1766</v>
      </c>
      <c r="E114" s="6" t="s">
        <v>347</v>
      </c>
      <c r="F114" s="6">
        <v>2.10657E-4</v>
      </c>
      <c r="G114" s="6" t="s">
        <v>346</v>
      </c>
      <c r="H114" s="6" t="s">
        <v>347</v>
      </c>
      <c r="I114" s="6" t="s">
        <v>233</v>
      </c>
      <c r="J114" s="6" t="s">
        <v>234</v>
      </c>
      <c r="K114" s="6">
        <v>3</v>
      </c>
    </row>
    <row r="115" spans="1:11" x14ac:dyDescent="0.25">
      <c r="A115" s="6" t="s">
        <v>1767</v>
      </c>
      <c r="B115" s="5" t="s">
        <v>397</v>
      </c>
      <c r="C115" s="5" t="s">
        <v>397</v>
      </c>
      <c r="D115" s="6" t="s">
        <v>1768</v>
      </c>
      <c r="E115" s="6" t="s">
        <v>245</v>
      </c>
      <c r="F115" s="6">
        <v>1.0475809999999999E-3</v>
      </c>
      <c r="G115" s="6" t="s">
        <v>247</v>
      </c>
      <c r="H115" s="6" t="s">
        <v>245</v>
      </c>
      <c r="I115" s="6" t="s">
        <v>233</v>
      </c>
      <c r="J115" s="6" t="s">
        <v>234</v>
      </c>
      <c r="K115" s="6">
        <v>3</v>
      </c>
    </row>
    <row r="116" spans="1:11" x14ac:dyDescent="0.25">
      <c r="A116" s="6" t="s">
        <v>1769</v>
      </c>
      <c r="B116" s="5" t="s">
        <v>1770</v>
      </c>
      <c r="C116" s="5" t="s">
        <v>1770</v>
      </c>
      <c r="D116" s="6" t="s">
        <v>1771</v>
      </c>
      <c r="E116" s="6" t="s">
        <v>254</v>
      </c>
      <c r="F116" s="6">
        <v>8.1312799999999998E-4</v>
      </c>
      <c r="G116" s="6" t="s">
        <v>256</v>
      </c>
      <c r="H116" s="6" t="s">
        <v>254</v>
      </c>
      <c r="I116" s="6" t="s">
        <v>233</v>
      </c>
      <c r="J116" s="6" t="s">
        <v>234</v>
      </c>
      <c r="K116" s="6">
        <v>3</v>
      </c>
    </row>
    <row r="117" spans="1:11" x14ac:dyDescent="0.25">
      <c r="A117" s="6" t="s">
        <v>1772</v>
      </c>
      <c r="B117" s="5" t="s">
        <v>1773</v>
      </c>
      <c r="C117" s="5" t="s">
        <v>1773</v>
      </c>
      <c r="D117" s="6" t="s">
        <v>1774</v>
      </c>
      <c r="E117" s="6" t="s">
        <v>254</v>
      </c>
      <c r="F117" s="6">
        <v>8.1312799999999998E-4</v>
      </c>
      <c r="G117" s="6" t="s">
        <v>256</v>
      </c>
      <c r="H117" s="6" t="s">
        <v>254</v>
      </c>
      <c r="I117" s="6" t="s">
        <v>233</v>
      </c>
      <c r="J117" s="6" t="s">
        <v>234</v>
      </c>
      <c r="K117" s="6">
        <v>3</v>
      </c>
    </row>
    <row r="118" spans="1:11" x14ac:dyDescent="0.25">
      <c r="A118" s="6" t="s">
        <v>1775</v>
      </c>
      <c r="B118" s="5" t="s">
        <v>367</v>
      </c>
      <c r="C118" s="5" t="s">
        <v>367</v>
      </c>
      <c r="D118" s="6" t="s">
        <v>1776</v>
      </c>
      <c r="E118" s="6" t="s">
        <v>245</v>
      </c>
      <c r="F118" s="6">
        <v>1.0475809999999999E-3</v>
      </c>
      <c r="G118" s="6" t="s">
        <v>247</v>
      </c>
      <c r="H118" s="6" t="s">
        <v>245</v>
      </c>
      <c r="I118" s="6" t="s">
        <v>233</v>
      </c>
      <c r="J118" s="6" t="s">
        <v>234</v>
      </c>
      <c r="K118" s="6">
        <v>3</v>
      </c>
    </row>
    <row r="119" spans="1:11" x14ac:dyDescent="0.25">
      <c r="A119" s="6" t="s">
        <v>1777</v>
      </c>
      <c r="B119" s="5" t="s">
        <v>1778</v>
      </c>
      <c r="C119" s="5" t="s">
        <v>1778</v>
      </c>
      <c r="D119" s="6" t="s">
        <v>1779</v>
      </c>
      <c r="E119" s="6" t="s">
        <v>1780</v>
      </c>
      <c r="F119" s="6">
        <v>7.0538744856451098E-4</v>
      </c>
      <c r="G119" s="6" t="s">
        <v>277</v>
      </c>
      <c r="H119" s="6" t="s">
        <v>275</v>
      </c>
      <c r="I119" s="6" t="s">
        <v>233</v>
      </c>
      <c r="J119" s="6" t="s">
        <v>234</v>
      </c>
      <c r="K119" s="6">
        <v>3</v>
      </c>
    </row>
    <row r="120" spans="1:11" x14ac:dyDescent="0.25">
      <c r="A120" s="6" t="s">
        <v>1781</v>
      </c>
      <c r="B120" s="5" t="s">
        <v>1782</v>
      </c>
      <c r="C120" s="5" t="s">
        <v>1782</v>
      </c>
      <c r="D120" s="6" t="s">
        <v>1766</v>
      </c>
      <c r="E120" s="6" t="s">
        <v>347</v>
      </c>
      <c r="F120" s="6">
        <v>2.10657E-4</v>
      </c>
      <c r="G120" s="6" t="s">
        <v>346</v>
      </c>
      <c r="H120" s="6" t="s">
        <v>347</v>
      </c>
      <c r="I120" s="6" t="s">
        <v>233</v>
      </c>
      <c r="J120" s="6" t="s">
        <v>234</v>
      </c>
      <c r="K120" s="6">
        <v>3</v>
      </c>
    </row>
    <row r="121" spans="1:11" x14ac:dyDescent="0.25">
      <c r="A121" s="6" t="s">
        <v>1783</v>
      </c>
      <c r="B121" s="5" t="s">
        <v>1784</v>
      </c>
      <c r="C121" s="5" t="s">
        <v>1784</v>
      </c>
      <c r="D121" s="6" t="s">
        <v>1785</v>
      </c>
      <c r="E121" s="6" t="s">
        <v>254</v>
      </c>
      <c r="F121" s="6">
        <v>8.1312799999999998E-4</v>
      </c>
      <c r="G121" s="6" t="s">
        <v>256</v>
      </c>
      <c r="H121" s="6" t="s">
        <v>254</v>
      </c>
      <c r="I121" s="6" t="s">
        <v>233</v>
      </c>
      <c r="J121" s="6" t="s">
        <v>234</v>
      </c>
      <c r="K121" s="6">
        <v>3</v>
      </c>
    </row>
    <row r="122" spans="1:11" x14ac:dyDescent="0.25">
      <c r="A122" s="6" t="s">
        <v>1786</v>
      </c>
      <c r="B122" s="5" t="s">
        <v>1787</v>
      </c>
      <c r="C122" s="5" t="s">
        <v>1787</v>
      </c>
      <c r="D122" s="6" t="s">
        <v>1788</v>
      </c>
      <c r="E122" s="6" t="s">
        <v>254</v>
      </c>
      <c r="F122" s="6">
        <v>8.1312799999999998E-4</v>
      </c>
      <c r="G122" s="6" t="s">
        <v>256</v>
      </c>
      <c r="H122" s="6" t="s">
        <v>254</v>
      </c>
      <c r="I122" s="6" t="s">
        <v>233</v>
      </c>
      <c r="J122" s="6" t="s">
        <v>234</v>
      </c>
      <c r="K122" s="6">
        <v>3</v>
      </c>
    </row>
    <row r="123" spans="1:11" x14ac:dyDescent="0.25">
      <c r="A123" s="6" t="s">
        <v>1789</v>
      </c>
      <c r="B123" s="5" t="s">
        <v>1790</v>
      </c>
      <c r="C123" s="5" t="s">
        <v>1790</v>
      </c>
      <c r="D123" s="6" t="s">
        <v>1791</v>
      </c>
      <c r="E123" s="6" t="s">
        <v>245</v>
      </c>
      <c r="F123" s="6">
        <v>1.0475809999999999E-3</v>
      </c>
      <c r="G123" s="6" t="s">
        <v>247</v>
      </c>
      <c r="H123" s="6" t="s">
        <v>245</v>
      </c>
      <c r="I123" s="6" t="s">
        <v>233</v>
      </c>
      <c r="J123" s="6" t="s">
        <v>234</v>
      </c>
      <c r="K123" s="6">
        <v>3</v>
      </c>
    </row>
    <row r="124" spans="1:11" x14ac:dyDescent="0.25">
      <c r="A124" s="6" t="s">
        <v>1792</v>
      </c>
      <c r="B124" s="5" t="s">
        <v>1793</v>
      </c>
      <c r="C124" s="5" t="s">
        <v>1793</v>
      </c>
      <c r="D124" s="6" t="s">
        <v>1794</v>
      </c>
      <c r="E124" s="6" t="s">
        <v>269</v>
      </c>
      <c r="F124" s="6">
        <v>5.2359699999999999E-4</v>
      </c>
      <c r="G124" s="6" t="s">
        <v>271</v>
      </c>
      <c r="H124" s="6" t="s">
        <v>269</v>
      </c>
      <c r="I124" s="6" t="s">
        <v>233</v>
      </c>
      <c r="J124" s="6" t="s">
        <v>234</v>
      </c>
      <c r="K124" s="6">
        <v>3</v>
      </c>
    </row>
    <row r="125" spans="1:11" x14ac:dyDescent="0.25">
      <c r="A125" s="6" t="s">
        <v>1795</v>
      </c>
      <c r="B125" s="5" t="s">
        <v>1796</v>
      </c>
      <c r="C125" s="5" t="s">
        <v>1796</v>
      </c>
      <c r="D125" s="6" t="s">
        <v>1797</v>
      </c>
      <c r="E125" s="6" t="s">
        <v>269</v>
      </c>
      <c r="F125" s="6">
        <v>5.2359699999999999E-4</v>
      </c>
      <c r="G125" s="6" t="s">
        <v>271</v>
      </c>
      <c r="H125" s="6" t="s">
        <v>269</v>
      </c>
      <c r="I125" s="6" t="s">
        <v>233</v>
      </c>
      <c r="J125" s="6" t="s">
        <v>234</v>
      </c>
      <c r="K125" s="6">
        <v>3</v>
      </c>
    </row>
    <row r="126" spans="1:11" x14ac:dyDescent="0.25">
      <c r="A126" s="6" t="s">
        <v>1798</v>
      </c>
      <c r="B126" s="5" t="s">
        <v>438</v>
      </c>
      <c r="C126" s="5" t="s">
        <v>438</v>
      </c>
      <c r="D126" s="6" t="s">
        <v>1799</v>
      </c>
      <c r="E126" s="6" t="s">
        <v>245</v>
      </c>
      <c r="F126" s="6">
        <v>1.0475809999999999E-3</v>
      </c>
      <c r="G126" s="6" t="s">
        <v>247</v>
      </c>
      <c r="H126" s="6" t="s">
        <v>245</v>
      </c>
      <c r="I126" s="6" t="s">
        <v>233</v>
      </c>
      <c r="J126" s="6" t="s">
        <v>234</v>
      </c>
      <c r="K126" s="6">
        <v>3</v>
      </c>
    </row>
    <row r="127" spans="1:11" x14ac:dyDescent="0.25">
      <c r="A127" s="6" t="s">
        <v>1800</v>
      </c>
      <c r="B127" s="5" t="s">
        <v>1801</v>
      </c>
      <c r="C127" s="5" t="s">
        <v>1801</v>
      </c>
      <c r="D127" s="6" t="s">
        <v>1694</v>
      </c>
      <c r="E127" s="6" t="s">
        <v>263</v>
      </c>
      <c r="F127" s="6">
        <v>3.0449399999999999E-4</v>
      </c>
      <c r="G127" s="6" t="s">
        <v>265</v>
      </c>
      <c r="H127" s="6" t="s">
        <v>263</v>
      </c>
      <c r="I127" s="6" t="s">
        <v>233</v>
      </c>
      <c r="J127" s="6" t="s">
        <v>234</v>
      </c>
      <c r="K127" s="6">
        <v>3</v>
      </c>
    </row>
    <row r="128" spans="1:11" x14ac:dyDescent="0.25">
      <c r="A128" s="6" t="s">
        <v>1802</v>
      </c>
      <c r="B128" s="5" t="s">
        <v>1803</v>
      </c>
      <c r="C128" s="5" t="s">
        <v>1803</v>
      </c>
      <c r="D128" s="6" t="s">
        <v>1804</v>
      </c>
      <c r="E128" s="6" t="s">
        <v>254</v>
      </c>
      <c r="F128" s="6">
        <v>8.1312799999999998E-4</v>
      </c>
      <c r="G128" s="6" t="s">
        <v>256</v>
      </c>
      <c r="H128" s="6" t="s">
        <v>254</v>
      </c>
      <c r="I128" s="6" t="s">
        <v>233</v>
      </c>
      <c r="J128" s="6" t="s">
        <v>234</v>
      </c>
      <c r="K128" s="6">
        <v>3</v>
      </c>
    </row>
    <row r="129" spans="1:11" x14ac:dyDescent="0.25">
      <c r="A129" s="6" t="s">
        <v>1805</v>
      </c>
      <c r="B129" s="5" t="s">
        <v>1806</v>
      </c>
      <c r="C129" s="5" t="s">
        <v>1806</v>
      </c>
      <c r="D129" s="6" t="s">
        <v>1807</v>
      </c>
      <c r="E129" s="6" t="s">
        <v>245</v>
      </c>
      <c r="F129" s="6">
        <v>1.0475809999999999E-3</v>
      </c>
      <c r="G129" s="6" t="s">
        <v>247</v>
      </c>
      <c r="H129" s="6" t="s">
        <v>245</v>
      </c>
      <c r="I129" s="6" t="s">
        <v>233</v>
      </c>
      <c r="J129" s="6" t="s">
        <v>234</v>
      </c>
      <c r="K129" s="6">
        <v>3</v>
      </c>
    </row>
    <row r="130" spans="1:11" x14ac:dyDescent="0.25">
      <c r="A130" s="6" t="s">
        <v>1808</v>
      </c>
      <c r="B130" s="5" t="s">
        <v>1809</v>
      </c>
      <c r="C130" s="5" t="s">
        <v>1809</v>
      </c>
      <c r="D130" s="6" t="s">
        <v>1766</v>
      </c>
      <c r="E130" s="6" t="s">
        <v>347</v>
      </c>
      <c r="F130" s="6">
        <v>2.10657E-4</v>
      </c>
      <c r="G130" s="6" t="s">
        <v>346</v>
      </c>
      <c r="H130" s="6" t="s">
        <v>347</v>
      </c>
      <c r="I130" s="6" t="s">
        <v>233</v>
      </c>
      <c r="J130" s="6" t="s">
        <v>234</v>
      </c>
      <c r="K130" s="6">
        <v>3</v>
      </c>
    </row>
    <row r="131" spans="1:11" x14ac:dyDescent="0.25">
      <c r="A131" s="6" t="s">
        <v>1810</v>
      </c>
      <c r="B131" s="5" t="s">
        <v>1811</v>
      </c>
      <c r="C131" s="5" t="s">
        <v>1811</v>
      </c>
      <c r="D131" s="6" t="s">
        <v>1812</v>
      </c>
      <c r="E131" s="6" t="s">
        <v>248</v>
      </c>
      <c r="F131" s="6">
        <v>4.3868599999999998E-4</v>
      </c>
      <c r="G131" s="6" t="s">
        <v>250</v>
      </c>
      <c r="H131" s="6" t="s">
        <v>248</v>
      </c>
      <c r="I131" s="6" t="s">
        <v>233</v>
      </c>
      <c r="J131" s="6" t="s">
        <v>234</v>
      </c>
      <c r="K131" s="6">
        <v>3</v>
      </c>
    </row>
    <row r="132" spans="1:11" x14ac:dyDescent="0.25">
      <c r="A132" s="6" t="s">
        <v>1813</v>
      </c>
      <c r="B132" s="5" t="s">
        <v>424</v>
      </c>
      <c r="C132" s="5" t="s">
        <v>424</v>
      </c>
      <c r="D132" s="6" t="s">
        <v>1814</v>
      </c>
      <c r="E132" s="6" t="s">
        <v>414</v>
      </c>
      <c r="F132" s="6">
        <v>3.1322198387294099E-4</v>
      </c>
      <c r="G132" s="6" t="s">
        <v>413</v>
      </c>
      <c r="H132" s="6" t="s">
        <v>414</v>
      </c>
      <c r="I132" s="6" t="s">
        <v>233</v>
      </c>
      <c r="J132" s="6" t="s">
        <v>234</v>
      </c>
      <c r="K132" s="6">
        <v>3</v>
      </c>
    </row>
    <row r="133" spans="1:11" x14ac:dyDescent="0.25">
      <c r="A133" s="6" t="s">
        <v>1815</v>
      </c>
      <c r="B133" s="5" t="s">
        <v>1816</v>
      </c>
      <c r="C133" s="5" t="s">
        <v>1816</v>
      </c>
      <c r="D133" s="6" t="s">
        <v>1817</v>
      </c>
      <c r="E133" s="6" t="s">
        <v>245</v>
      </c>
      <c r="F133" s="6">
        <v>1.0475809999999999E-3</v>
      </c>
      <c r="G133" s="6" t="s">
        <v>247</v>
      </c>
      <c r="H133" s="6" t="s">
        <v>245</v>
      </c>
      <c r="I133" s="6" t="s">
        <v>233</v>
      </c>
      <c r="J133" s="6" t="s">
        <v>234</v>
      </c>
      <c r="K133" s="6">
        <v>3</v>
      </c>
    </row>
    <row r="134" spans="1:11" x14ac:dyDescent="0.25">
      <c r="A134" s="6" t="s">
        <v>1818</v>
      </c>
      <c r="B134" s="5" t="s">
        <v>1819</v>
      </c>
      <c r="C134" s="5" t="s">
        <v>1819</v>
      </c>
      <c r="D134" s="6" t="s">
        <v>1807</v>
      </c>
      <c r="E134" s="6" t="s">
        <v>245</v>
      </c>
      <c r="F134" s="6">
        <v>1.0475809999999999E-3</v>
      </c>
      <c r="G134" s="6" t="s">
        <v>247</v>
      </c>
      <c r="H134" s="6" t="s">
        <v>245</v>
      </c>
      <c r="I134" s="6" t="s">
        <v>233</v>
      </c>
      <c r="J134" s="6" t="s">
        <v>234</v>
      </c>
      <c r="K134" s="6">
        <v>3</v>
      </c>
    </row>
    <row r="135" spans="1:11" x14ac:dyDescent="0.25">
      <c r="A135" s="6" t="s">
        <v>1820</v>
      </c>
      <c r="B135" s="5" t="s">
        <v>444</v>
      </c>
      <c r="C135" s="5" t="s">
        <v>444</v>
      </c>
      <c r="D135" s="6" t="s">
        <v>1821</v>
      </c>
      <c r="E135" s="6" t="s">
        <v>245</v>
      </c>
      <c r="F135" s="6">
        <v>1.0475809999999999E-3</v>
      </c>
      <c r="G135" s="6" t="s">
        <v>247</v>
      </c>
      <c r="H135" s="6" t="s">
        <v>245</v>
      </c>
      <c r="I135" s="6" t="s">
        <v>233</v>
      </c>
      <c r="J135" s="6" t="s">
        <v>234</v>
      </c>
      <c r="K135" s="6">
        <v>3</v>
      </c>
    </row>
    <row r="136" spans="1:11" x14ac:dyDescent="0.25">
      <c r="A136" s="6" t="s">
        <v>1822</v>
      </c>
      <c r="B136" s="5" t="s">
        <v>1823</v>
      </c>
      <c r="C136" s="5" t="s">
        <v>1823</v>
      </c>
      <c r="D136" s="6" t="s">
        <v>1824</v>
      </c>
      <c r="E136" s="6" t="s">
        <v>347</v>
      </c>
      <c r="F136" s="6">
        <v>2.10657E-4</v>
      </c>
      <c r="G136" s="6" t="s">
        <v>346</v>
      </c>
      <c r="H136" s="6" t="s">
        <v>347</v>
      </c>
      <c r="I136" s="6" t="s">
        <v>233</v>
      </c>
      <c r="J136" s="6" t="s">
        <v>234</v>
      </c>
      <c r="K136" s="6">
        <v>3</v>
      </c>
    </row>
    <row r="137" spans="1:11" x14ac:dyDescent="0.25">
      <c r="A137" s="6" t="s">
        <v>1825</v>
      </c>
      <c r="B137" s="5" t="s">
        <v>1826</v>
      </c>
      <c r="C137" s="5" t="s">
        <v>1826</v>
      </c>
      <c r="D137" s="6" t="s">
        <v>1827</v>
      </c>
      <c r="E137" s="6" t="s">
        <v>245</v>
      </c>
      <c r="F137" s="6">
        <v>1.0475809999999999E-3</v>
      </c>
      <c r="G137" s="6" t="s">
        <v>247</v>
      </c>
      <c r="H137" s="6" t="s">
        <v>245</v>
      </c>
      <c r="I137" s="6" t="s">
        <v>233</v>
      </c>
      <c r="J137" s="6" t="s">
        <v>234</v>
      </c>
      <c r="K137" s="6">
        <v>3</v>
      </c>
    </row>
    <row r="138" spans="1:11" x14ac:dyDescent="0.25">
      <c r="A138" s="6" t="s">
        <v>1828</v>
      </c>
      <c r="B138" s="5" t="s">
        <v>1829</v>
      </c>
      <c r="C138" s="5" t="s">
        <v>1829</v>
      </c>
      <c r="D138" s="6" t="s">
        <v>1830</v>
      </c>
      <c r="E138" s="6" t="s">
        <v>254</v>
      </c>
      <c r="F138" s="6">
        <v>8.1312799999999998E-4</v>
      </c>
      <c r="G138" s="6" t="s">
        <v>256</v>
      </c>
      <c r="H138" s="6" t="s">
        <v>254</v>
      </c>
      <c r="I138" s="6" t="s">
        <v>233</v>
      </c>
      <c r="J138" s="6" t="s">
        <v>234</v>
      </c>
      <c r="K138" s="6">
        <v>3</v>
      </c>
    </row>
    <row r="139" spans="1:11" x14ac:dyDescent="0.25">
      <c r="A139" s="6" t="s">
        <v>1831</v>
      </c>
      <c r="B139" s="5" t="s">
        <v>1832</v>
      </c>
      <c r="C139" s="5" t="s">
        <v>1832</v>
      </c>
      <c r="D139" s="6" t="s">
        <v>1833</v>
      </c>
      <c r="E139" s="6" t="s">
        <v>254</v>
      </c>
      <c r="F139" s="6">
        <v>8.1312799999999998E-4</v>
      </c>
      <c r="G139" s="6" t="s">
        <v>256</v>
      </c>
      <c r="H139" s="6" t="s">
        <v>254</v>
      </c>
      <c r="I139" s="6" t="s">
        <v>233</v>
      </c>
      <c r="J139" s="6" t="s">
        <v>234</v>
      </c>
      <c r="K139" s="6">
        <v>3</v>
      </c>
    </row>
    <row r="140" spans="1:11" x14ac:dyDescent="0.25">
      <c r="A140" s="6" t="s">
        <v>1834</v>
      </c>
      <c r="B140" s="5" t="s">
        <v>1835</v>
      </c>
      <c r="C140" s="5" t="s">
        <v>1835</v>
      </c>
      <c r="D140" s="6" t="s">
        <v>1836</v>
      </c>
      <c r="E140" s="6" t="s">
        <v>254</v>
      </c>
      <c r="F140" s="6">
        <v>8.1312799999999998E-4</v>
      </c>
      <c r="G140" s="6" t="s">
        <v>256</v>
      </c>
      <c r="H140" s="6" t="s">
        <v>254</v>
      </c>
      <c r="I140" s="6" t="s">
        <v>233</v>
      </c>
      <c r="J140" s="6" t="s">
        <v>234</v>
      </c>
      <c r="K140" s="6">
        <v>3</v>
      </c>
    </row>
    <row r="141" spans="1:11" x14ac:dyDescent="0.25">
      <c r="A141" s="6" t="s">
        <v>1837</v>
      </c>
      <c r="B141" s="5" t="s">
        <v>423</v>
      </c>
      <c r="C141" s="5" t="s">
        <v>423</v>
      </c>
      <c r="D141" s="6" t="s">
        <v>1766</v>
      </c>
      <c r="E141" s="6" t="s">
        <v>347</v>
      </c>
      <c r="F141" s="6">
        <v>2.10657E-4</v>
      </c>
      <c r="G141" s="6" t="s">
        <v>346</v>
      </c>
      <c r="H141" s="6" t="s">
        <v>347</v>
      </c>
      <c r="I141" s="6" t="s">
        <v>233</v>
      </c>
      <c r="J141" s="6" t="s">
        <v>234</v>
      </c>
      <c r="K141" s="6">
        <v>3</v>
      </c>
    </row>
    <row r="142" spans="1:11" x14ac:dyDescent="0.25">
      <c r="A142" s="6" t="s">
        <v>1838</v>
      </c>
      <c r="B142" s="5" t="s">
        <v>1839</v>
      </c>
      <c r="C142" s="5" t="s">
        <v>1839</v>
      </c>
      <c r="D142" s="6" t="s">
        <v>1840</v>
      </c>
      <c r="E142" s="6" t="s">
        <v>263</v>
      </c>
      <c r="F142" s="6">
        <v>3.0449399999999999E-4</v>
      </c>
      <c r="G142" s="6" t="s">
        <v>265</v>
      </c>
      <c r="H142" s="6" t="s">
        <v>263</v>
      </c>
      <c r="I142" s="6" t="s">
        <v>233</v>
      </c>
      <c r="J142" s="6" t="s">
        <v>234</v>
      </c>
      <c r="K142" s="6">
        <v>3</v>
      </c>
    </row>
    <row r="143" spans="1:11" x14ac:dyDescent="0.25">
      <c r="A143" s="6" t="s">
        <v>1841</v>
      </c>
      <c r="B143" s="5" t="s">
        <v>1842</v>
      </c>
      <c r="C143" s="5" t="s">
        <v>1842</v>
      </c>
      <c r="D143" s="6" t="s">
        <v>1843</v>
      </c>
      <c r="E143" s="6" t="s">
        <v>248</v>
      </c>
      <c r="F143" s="6">
        <v>4.3868599999999998E-4</v>
      </c>
      <c r="G143" s="6" t="s">
        <v>250</v>
      </c>
      <c r="H143" s="6" t="s">
        <v>248</v>
      </c>
      <c r="I143" s="6" t="s">
        <v>233</v>
      </c>
      <c r="J143" s="6" t="s">
        <v>234</v>
      </c>
      <c r="K143" s="6">
        <v>3</v>
      </c>
    </row>
    <row r="144" spans="1:11" x14ac:dyDescent="0.25">
      <c r="A144" s="6" t="s">
        <v>1844</v>
      </c>
      <c r="B144" s="5" t="s">
        <v>1845</v>
      </c>
      <c r="C144" s="5" t="s">
        <v>1845</v>
      </c>
      <c r="D144" s="6" t="s">
        <v>1634</v>
      </c>
      <c r="E144" s="6" t="s">
        <v>254</v>
      </c>
      <c r="F144" s="6">
        <v>8.1312799999999998E-4</v>
      </c>
      <c r="G144" s="6" t="s">
        <v>256</v>
      </c>
      <c r="H144" s="6" t="s">
        <v>254</v>
      </c>
      <c r="I144" s="6" t="s">
        <v>233</v>
      </c>
      <c r="J144" s="6" t="s">
        <v>234</v>
      </c>
      <c r="K144" s="6">
        <v>3</v>
      </c>
    </row>
    <row r="145" spans="1:11" x14ac:dyDescent="0.25">
      <c r="A145" s="6" t="s">
        <v>1846</v>
      </c>
      <c r="B145" s="5" t="s">
        <v>1847</v>
      </c>
      <c r="C145" s="5" t="s">
        <v>1847</v>
      </c>
      <c r="D145" s="6" t="s">
        <v>1848</v>
      </c>
      <c r="E145" s="6" t="s">
        <v>347</v>
      </c>
      <c r="F145" s="6">
        <v>2.10657E-4</v>
      </c>
      <c r="G145" s="6" t="s">
        <v>346</v>
      </c>
      <c r="H145" s="6" t="s">
        <v>347</v>
      </c>
      <c r="I145" s="6" t="s">
        <v>233</v>
      </c>
      <c r="J145" s="6" t="s">
        <v>234</v>
      </c>
      <c r="K145" s="6">
        <v>3</v>
      </c>
    </row>
    <row r="146" spans="1:11" x14ac:dyDescent="0.25">
      <c r="A146" s="6" t="s">
        <v>1849</v>
      </c>
      <c r="B146" s="5" t="s">
        <v>1850</v>
      </c>
      <c r="C146" s="5" t="s">
        <v>1850</v>
      </c>
      <c r="D146" s="6" t="s">
        <v>1851</v>
      </c>
      <c r="E146" s="6" t="s">
        <v>269</v>
      </c>
      <c r="F146" s="6">
        <v>5.2359699999999999E-4</v>
      </c>
      <c r="G146" s="6" t="s">
        <v>271</v>
      </c>
      <c r="H146" s="6" t="s">
        <v>269</v>
      </c>
      <c r="I146" s="6" t="s">
        <v>233</v>
      </c>
      <c r="J146" s="6" t="s">
        <v>234</v>
      </c>
      <c r="K146" s="6">
        <v>3</v>
      </c>
    </row>
    <row r="147" spans="1:11" x14ac:dyDescent="0.25">
      <c r="A147" s="6" t="s">
        <v>1852</v>
      </c>
      <c r="B147" s="5" t="s">
        <v>1853</v>
      </c>
      <c r="C147" s="5" t="s">
        <v>1853</v>
      </c>
      <c r="D147" s="6" t="s">
        <v>1854</v>
      </c>
      <c r="E147" s="6" t="s">
        <v>408</v>
      </c>
      <c r="F147" s="6">
        <v>1.67136339459407E-4</v>
      </c>
      <c r="G147" s="6" t="s">
        <v>407</v>
      </c>
      <c r="H147" s="6" t="s">
        <v>408</v>
      </c>
      <c r="I147" s="6" t="s">
        <v>233</v>
      </c>
      <c r="J147" s="6" t="s">
        <v>234</v>
      </c>
      <c r="K147" s="6">
        <v>3</v>
      </c>
    </row>
    <row r="148" spans="1:11" x14ac:dyDescent="0.25">
      <c r="A148" s="6" t="s">
        <v>1855</v>
      </c>
      <c r="B148" s="5" t="s">
        <v>1856</v>
      </c>
      <c r="C148" s="5" t="s">
        <v>1856</v>
      </c>
      <c r="D148" s="6" t="s">
        <v>1857</v>
      </c>
      <c r="E148" s="6" t="s">
        <v>245</v>
      </c>
      <c r="F148" s="6">
        <v>1.0475809999999999E-3</v>
      </c>
      <c r="G148" s="6" t="s">
        <v>247</v>
      </c>
      <c r="H148" s="6" t="s">
        <v>245</v>
      </c>
      <c r="I148" s="6" t="s">
        <v>233</v>
      </c>
      <c r="J148" s="6" t="s">
        <v>234</v>
      </c>
      <c r="K148" s="6">
        <v>3</v>
      </c>
    </row>
    <row r="149" spans="1:11" x14ac:dyDescent="0.25">
      <c r="A149" s="6" t="s">
        <v>1858</v>
      </c>
      <c r="B149" s="5" t="s">
        <v>1859</v>
      </c>
      <c r="C149" s="5" t="s">
        <v>1859</v>
      </c>
      <c r="D149" s="6" t="s">
        <v>1860</v>
      </c>
      <c r="E149" s="6" t="s">
        <v>269</v>
      </c>
      <c r="F149" s="6">
        <v>5.2359699999999999E-4</v>
      </c>
      <c r="G149" s="6" t="s">
        <v>271</v>
      </c>
      <c r="H149" s="6" t="s">
        <v>269</v>
      </c>
      <c r="I149" s="6" t="s">
        <v>233</v>
      </c>
      <c r="J149" s="6" t="s">
        <v>234</v>
      </c>
      <c r="K149" s="6">
        <v>3</v>
      </c>
    </row>
    <row r="150" spans="1:11" x14ac:dyDescent="0.25">
      <c r="A150" s="6" t="s">
        <v>1861</v>
      </c>
      <c r="B150" s="5" t="s">
        <v>1862</v>
      </c>
      <c r="C150" s="5" t="s">
        <v>1862</v>
      </c>
      <c r="D150" s="6" t="s">
        <v>1863</v>
      </c>
      <c r="E150" s="6" t="s">
        <v>254</v>
      </c>
      <c r="F150" s="6">
        <v>8.1312799999999998E-4</v>
      </c>
      <c r="G150" s="6" t="s">
        <v>256</v>
      </c>
      <c r="H150" s="6" t="s">
        <v>254</v>
      </c>
      <c r="I150" s="6" t="s">
        <v>233</v>
      </c>
      <c r="J150" s="6" t="s">
        <v>234</v>
      </c>
      <c r="K150" s="6">
        <v>3</v>
      </c>
    </row>
    <row r="151" spans="1:11" x14ac:dyDescent="0.25">
      <c r="A151" s="6" t="s">
        <v>1864</v>
      </c>
      <c r="B151" s="5" t="s">
        <v>1865</v>
      </c>
      <c r="C151" s="5" t="s">
        <v>1865</v>
      </c>
      <c r="D151" s="6" t="s">
        <v>1866</v>
      </c>
      <c r="E151" s="6" t="s">
        <v>347</v>
      </c>
      <c r="F151" s="6">
        <v>2.1065654610590999E-4</v>
      </c>
      <c r="G151" s="6" t="s">
        <v>346</v>
      </c>
      <c r="H151" s="6" t="s">
        <v>347</v>
      </c>
      <c r="I151" s="6" t="s">
        <v>233</v>
      </c>
      <c r="J151" s="6" t="s">
        <v>234</v>
      </c>
      <c r="K151" s="6">
        <v>3</v>
      </c>
    </row>
    <row r="152" spans="1:11" x14ac:dyDescent="0.25">
      <c r="A152" s="6" t="s">
        <v>1867</v>
      </c>
      <c r="B152" s="5" t="s">
        <v>1868</v>
      </c>
      <c r="C152" s="5" t="s">
        <v>1868</v>
      </c>
      <c r="D152" s="6" t="s">
        <v>1869</v>
      </c>
      <c r="E152" s="6" t="s">
        <v>269</v>
      </c>
      <c r="F152" s="6">
        <v>5.2359715367522E-4</v>
      </c>
      <c r="G152" s="6" t="s">
        <v>271</v>
      </c>
      <c r="H152" s="6" t="s">
        <v>269</v>
      </c>
      <c r="I152" s="6" t="s">
        <v>233</v>
      </c>
      <c r="J152" s="6" t="s">
        <v>234</v>
      </c>
      <c r="K152" s="6">
        <v>3</v>
      </c>
    </row>
    <row r="153" spans="1:11" x14ac:dyDescent="0.25">
      <c r="A153" s="6" t="s">
        <v>1870</v>
      </c>
      <c r="B153" s="5" t="s">
        <v>1871</v>
      </c>
      <c r="C153" s="5" t="s">
        <v>1871</v>
      </c>
      <c r="D153" s="6" t="s">
        <v>1872</v>
      </c>
      <c r="E153" s="6" t="s">
        <v>269</v>
      </c>
      <c r="F153" s="6">
        <v>5.2359699999999999E-4</v>
      </c>
      <c r="G153" s="6" t="s">
        <v>271</v>
      </c>
      <c r="H153" s="6" t="s">
        <v>269</v>
      </c>
      <c r="I153" s="6" t="s">
        <v>233</v>
      </c>
      <c r="J153" s="6" t="s">
        <v>234</v>
      </c>
      <c r="K153" s="6">
        <v>3</v>
      </c>
    </row>
    <row r="154" spans="1:11" ht="30" x14ac:dyDescent="0.25">
      <c r="A154" s="6" t="s">
        <v>1873</v>
      </c>
      <c r="B154" s="5" t="s">
        <v>1874</v>
      </c>
      <c r="C154" s="5" t="s">
        <v>1874</v>
      </c>
      <c r="D154" s="6" t="s">
        <v>1875</v>
      </c>
      <c r="E154" s="6" t="s">
        <v>248</v>
      </c>
      <c r="F154" s="6">
        <v>4.3868599999999998E-4</v>
      </c>
      <c r="G154" s="6" t="s">
        <v>250</v>
      </c>
      <c r="H154" s="6" t="s">
        <v>248</v>
      </c>
      <c r="I154" s="6" t="s">
        <v>233</v>
      </c>
      <c r="J154" s="6" t="s">
        <v>234</v>
      </c>
      <c r="K154" s="6">
        <v>3</v>
      </c>
    </row>
    <row r="155" spans="1:11" x14ac:dyDescent="0.25">
      <c r="A155" s="6" t="s">
        <v>1876</v>
      </c>
      <c r="B155" s="5" t="s">
        <v>369</v>
      </c>
      <c r="C155" s="5" t="s">
        <v>369</v>
      </c>
      <c r="D155" s="6" t="s">
        <v>1586</v>
      </c>
      <c r="E155" s="6" t="s">
        <v>347</v>
      </c>
      <c r="F155" s="6">
        <v>2.1065654610590999E-4</v>
      </c>
      <c r="G155" s="6" t="s">
        <v>346</v>
      </c>
      <c r="H155" s="6" t="s">
        <v>347</v>
      </c>
      <c r="I155" s="6" t="s">
        <v>233</v>
      </c>
      <c r="J155" s="6" t="s">
        <v>234</v>
      </c>
      <c r="K155" s="6">
        <v>3</v>
      </c>
    </row>
    <row r="156" spans="1:11" ht="30" x14ac:dyDescent="0.25">
      <c r="A156" s="6" t="s">
        <v>1877</v>
      </c>
      <c r="B156" s="5" t="s">
        <v>1878</v>
      </c>
      <c r="C156" s="5" t="s">
        <v>1878</v>
      </c>
      <c r="D156" s="6" t="s">
        <v>1505</v>
      </c>
      <c r="E156" s="6" t="s">
        <v>269</v>
      </c>
      <c r="F156" s="6">
        <v>5.2359699999999999E-4</v>
      </c>
      <c r="G156" s="6" t="s">
        <v>271</v>
      </c>
      <c r="H156" s="6" t="s">
        <v>269</v>
      </c>
      <c r="I156" s="6" t="s">
        <v>233</v>
      </c>
      <c r="J156" s="6" t="s">
        <v>234</v>
      </c>
      <c r="K156" s="6">
        <v>3</v>
      </c>
    </row>
    <row r="157" spans="1:11" ht="30" x14ac:dyDescent="0.25">
      <c r="A157" s="6" t="s">
        <v>1879</v>
      </c>
      <c r="B157" s="5" t="s">
        <v>1880</v>
      </c>
      <c r="C157" s="5" t="s">
        <v>1880</v>
      </c>
      <c r="D157" s="6" t="s">
        <v>1881</v>
      </c>
      <c r="E157" s="6" t="s">
        <v>347</v>
      </c>
      <c r="F157" s="6">
        <v>2.10657E-4</v>
      </c>
      <c r="G157" s="6" t="s">
        <v>346</v>
      </c>
      <c r="H157" s="6" t="s">
        <v>347</v>
      </c>
      <c r="I157" s="6" t="s">
        <v>233</v>
      </c>
      <c r="J157" s="6" t="s">
        <v>234</v>
      </c>
      <c r="K157" s="6">
        <v>3</v>
      </c>
    </row>
    <row r="158" spans="1:11" x14ac:dyDescent="0.25">
      <c r="A158" s="6" t="s">
        <v>1882</v>
      </c>
      <c r="B158" s="5" t="s">
        <v>1883</v>
      </c>
      <c r="C158" s="5" t="s">
        <v>1883</v>
      </c>
      <c r="D158" s="6" t="s">
        <v>1771</v>
      </c>
      <c r="E158" s="6" t="s">
        <v>254</v>
      </c>
      <c r="F158" s="6">
        <v>8.1312799999999998E-4</v>
      </c>
      <c r="G158" s="6" t="s">
        <v>256</v>
      </c>
      <c r="H158" s="6" t="s">
        <v>254</v>
      </c>
      <c r="I158" s="6" t="s">
        <v>233</v>
      </c>
      <c r="J158" s="6" t="s">
        <v>234</v>
      </c>
      <c r="K158" s="6">
        <v>3</v>
      </c>
    </row>
    <row r="159" spans="1:11" x14ac:dyDescent="0.25">
      <c r="A159" s="6" t="s">
        <v>1884</v>
      </c>
      <c r="B159" s="5" t="s">
        <v>1885</v>
      </c>
      <c r="C159" s="5" t="s">
        <v>1885</v>
      </c>
      <c r="D159" s="6" t="s">
        <v>1886</v>
      </c>
      <c r="E159" s="6" t="s">
        <v>248</v>
      </c>
      <c r="F159" s="6">
        <v>4.3868599999999998E-4</v>
      </c>
      <c r="G159" s="6" t="s">
        <v>250</v>
      </c>
      <c r="H159" s="6" t="s">
        <v>248</v>
      </c>
      <c r="I159" s="6" t="s">
        <v>233</v>
      </c>
      <c r="J159" s="6" t="s">
        <v>234</v>
      </c>
      <c r="K159" s="6">
        <v>3</v>
      </c>
    </row>
    <row r="160" spans="1:11" x14ac:dyDescent="0.25">
      <c r="A160" s="6" t="s">
        <v>1887</v>
      </c>
      <c r="B160" s="5" t="s">
        <v>1888</v>
      </c>
      <c r="C160" s="5" t="s">
        <v>1888</v>
      </c>
      <c r="D160" s="6" t="s">
        <v>1889</v>
      </c>
      <c r="E160" s="6" t="s">
        <v>248</v>
      </c>
      <c r="F160" s="6">
        <v>4.3868599999999998E-4</v>
      </c>
      <c r="G160" s="6" t="s">
        <v>250</v>
      </c>
      <c r="H160" s="6" t="s">
        <v>248</v>
      </c>
      <c r="I160" s="6" t="s">
        <v>233</v>
      </c>
      <c r="J160" s="6" t="s">
        <v>234</v>
      </c>
      <c r="K160" s="6">
        <v>3</v>
      </c>
    </row>
    <row r="161" spans="1:11" x14ac:dyDescent="0.25">
      <c r="A161" s="6" t="s">
        <v>1890</v>
      </c>
      <c r="B161" s="5" t="s">
        <v>1891</v>
      </c>
      <c r="C161" s="5" t="s">
        <v>1891</v>
      </c>
      <c r="D161" s="6" t="s">
        <v>1892</v>
      </c>
      <c r="E161" s="6" t="s">
        <v>254</v>
      </c>
      <c r="F161" s="6">
        <v>8.1312799999999998E-4</v>
      </c>
      <c r="G161" s="6" t="s">
        <v>256</v>
      </c>
      <c r="H161" s="6" t="s">
        <v>254</v>
      </c>
      <c r="I161" s="6" t="s">
        <v>233</v>
      </c>
      <c r="J161" s="6" t="s">
        <v>234</v>
      </c>
      <c r="K161" s="6">
        <v>3</v>
      </c>
    </row>
    <row r="162" spans="1:11" x14ac:dyDescent="0.25">
      <c r="A162" s="6" t="s">
        <v>1893</v>
      </c>
      <c r="B162" s="5" t="s">
        <v>1894</v>
      </c>
      <c r="C162" s="5" t="s">
        <v>1894</v>
      </c>
      <c r="D162" s="6" t="s">
        <v>1895</v>
      </c>
      <c r="E162" s="6" t="s">
        <v>408</v>
      </c>
      <c r="F162" s="6">
        <v>1.67136339459407E-4</v>
      </c>
      <c r="G162" s="6" t="s">
        <v>407</v>
      </c>
      <c r="H162" s="6" t="s">
        <v>408</v>
      </c>
      <c r="I162" s="6" t="s">
        <v>233</v>
      </c>
      <c r="J162" s="6" t="s">
        <v>234</v>
      </c>
      <c r="K162" s="6">
        <v>3</v>
      </c>
    </row>
    <row r="163" spans="1:11" x14ac:dyDescent="0.25">
      <c r="A163" s="6" t="s">
        <v>1896</v>
      </c>
      <c r="B163" s="5" t="s">
        <v>1897</v>
      </c>
      <c r="C163" s="5" t="s">
        <v>1897</v>
      </c>
      <c r="D163" s="6" t="s">
        <v>1898</v>
      </c>
      <c r="E163" s="6" t="s">
        <v>269</v>
      </c>
      <c r="F163" s="6">
        <v>5.2359699999999999E-4</v>
      </c>
      <c r="G163" s="6" t="s">
        <v>271</v>
      </c>
      <c r="H163" s="6" t="s">
        <v>269</v>
      </c>
      <c r="I163" s="6" t="s">
        <v>233</v>
      </c>
      <c r="J163" s="6" t="s">
        <v>234</v>
      </c>
      <c r="K163" s="6">
        <v>3</v>
      </c>
    </row>
    <row r="164" spans="1:11" x14ac:dyDescent="0.25">
      <c r="A164" s="6" t="s">
        <v>1899</v>
      </c>
      <c r="B164" s="5" t="s">
        <v>453</v>
      </c>
      <c r="C164" s="5" t="s">
        <v>453</v>
      </c>
      <c r="D164" s="6" t="s">
        <v>1667</v>
      </c>
      <c r="E164" s="6" t="s">
        <v>248</v>
      </c>
      <c r="F164" s="6">
        <v>4.3868599999999998E-4</v>
      </c>
      <c r="G164" s="6" t="s">
        <v>250</v>
      </c>
      <c r="H164" s="6" t="s">
        <v>248</v>
      </c>
      <c r="I164" s="6" t="s">
        <v>233</v>
      </c>
      <c r="J164" s="6" t="s">
        <v>234</v>
      </c>
      <c r="K164" s="6">
        <v>3</v>
      </c>
    </row>
    <row r="165" spans="1:11" x14ac:dyDescent="0.25">
      <c r="A165" s="6" t="s">
        <v>1900</v>
      </c>
      <c r="B165" s="5" t="s">
        <v>1901</v>
      </c>
      <c r="C165" s="5" t="s">
        <v>1901</v>
      </c>
      <c r="D165" s="6" t="s">
        <v>1902</v>
      </c>
      <c r="E165" s="6" t="s">
        <v>263</v>
      </c>
      <c r="F165" s="6">
        <v>3.0449399999999999E-4</v>
      </c>
      <c r="G165" s="6" t="s">
        <v>265</v>
      </c>
      <c r="H165" s="6" t="s">
        <v>263</v>
      </c>
      <c r="I165" s="6" t="s">
        <v>233</v>
      </c>
      <c r="J165" s="6" t="s">
        <v>234</v>
      </c>
      <c r="K165" s="6">
        <v>3</v>
      </c>
    </row>
    <row r="166" spans="1:11" x14ac:dyDescent="0.25">
      <c r="A166" s="6" t="s">
        <v>1903</v>
      </c>
      <c r="B166" s="5" t="s">
        <v>1904</v>
      </c>
      <c r="C166" s="5" t="s">
        <v>1904</v>
      </c>
      <c r="D166" s="6" t="s">
        <v>1905</v>
      </c>
      <c r="E166" s="6" t="s">
        <v>248</v>
      </c>
      <c r="F166" s="6">
        <v>4.3868599999999998E-4</v>
      </c>
      <c r="G166" s="6" t="s">
        <v>250</v>
      </c>
      <c r="H166" s="6" t="s">
        <v>248</v>
      </c>
      <c r="I166" s="6" t="s">
        <v>233</v>
      </c>
      <c r="J166" s="6" t="s">
        <v>234</v>
      </c>
      <c r="K166" s="6">
        <v>3</v>
      </c>
    </row>
    <row r="167" spans="1:11" x14ac:dyDescent="0.25">
      <c r="A167" s="6" t="s">
        <v>1906</v>
      </c>
      <c r="B167" s="5" t="s">
        <v>454</v>
      </c>
      <c r="C167" s="5" t="s">
        <v>454</v>
      </c>
      <c r="D167" s="6" t="s">
        <v>1907</v>
      </c>
      <c r="E167" s="6" t="s">
        <v>269</v>
      </c>
      <c r="F167" s="6">
        <v>5.2359699999999999E-4</v>
      </c>
      <c r="G167" s="6" t="s">
        <v>271</v>
      </c>
      <c r="H167" s="6" t="s">
        <v>269</v>
      </c>
      <c r="I167" s="6" t="s">
        <v>233</v>
      </c>
      <c r="J167" s="6" t="s">
        <v>234</v>
      </c>
      <c r="K167" s="6">
        <v>3</v>
      </c>
    </row>
    <row r="168" spans="1:11" x14ac:dyDescent="0.25">
      <c r="A168" s="6" t="s">
        <v>1908</v>
      </c>
      <c r="B168" s="5" t="s">
        <v>1909</v>
      </c>
      <c r="C168" s="5" t="s">
        <v>1909</v>
      </c>
      <c r="D168" s="6" t="s">
        <v>1854</v>
      </c>
      <c r="E168" s="6" t="s">
        <v>408</v>
      </c>
      <c r="F168" s="6">
        <v>1.67136339459407E-4</v>
      </c>
      <c r="G168" s="6" t="s">
        <v>407</v>
      </c>
      <c r="H168" s="6" t="s">
        <v>408</v>
      </c>
      <c r="I168" s="6" t="s">
        <v>233</v>
      </c>
      <c r="J168" s="6" t="s">
        <v>234</v>
      </c>
      <c r="K168" s="6">
        <v>3</v>
      </c>
    </row>
    <row r="169" spans="1:11" x14ac:dyDescent="0.25">
      <c r="A169" s="6" t="s">
        <v>1910</v>
      </c>
      <c r="B169" s="5" t="s">
        <v>1911</v>
      </c>
      <c r="C169" s="5" t="s">
        <v>1911</v>
      </c>
      <c r="D169" s="6" t="s">
        <v>1912</v>
      </c>
      <c r="E169" s="6" t="s">
        <v>248</v>
      </c>
      <c r="F169" s="6">
        <v>4.3868599999999998E-4</v>
      </c>
      <c r="G169" s="6" t="s">
        <v>250</v>
      </c>
      <c r="H169" s="6" t="s">
        <v>248</v>
      </c>
      <c r="I169" s="6" t="s">
        <v>233</v>
      </c>
      <c r="J169" s="6" t="s">
        <v>234</v>
      </c>
      <c r="K169" s="6">
        <v>3</v>
      </c>
    </row>
    <row r="170" spans="1:11" x14ac:dyDescent="0.25">
      <c r="A170" s="6" t="s">
        <v>1913</v>
      </c>
      <c r="B170" s="5" t="s">
        <v>412</v>
      </c>
      <c r="C170" s="5" t="s">
        <v>412</v>
      </c>
      <c r="D170" s="6" t="s">
        <v>1914</v>
      </c>
      <c r="E170" s="6" t="s">
        <v>414</v>
      </c>
      <c r="F170" s="6">
        <v>3.1322198387294099E-4</v>
      </c>
      <c r="G170" s="6" t="s">
        <v>413</v>
      </c>
      <c r="H170" s="6" t="s">
        <v>414</v>
      </c>
      <c r="I170" s="6" t="s">
        <v>233</v>
      </c>
      <c r="J170" s="6" t="s">
        <v>234</v>
      </c>
      <c r="K170" s="6">
        <v>3</v>
      </c>
    </row>
    <row r="171" spans="1:11" x14ac:dyDescent="0.25">
      <c r="A171" s="6" t="s">
        <v>1915</v>
      </c>
      <c r="B171" s="5" t="s">
        <v>1916</v>
      </c>
      <c r="C171" s="5" t="s">
        <v>1916</v>
      </c>
      <c r="D171" s="6" t="s">
        <v>1917</v>
      </c>
      <c r="E171" s="6" t="s">
        <v>263</v>
      </c>
      <c r="F171" s="6">
        <v>3.0449399999999999E-4</v>
      </c>
      <c r="G171" s="6" t="s">
        <v>265</v>
      </c>
      <c r="H171" s="6" t="s">
        <v>263</v>
      </c>
      <c r="I171" s="6" t="s">
        <v>233</v>
      </c>
      <c r="J171" s="6" t="s">
        <v>234</v>
      </c>
      <c r="K171" s="6">
        <v>3</v>
      </c>
    </row>
    <row r="172" spans="1:11" x14ac:dyDescent="0.25">
      <c r="A172" s="6" t="s">
        <v>1918</v>
      </c>
      <c r="B172" s="5" t="s">
        <v>1919</v>
      </c>
      <c r="C172" s="5" t="s">
        <v>1919</v>
      </c>
      <c r="D172" s="6" t="s">
        <v>1920</v>
      </c>
      <c r="E172" s="6" t="s">
        <v>1919</v>
      </c>
      <c r="F172" s="6">
        <v>4.3868599999999998E-4</v>
      </c>
      <c r="G172" s="6" t="s">
        <v>250</v>
      </c>
      <c r="H172" s="6" t="s">
        <v>248</v>
      </c>
      <c r="I172" s="6" t="s">
        <v>233</v>
      </c>
      <c r="J172" s="6" t="s">
        <v>234</v>
      </c>
      <c r="K172" s="6">
        <v>3</v>
      </c>
    </row>
    <row r="173" spans="1:11" x14ac:dyDescent="0.25">
      <c r="A173" s="6" t="s">
        <v>1921</v>
      </c>
      <c r="B173" s="5" t="s">
        <v>1922</v>
      </c>
      <c r="C173" s="5" t="s">
        <v>1922</v>
      </c>
      <c r="D173" s="6" t="s">
        <v>1917</v>
      </c>
      <c r="E173" s="6" t="s">
        <v>263</v>
      </c>
      <c r="F173" s="6">
        <v>3.0449399999999999E-4</v>
      </c>
      <c r="G173" s="6" t="s">
        <v>265</v>
      </c>
      <c r="H173" s="6" t="s">
        <v>263</v>
      </c>
      <c r="I173" s="6" t="s">
        <v>233</v>
      </c>
      <c r="J173" s="6" t="s">
        <v>234</v>
      </c>
      <c r="K173" s="6">
        <v>3</v>
      </c>
    </row>
    <row r="174" spans="1:11" x14ac:dyDescent="0.25">
      <c r="A174" s="6" t="s">
        <v>1923</v>
      </c>
      <c r="B174" s="5" t="s">
        <v>1924</v>
      </c>
      <c r="C174" s="5" t="s">
        <v>1924</v>
      </c>
      <c r="D174" s="6" t="s">
        <v>1925</v>
      </c>
      <c r="E174" s="6" t="s">
        <v>245</v>
      </c>
      <c r="F174" s="6">
        <v>1.0475809999999999E-3</v>
      </c>
      <c r="G174" s="6" t="s">
        <v>247</v>
      </c>
      <c r="H174" s="6" t="s">
        <v>245</v>
      </c>
      <c r="I174" s="6" t="s">
        <v>233</v>
      </c>
      <c r="J174" s="6" t="s">
        <v>234</v>
      </c>
      <c r="K174" s="6">
        <v>3</v>
      </c>
    </row>
    <row r="175" spans="1:11" x14ac:dyDescent="0.25">
      <c r="A175" s="6" t="s">
        <v>1926</v>
      </c>
      <c r="B175" s="5" t="s">
        <v>1927</v>
      </c>
      <c r="C175" s="5" t="s">
        <v>1927</v>
      </c>
      <c r="D175" s="6" t="s">
        <v>1928</v>
      </c>
      <c r="E175" s="6" t="s">
        <v>269</v>
      </c>
      <c r="F175" s="6">
        <v>5.2359699999999999E-4</v>
      </c>
      <c r="G175" s="6" t="s">
        <v>271</v>
      </c>
      <c r="H175" s="6" t="s">
        <v>269</v>
      </c>
      <c r="I175" s="6" t="s">
        <v>233</v>
      </c>
      <c r="J175" s="6" t="s">
        <v>234</v>
      </c>
      <c r="K175" s="6">
        <v>3</v>
      </c>
    </row>
    <row r="176" spans="1:11" x14ac:dyDescent="0.25">
      <c r="A176" s="6" t="s">
        <v>1929</v>
      </c>
      <c r="B176" s="5" t="s">
        <v>1930</v>
      </c>
      <c r="C176" s="5" t="s">
        <v>1930</v>
      </c>
      <c r="D176" s="6" t="s">
        <v>1931</v>
      </c>
      <c r="E176" s="6" t="s">
        <v>1932</v>
      </c>
      <c r="F176" s="6">
        <v>3.1322199999999999E-4</v>
      </c>
      <c r="G176" s="6" t="s">
        <v>413</v>
      </c>
      <c r="H176" s="6" t="s">
        <v>414</v>
      </c>
      <c r="I176" s="6" t="s">
        <v>233</v>
      </c>
      <c r="J176" s="6" t="s">
        <v>234</v>
      </c>
      <c r="K176" s="6">
        <v>3</v>
      </c>
    </row>
    <row r="177" spans="1:11" x14ac:dyDescent="0.25">
      <c r="A177" s="6" t="s">
        <v>1933</v>
      </c>
      <c r="B177" s="5" t="s">
        <v>1934</v>
      </c>
      <c r="C177" s="5" t="s">
        <v>1934</v>
      </c>
      <c r="D177" s="6" t="s">
        <v>1935</v>
      </c>
      <c r="E177" s="6" t="s">
        <v>254</v>
      </c>
      <c r="F177" s="6">
        <v>8.1312799999999998E-4</v>
      </c>
      <c r="G177" s="6" t="s">
        <v>256</v>
      </c>
      <c r="H177" s="6" t="s">
        <v>254</v>
      </c>
      <c r="I177" s="6" t="s">
        <v>233</v>
      </c>
      <c r="J177" s="6" t="s">
        <v>234</v>
      </c>
      <c r="K177" s="6">
        <v>3</v>
      </c>
    </row>
    <row r="178" spans="1:11" x14ac:dyDescent="0.25">
      <c r="A178" s="6" t="s">
        <v>1936</v>
      </c>
      <c r="B178" s="5" t="s">
        <v>1937</v>
      </c>
      <c r="C178" s="5" t="s">
        <v>1937</v>
      </c>
      <c r="D178" s="6" t="s">
        <v>1505</v>
      </c>
      <c r="E178" s="6" t="s">
        <v>269</v>
      </c>
      <c r="F178" s="6">
        <v>5.2359699999999999E-4</v>
      </c>
      <c r="G178" s="6" t="s">
        <v>271</v>
      </c>
      <c r="H178" s="6" t="s">
        <v>269</v>
      </c>
      <c r="I178" s="6" t="s">
        <v>233</v>
      </c>
      <c r="J178" s="6" t="s">
        <v>234</v>
      </c>
      <c r="K178" s="6">
        <v>3</v>
      </c>
    </row>
    <row r="179" spans="1:11" x14ac:dyDescent="0.25">
      <c r="A179" s="6" t="s">
        <v>1938</v>
      </c>
      <c r="B179" s="5" t="s">
        <v>1939</v>
      </c>
      <c r="C179" s="5" t="s">
        <v>1939</v>
      </c>
      <c r="D179" s="6" t="s">
        <v>1940</v>
      </c>
      <c r="E179" s="6" t="s">
        <v>245</v>
      </c>
      <c r="F179" s="6">
        <v>1.0475809999999999E-3</v>
      </c>
      <c r="G179" s="6" t="s">
        <v>247</v>
      </c>
      <c r="H179" s="6" t="s">
        <v>245</v>
      </c>
      <c r="I179" s="6" t="s">
        <v>233</v>
      </c>
      <c r="J179" s="6" t="s">
        <v>234</v>
      </c>
      <c r="K179" s="6">
        <v>3</v>
      </c>
    </row>
    <row r="180" spans="1:11" x14ac:dyDescent="0.25">
      <c r="A180" s="6" t="s">
        <v>1941</v>
      </c>
      <c r="B180" s="5" t="s">
        <v>1942</v>
      </c>
      <c r="C180" s="5" t="s">
        <v>1942</v>
      </c>
      <c r="D180" s="6" t="s">
        <v>1943</v>
      </c>
      <c r="E180" s="6" t="s">
        <v>254</v>
      </c>
      <c r="F180" s="6">
        <v>8.1312799999999998E-4</v>
      </c>
      <c r="G180" s="6" t="s">
        <v>256</v>
      </c>
      <c r="H180" s="6" t="s">
        <v>254</v>
      </c>
      <c r="I180" s="6" t="s">
        <v>233</v>
      </c>
      <c r="J180" s="6" t="s">
        <v>234</v>
      </c>
      <c r="K180" s="6">
        <v>3</v>
      </c>
    </row>
    <row r="181" spans="1:11" x14ac:dyDescent="0.25">
      <c r="A181" s="6" t="s">
        <v>1944</v>
      </c>
      <c r="B181" s="5" t="s">
        <v>1945</v>
      </c>
      <c r="C181" s="5" t="s">
        <v>1945</v>
      </c>
      <c r="D181" s="6" t="s">
        <v>1946</v>
      </c>
      <c r="E181" s="6" t="s">
        <v>269</v>
      </c>
      <c r="F181" s="6">
        <v>5.2359699999999999E-4</v>
      </c>
      <c r="G181" s="6" t="s">
        <v>271</v>
      </c>
      <c r="H181" s="6" t="s">
        <v>269</v>
      </c>
      <c r="I181" s="6" t="s">
        <v>233</v>
      </c>
      <c r="J181" s="6" t="s">
        <v>234</v>
      </c>
      <c r="K181" s="6">
        <v>3</v>
      </c>
    </row>
    <row r="182" spans="1:11" x14ac:dyDescent="0.25">
      <c r="A182" s="6" t="s">
        <v>1947</v>
      </c>
      <c r="B182" s="5" t="s">
        <v>1948</v>
      </c>
      <c r="C182" s="5" t="s">
        <v>1948</v>
      </c>
      <c r="D182" s="6" t="s">
        <v>1949</v>
      </c>
      <c r="E182" s="6" t="s">
        <v>269</v>
      </c>
      <c r="F182" s="6">
        <v>5.2359715367522E-4</v>
      </c>
      <c r="G182" s="6" t="s">
        <v>271</v>
      </c>
      <c r="H182" s="6" t="s">
        <v>269</v>
      </c>
      <c r="I182" s="6" t="s">
        <v>233</v>
      </c>
      <c r="J182" s="6" t="s">
        <v>234</v>
      </c>
      <c r="K182" s="6">
        <v>3</v>
      </c>
    </row>
    <row r="183" spans="1:11" x14ac:dyDescent="0.25">
      <c r="A183" s="6" t="s">
        <v>1950</v>
      </c>
      <c r="B183" s="5" t="s">
        <v>1951</v>
      </c>
      <c r="C183" s="5" t="s">
        <v>1951</v>
      </c>
      <c r="D183" s="6" t="s">
        <v>1952</v>
      </c>
      <c r="E183" s="6" t="s">
        <v>248</v>
      </c>
      <c r="F183" s="6">
        <v>4.3868599999999998E-4</v>
      </c>
      <c r="G183" s="6" t="s">
        <v>250</v>
      </c>
      <c r="H183" s="6" t="s">
        <v>248</v>
      </c>
      <c r="I183" s="6" t="s">
        <v>233</v>
      </c>
      <c r="J183" s="6" t="s">
        <v>234</v>
      </c>
      <c r="K183" s="6">
        <v>3</v>
      </c>
    </row>
    <row r="184" spans="1:11" x14ac:dyDescent="0.25">
      <c r="A184" s="6" t="s">
        <v>1953</v>
      </c>
      <c r="B184" s="5" t="s">
        <v>1954</v>
      </c>
      <c r="C184" s="5" t="s">
        <v>1954</v>
      </c>
      <c r="D184" s="6" t="s">
        <v>1955</v>
      </c>
      <c r="E184" s="6" t="s">
        <v>245</v>
      </c>
      <c r="F184" s="6">
        <v>1.0475809999999999E-3</v>
      </c>
      <c r="G184" s="6" t="s">
        <v>247</v>
      </c>
      <c r="H184" s="6" t="s">
        <v>245</v>
      </c>
      <c r="I184" s="6" t="s">
        <v>233</v>
      </c>
      <c r="J184" s="6" t="s">
        <v>234</v>
      </c>
      <c r="K184" s="6">
        <v>3</v>
      </c>
    </row>
    <row r="185" spans="1:11" x14ac:dyDescent="0.25">
      <c r="A185" s="6" t="s">
        <v>1956</v>
      </c>
      <c r="B185" s="5" t="s">
        <v>455</v>
      </c>
      <c r="C185" s="5" t="s">
        <v>455</v>
      </c>
      <c r="D185" s="6" t="s">
        <v>1957</v>
      </c>
      <c r="E185" s="6" t="s">
        <v>269</v>
      </c>
      <c r="F185" s="6">
        <v>5.2359699999999999E-4</v>
      </c>
      <c r="G185" s="6" t="s">
        <v>271</v>
      </c>
      <c r="H185" s="6" t="s">
        <v>269</v>
      </c>
      <c r="I185" s="6" t="s">
        <v>233</v>
      </c>
      <c r="J185" s="6" t="s">
        <v>234</v>
      </c>
      <c r="K185" s="6">
        <v>3</v>
      </c>
    </row>
    <row r="186" spans="1:11" x14ac:dyDescent="0.25">
      <c r="A186" s="6" t="s">
        <v>1958</v>
      </c>
      <c r="B186" s="5" t="s">
        <v>439</v>
      </c>
      <c r="C186" s="5" t="s">
        <v>439</v>
      </c>
      <c r="D186" s="6" t="s">
        <v>1959</v>
      </c>
      <c r="E186" s="6" t="s">
        <v>248</v>
      </c>
      <c r="F186" s="6">
        <v>4.3868599999999998E-4</v>
      </c>
      <c r="G186" s="6" t="s">
        <v>250</v>
      </c>
      <c r="H186" s="6" t="s">
        <v>248</v>
      </c>
      <c r="I186" s="6" t="s">
        <v>233</v>
      </c>
      <c r="J186" s="6" t="s">
        <v>234</v>
      </c>
      <c r="K186" s="6">
        <v>3</v>
      </c>
    </row>
    <row r="187" spans="1:11" x14ac:dyDescent="0.25">
      <c r="A187" s="6" t="s">
        <v>1960</v>
      </c>
      <c r="B187" s="5" t="s">
        <v>1961</v>
      </c>
      <c r="C187" s="5" t="s">
        <v>1961</v>
      </c>
      <c r="D187" s="6" t="s">
        <v>1962</v>
      </c>
      <c r="E187" s="6" t="s">
        <v>248</v>
      </c>
      <c r="F187" s="6">
        <v>4.3868599999999998E-4</v>
      </c>
      <c r="G187" s="6" t="s">
        <v>250</v>
      </c>
      <c r="H187" s="6" t="s">
        <v>248</v>
      </c>
      <c r="I187" s="6" t="s">
        <v>233</v>
      </c>
      <c r="J187" s="6" t="s">
        <v>234</v>
      </c>
      <c r="K187" s="6">
        <v>3</v>
      </c>
    </row>
    <row r="188" spans="1:11" x14ac:dyDescent="0.25">
      <c r="A188" s="6" t="s">
        <v>1963</v>
      </c>
      <c r="B188" s="5" t="s">
        <v>1964</v>
      </c>
      <c r="C188" s="5" t="s">
        <v>1964</v>
      </c>
      <c r="D188" s="6" t="s">
        <v>1965</v>
      </c>
      <c r="E188" s="6" t="s">
        <v>347</v>
      </c>
      <c r="F188" s="6">
        <v>2.1065654610590999E-4</v>
      </c>
      <c r="G188" s="6" t="s">
        <v>346</v>
      </c>
      <c r="H188" s="6" t="s">
        <v>347</v>
      </c>
      <c r="I188" s="6" t="s">
        <v>233</v>
      </c>
      <c r="J188" s="6" t="s">
        <v>234</v>
      </c>
      <c r="K188" s="6">
        <v>3</v>
      </c>
    </row>
    <row r="189" spans="1:11" x14ac:dyDescent="0.25">
      <c r="A189" s="6" t="s">
        <v>1966</v>
      </c>
      <c r="B189" s="5" t="s">
        <v>383</v>
      </c>
      <c r="C189" s="5" t="s">
        <v>383</v>
      </c>
      <c r="D189" s="6" t="s">
        <v>1486</v>
      </c>
      <c r="E189" s="6" t="s">
        <v>263</v>
      </c>
      <c r="F189" s="6">
        <v>3.0449399999999999E-4</v>
      </c>
      <c r="G189" s="6" t="s">
        <v>265</v>
      </c>
      <c r="H189" s="6" t="s">
        <v>263</v>
      </c>
      <c r="I189" s="6" t="s">
        <v>233</v>
      </c>
      <c r="J189" s="6" t="s">
        <v>234</v>
      </c>
      <c r="K189" s="6">
        <v>3</v>
      </c>
    </row>
    <row r="190" spans="1:11" x14ac:dyDescent="0.25">
      <c r="A190" s="6" t="s">
        <v>1967</v>
      </c>
      <c r="B190" s="5" t="s">
        <v>1968</v>
      </c>
      <c r="C190" s="5" t="s">
        <v>1968</v>
      </c>
      <c r="D190" s="6" t="s">
        <v>1624</v>
      </c>
      <c r="E190" s="6" t="s">
        <v>254</v>
      </c>
      <c r="F190" s="6">
        <v>8.1312799999999998E-4</v>
      </c>
      <c r="G190" s="6" t="s">
        <v>256</v>
      </c>
      <c r="H190" s="6" t="s">
        <v>254</v>
      </c>
      <c r="I190" s="6" t="s">
        <v>233</v>
      </c>
      <c r="J190" s="6" t="s">
        <v>234</v>
      </c>
      <c r="K190" s="6">
        <v>3</v>
      </c>
    </row>
    <row r="191" spans="1:11" x14ac:dyDescent="0.25">
      <c r="A191" s="6" t="s">
        <v>1969</v>
      </c>
      <c r="B191" s="5" t="s">
        <v>1970</v>
      </c>
      <c r="C191" s="5" t="s">
        <v>1970</v>
      </c>
      <c r="D191" s="6" t="s">
        <v>1971</v>
      </c>
      <c r="E191" s="6" t="s">
        <v>269</v>
      </c>
      <c r="F191" s="6">
        <v>5.2359699999999999E-4</v>
      </c>
      <c r="G191" s="6" t="s">
        <v>271</v>
      </c>
      <c r="H191" s="6" t="s">
        <v>269</v>
      </c>
      <c r="I191" s="6" t="s">
        <v>233</v>
      </c>
      <c r="J191" s="6" t="s">
        <v>234</v>
      </c>
      <c r="K191" s="6">
        <v>3</v>
      </c>
    </row>
    <row r="192" spans="1:11" x14ac:dyDescent="0.25">
      <c r="A192" s="6" t="s">
        <v>1972</v>
      </c>
      <c r="B192" s="5" t="s">
        <v>429</v>
      </c>
      <c r="C192" s="5" t="s">
        <v>429</v>
      </c>
      <c r="D192" s="6" t="s">
        <v>1973</v>
      </c>
      <c r="E192" s="6" t="s">
        <v>245</v>
      </c>
      <c r="F192" s="6">
        <v>1.0475809999999999E-3</v>
      </c>
      <c r="G192" s="6" t="s">
        <v>247</v>
      </c>
      <c r="H192" s="6" t="s">
        <v>245</v>
      </c>
      <c r="I192" s="6" t="s">
        <v>233</v>
      </c>
      <c r="J192" s="6" t="s">
        <v>234</v>
      </c>
      <c r="K192" s="6">
        <v>3</v>
      </c>
    </row>
    <row r="193" spans="1:11" x14ac:dyDescent="0.25">
      <c r="A193" s="6" t="s">
        <v>1974</v>
      </c>
      <c r="B193" s="5" t="s">
        <v>1975</v>
      </c>
      <c r="C193" s="5" t="s">
        <v>1975</v>
      </c>
      <c r="D193" s="6" t="s">
        <v>1976</v>
      </c>
      <c r="E193" s="6" t="s">
        <v>744</v>
      </c>
      <c r="F193" s="6">
        <v>3.813E-4</v>
      </c>
      <c r="G193" s="6" t="s">
        <v>743</v>
      </c>
      <c r="H193" s="6" t="s">
        <v>744</v>
      </c>
      <c r="I193" s="6" t="s">
        <v>233</v>
      </c>
      <c r="J193" s="6" t="s">
        <v>234</v>
      </c>
      <c r="K193" s="6">
        <v>3</v>
      </c>
    </row>
    <row r="194" spans="1:11" x14ac:dyDescent="0.25">
      <c r="A194" s="6" t="s">
        <v>1977</v>
      </c>
      <c r="B194" s="5" t="s">
        <v>1978</v>
      </c>
      <c r="C194" s="5" t="s">
        <v>1978</v>
      </c>
      <c r="D194" s="6" t="s">
        <v>1979</v>
      </c>
      <c r="E194" s="6" t="s">
        <v>254</v>
      </c>
      <c r="F194" s="6">
        <v>8.1312799999999998E-4</v>
      </c>
      <c r="G194" s="6" t="s">
        <v>256</v>
      </c>
      <c r="H194" s="6" t="s">
        <v>254</v>
      </c>
      <c r="I194" s="6" t="s">
        <v>233</v>
      </c>
      <c r="J194" s="6" t="s">
        <v>234</v>
      </c>
      <c r="K194" s="6">
        <v>3</v>
      </c>
    </row>
    <row r="195" spans="1:11" x14ac:dyDescent="0.25">
      <c r="A195" s="6" t="s">
        <v>1980</v>
      </c>
      <c r="B195" s="5" t="s">
        <v>1981</v>
      </c>
      <c r="C195" s="5" t="s">
        <v>1981</v>
      </c>
      <c r="D195" s="6" t="s">
        <v>1982</v>
      </c>
      <c r="E195" s="6" t="s">
        <v>248</v>
      </c>
      <c r="F195" s="6">
        <v>4.3868599999999998E-4</v>
      </c>
      <c r="G195" s="6" t="s">
        <v>250</v>
      </c>
      <c r="H195" s="6" t="s">
        <v>248</v>
      </c>
      <c r="I195" s="6" t="s">
        <v>233</v>
      </c>
      <c r="J195" s="6" t="s">
        <v>234</v>
      </c>
      <c r="K195" s="6">
        <v>3</v>
      </c>
    </row>
    <row r="196" spans="1:11" x14ac:dyDescent="0.25">
      <c r="A196" s="6" t="s">
        <v>1983</v>
      </c>
      <c r="B196" s="5" t="s">
        <v>1984</v>
      </c>
      <c r="C196" s="5" t="s">
        <v>1984</v>
      </c>
      <c r="D196" s="6" t="s">
        <v>1985</v>
      </c>
      <c r="E196" s="6" t="s">
        <v>245</v>
      </c>
      <c r="F196" s="6">
        <v>1.0475809999999999E-3</v>
      </c>
      <c r="G196" s="6" t="s">
        <v>247</v>
      </c>
      <c r="H196" s="6" t="s">
        <v>245</v>
      </c>
      <c r="I196" s="6" t="s">
        <v>233</v>
      </c>
      <c r="J196" s="6" t="s">
        <v>234</v>
      </c>
      <c r="K196" s="6">
        <v>3</v>
      </c>
    </row>
    <row r="197" spans="1:11" x14ac:dyDescent="0.25">
      <c r="A197" s="6" t="s">
        <v>1986</v>
      </c>
      <c r="B197" s="5" t="s">
        <v>457</v>
      </c>
      <c r="C197" s="5" t="s">
        <v>457</v>
      </c>
      <c r="D197" s="6" t="s">
        <v>1629</v>
      </c>
      <c r="E197" s="6" t="s">
        <v>245</v>
      </c>
      <c r="F197" s="6">
        <v>4.3868599999999998E-4</v>
      </c>
      <c r="G197" s="6" t="s">
        <v>247</v>
      </c>
      <c r="H197" s="6" t="s">
        <v>245</v>
      </c>
      <c r="I197" s="6" t="s">
        <v>233</v>
      </c>
      <c r="J197" s="6" t="s">
        <v>234</v>
      </c>
      <c r="K197" s="6">
        <v>3</v>
      </c>
    </row>
    <row r="198" spans="1:11" x14ac:dyDescent="0.25">
      <c r="A198" s="6" t="s">
        <v>1987</v>
      </c>
      <c r="B198" s="5" t="s">
        <v>1988</v>
      </c>
      <c r="C198" s="5" t="s">
        <v>1988</v>
      </c>
      <c r="D198" s="6" t="s">
        <v>1697</v>
      </c>
      <c r="E198" s="6" t="s">
        <v>269</v>
      </c>
      <c r="F198" s="6">
        <v>5.2359699999999999E-4</v>
      </c>
      <c r="G198" s="6" t="s">
        <v>271</v>
      </c>
      <c r="H198" s="6" t="s">
        <v>269</v>
      </c>
      <c r="I198" s="6" t="s">
        <v>233</v>
      </c>
      <c r="J198" s="6" t="s">
        <v>234</v>
      </c>
      <c r="K198" s="6">
        <v>3</v>
      </c>
    </row>
    <row r="199" spans="1:11" x14ac:dyDescent="0.25">
      <c r="A199" s="6" t="s">
        <v>1989</v>
      </c>
      <c r="B199" s="5" t="s">
        <v>1990</v>
      </c>
      <c r="C199" s="5" t="s">
        <v>1990</v>
      </c>
      <c r="D199" s="6" t="s">
        <v>1991</v>
      </c>
      <c r="E199" s="6" t="s">
        <v>248</v>
      </c>
      <c r="F199" s="6">
        <v>4.3868599999999998E-4</v>
      </c>
      <c r="G199" s="6" t="s">
        <v>250</v>
      </c>
      <c r="H199" s="6" t="s">
        <v>248</v>
      </c>
      <c r="I199" s="6" t="s">
        <v>233</v>
      </c>
      <c r="J199" s="6" t="s">
        <v>234</v>
      </c>
      <c r="K199" s="6">
        <v>3</v>
      </c>
    </row>
    <row r="200" spans="1:11" x14ac:dyDescent="0.25">
      <c r="A200" s="6" t="s">
        <v>1992</v>
      </c>
      <c r="B200" s="5" t="s">
        <v>1993</v>
      </c>
      <c r="C200" s="5" t="s">
        <v>1993</v>
      </c>
      <c r="D200" s="6" t="s">
        <v>1994</v>
      </c>
      <c r="E200" s="6" t="s">
        <v>254</v>
      </c>
      <c r="F200" s="6">
        <v>8.1312799999999998E-4</v>
      </c>
      <c r="G200" s="6" t="s">
        <v>256</v>
      </c>
      <c r="H200" s="6" t="s">
        <v>254</v>
      </c>
      <c r="I200" s="6" t="s">
        <v>233</v>
      </c>
      <c r="J200" s="6" t="s">
        <v>234</v>
      </c>
      <c r="K200" s="6">
        <v>3</v>
      </c>
    </row>
    <row r="201" spans="1:11" x14ac:dyDescent="0.25">
      <c r="A201" s="6" t="s">
        <v>1995</v>
      </c>
      <c r="B201" s="5" t="s">
        <v>1996</v>
      </c>
      <c r="C201" s="5" t="s">
        <v>1996</v>
      </c>
      <c r="D201" s="6" t="s">
        <v>1997</v>
      </c>
      <c r="E201" s="6" t="s">
        <v>245</v>
      </c>
      <c r="F201" s="6">
        <v>1.0475809999999999E-3</v>
      </c>
      <c r="G201" s="6" t="s">
        <v>247</v>
      </c>
      <c r="H201" s="6" t="s">
        <v>245</v>
      </c>
      <c r="I201" s="6" t="s">
        <v>233</v>
      </c>
      <c r="J201" s="6" t="s">
        <v>234</v>
      </c>
      <c r="K201" s="6">
        <v>3</v>
      </c>
    </row>
    <row r="202" spans="1:11" x14ac:dyDescent="0.25">
      <c r="A202" s="6" t="s">
        <v>1998</v>
      </c>
      <c r="B202" s="5" t="s">
        <v>384</v>
      </c>
      <c r="C202" s="5" t="s">
        <v>384</v>
      </c>
      <c r="D202" s="6" t="s">
        <v>1999</v>
      </c>
      <c r="E202" s="6" t="s">
        <v>248</v>
      </c>
      <c r="F202" s="6">
        <v>4.3868590254058401E-4</v>
      </c>
      <c r="G202" s="6" t="s">
        <v>250</v>
      </c>
      <c r="H202" s="6" t="s">
        <v>248</v>
      </c>
      <c r="I202" s="6" t="s">
        <v>233</v>
      </c>
      <c r="J202" s="6" t="s">
        <v>234</v>
      </c>
      <c r="K202" s="6">
        <v>3</v>
      </c>
    </row>
    <row r="203" spans="1:11" x14ac:dyDescent="0.25">
      <c r="A203" s="6" t="s">
        <v>2000</v>
      </c>
      <c r="B203" s="5" t="s">
        <v>2001</v>
      </c>
      <c r="C203" s="5" t="s">
        <v>2001</v>
      </c>
      <c r="D203" s="6" t="s">
        <v>2002</v>
      </c>
      <c r="E203" s="6" t="s">
        <v>263</v>
      </c>
      <c r="F203" s="6">
        <v>3.0449399999999999E-4</v>
      </c>
      <c r="G203" s="6" t="s">
        <v>265</v>
      </c>
      <c r="H203" s="6" t="s">
        <v>263</v>
      </c>
      <c r="I203" s="6" t="s">
        <v>233</v>
      </c>
      <c r="J203" s="6" t="s">
        <v>234</v>
      </c>
      <c r="K203" s="6">
        <v>3</v>
      </c>
    </row>
    <row r="204" spans="1:11" x14ac:dyDescent="0.25">
      <c r="A204" s="6" t="s">
        <v>2003</v>
      </c>
      <c r="B204" s="5" t="s">
        <v>2004</v>
      </c>
      <c r="C204" s="5" t="s">
        <v>2004</v>
      </c>
      <c r="D204" s="6" t="s">
        <v>2005</v>
      </c>
      <c r="E204" s="6" t="s">
        <v>245</v>
      </c>
      <c r="F204" s="6">
        <v>1.0475809999999999E-3</v>
      </c>
      <c r="G204" s="6" t="s">
        <v>247</v>
      </c>
      <c r="H204" s="6" t="s">
        <v>245</v>
      </c>
      <c r="I204" s="6" t="s">
        <v>233</v>
      </c>
      <c r="J204" s="6" t="s">
        <v>234</v>
      </c>
      <c r="K204" s="6">
        <v>3</v>
      </c>
    </row>
    <row r="205" spans="1:11" x14ac:dyDescent="0.25">
      <c r="A205" s="6" t="s">
        <v>2006</v>
      </c>
      <c r="B205" s="5" t="s">
        <v>2007</v>
      </c>
      <c r="C205" s="5" t="s">
        <v>2007</v>
      </c>
      <c r="D205" s="6" t="s">
        <v>2008</v>
      </c>
      <c r="E205" s="6" t="s">
        <v>254</v>
      </c>
      <c r="F205" s="6">
        <v>8.1312799999999998E-4</v>
      </c>
      <c r="G205" s="6" t="s">
        <v>256</v>
      </c>
      <c r="H205" s="6" t="s">
        <v>254</v>
      </c>
      <c r="I205" s="6" t="s">
        <v>233</v>
      </c>
      <c r="J205" s="6" t="s">
        <v>234</v>
      </c>
      <c r="K205" s="6">
        <v>3</v>
      </c>
    </row>
    <row r="206" spans="1:11" x14ac:dyDescent="0.25">
      <c r="A206" s="6" t="s">
        <v>2009</v>
      </c>
      <c r="B206" s="5" t="s">
        <v>2010</v>
      </c>
      <c r="C206" s="5" t="s">
        <v>2010</v>
      </c>
      <c r="D206" s="6" t="s">
        <v>1542</v>
      </c>
      <c r="E206" s="6" t="s">
        <v>1543</v>
      </c>
      <c r="F206" s="6">
        <v>5.2359699999999999E-5</v>
      </c>
      <c r="G206" s="6" t="s">
        <v>271</v>
      </c>
      <c r="H206" s="6" t="s">
        <v>269</v>
      </c>
      <c r="I206" s="6" t="s">
        <v>233</v>
      </c>
      <c r="J206" s="6" t="s">
        <v>234</v>
      </c>
      <c r="K206" s="6">
        <v>3</v>
      </c>
    </row>
    <row r="207" spans="1:11" x14ac:dyDescent="0.25">
      <c r="A207" s="6" t="s">
        <v>2011</v>
      </c>
      <c r="B207" s="5" t="s">
        <v>2012</v>
      </c>
      <c r="C207" s="5" t="s">
        <v>2012</v>
      </c>
      <c r="D207" s="6" t="s">
        <v>2013</v>
      </c>
      <c r="E207" s="6" t="s">
        <v>248</v>
      </c>
      <c r="F207" s="6">
        <v>4.3868599999999998E-4</v>
      </c>
      <c r="G207" s="6" t="s">
        <v>250</v>
      </c>
      <c r="H207" s="6" t="s">
        <v>248</v>
      </c>
      <c r="I207" s="6" t="s">
        <v>233</v>
      </c>
      <c r="J207" s="6" t="s">
        <v>234</v>
      </c>
      <c r="K207" s="6">
        <v>3</v>
      </c>
    </row>
    <row r="208" spans="1:11" x14ac:dyDescent="0.25">
      <c r="A208" s="6" t="s">
        <v>2014</v>
      </c>
      <c r="B208" s="5" t="s">
        <v>2015</v>
      </c>
      <c r="C208" s="5" t="s">
        <v>2015</v>
      </c>
      <c r="D208" s="6" t="s">
        <v>2016</v>
      </c>
      <c r="E208" s="6" t="s">
        <v>254</v>
      </c>
      <c r="F208" s="6">
        <v>8.1312799999999998E-4</v>
      </c>
      <c r="G208" s="6" t="s">
        <v>256</v>
      </c>
      <c r="H208" s="6" t="s">
        <v>254</v>
      </c>
      <c r="I208" s="6" t="s">
        <v>233</v>
      </c>
      <c r="J208" s="6" t="s">
        <v>234</v>
      </c>
      <c r="K208" s="6">
        <v>3</v>
      </c>
    </row>
    <row r="209" spans="1:11" x14ac:dyDescent="0.25">
      <c r="A209" s="6" t="s">
        <v>2017</v>
      </c>
      <c r="B209" s="5" t="s">
        <v>2018</v>
      </c>
      <c r="C209" s="5" t="s">
        <v>2018</v>
      </c>
      <c r="D209" s="6" t="s">
        <v>2019</v>
      </c>
      <c r="E209" s="6" t="s">
        <v>254</v>
      </c>
      <c r="F209" s="6">
        <v>8.1312799999999998E-4</v>
      </c>
      <c r="G209" s="6" t="s">
        <v>256</v>
      </c>
      <c r="H209" s="6" t="s">
        <v>254</v>
      </c>
      <c r="I209" s="6" t="s">
        <v>233</v>
      </c>
      <c r="J209" s="6" t="s">
        <v>234</v>
      </c>
      <c r="K209" s="6">
        <v>3</v>
      </c>
    </row>
    <row r="210" spans="1:11" x14ac:dyDescent="0.25">
      <c r="A210" s="6" t="s">
        <v>2020</v>
      </c>
      <c r="B210" s="5" t="s">
        <v>2021</v>
      </c>
      <c r="C210" s="5" t="s">
        <v>2021</v>
      </c>
      <c r="D210" s="6" t="s">
        <v>2022</v>
      </c>
      <c r="E210" s="6" t="s">
        <v>245</v>
      </c>
      <c r="F210" s="6">
        <v>1.0475809999999999E-3</v>
      </c>
      <c r="G210" s="6" t="s">
        <v>247</v>
      </c>
      <c r="H210" s="6" t="s">
        <v>245</v>
      </c>
      <c r="I210" s="6" t="s">
        <v>233</v>
      </c>
      <c r="J210" s="6" t="s">
        <v>234</v>
      </c>
      <c r="K210" s="6">
        <v>3</v>
      </c>
    </row>
    <row r="211" spans="1:11" x14ac:dyDescent="0.25">
      <c r="A211" s="6" t="s">
        <v>2023</v>
      </c>
      <c r="B211" s="5" t="s">
        <v>2024</v>
      </c>
      <c r="C211" s="5" t="s">
        <v>2024</v>
      </c>
      <c r="D211" s="6" t="s">
        <v>2025</v>
      </c>
      <c r="E211" s="6" t="s">
        <v>245</v>
      </c>
      <c r="F211" s="6">
        <v>1.0475809999999999E-3</v>
      </c>
      <c r="G211" s="6" t="s">
        <v>247</v>
      </c>
      <c r="H211" s="6" t="s">
        <v>245</v>
      </c>
      <c r="I211" s="6" t="s">
        <v>233</v>
      </c>
      <c r="J211" s="6" t="s">
        <v>234</v>
      </c>
      <c r="K211" s="6">
        <v>3</v>
      </c>
    </row>
    <row r="212" spans="1:11" x14ac:dyDescent="0.25">
      <c r="A212" s="6" t="s">
        <v>2026</v>
      </c>
      <c r="B212" s="5" t="s">
        <v>2027</v>
      </c>
      <c r="C212" s="5" t="s">
        <v>2027</v>
      </c>
      <c r="D212" s="6" t="s">
        <v>2028</v>
      </c>
      <c r="E212" s="6" t="s">
        <v>254</v>
      </c>
      <c r="F212" s="6">
        <v>8.1312799999999998E-4</v>
      </c>
      <c r="G212" s="6" t="s">
        <v>256</v>
      </c>
      <c r="H212" s="6" t="s">
        <v>254</v>
      </c>
      <c r="I212" s="6" t="s">
        <v>233</v>
      </c>
      <c r="J212" s="6" t="s">
        <v>234</v>
      </c>
      <c r="K212" s="6">
        <v>3</v>
      </c>
    </row>
    <row r="213" spans="1:11" x14ac:dyDescent="0.25">
      <c r="A213" s="6" t="s">
        <v>2029</v>
      </c>
      <c r="B213" s="5" t="s">
        <v>2030</v>
      </c>
      <c r="C213" s="5" t="s">
        <v>2030</v>
      </c>
      <c r="D213" s="6" t="s">
        <v>2031</v>
      </c>
      <c r="E213" s="6" t="s">
        <v>248</v>
      </c>
      <c r="F213" s="6">
        <v>4.3868599999999998E-4</v>
      </c>
      <c r="G213" s="6" t="s">
        <v>250</v>
      </c>
      <c r="H213" s="6" t="s">
        <v>248</v>
      </c>
      <c r="I213" s="6" t="s">
        <v>233</v>
      </c>
      <c r="J213" s="6" t="s">
        <v>234</v>
      </c>
      <c r="K213" s="6">
        <v>3</v>
      </c>
    </row>
    <row r="214" spans="1:11" x14ac:dyDescent="0.25">
      <c r="A214" s="6" t="s">
        <v>2032</v>
      </c>
      <c r="B214" s="5" t="s">
        <v>2033</v>
      </c>
      <c r="C214" s="5" t="s">
        <v>2033</v>
      </c>
      <c r="D214" s="6" t="s">
        <v>2034</v>
      </c>
      <c r="E214" s="6" t="s">
        <v>245</v>
      </c>
      <c r="F214" s="6">
        <v>1.0475809999999999E-3</v>
      </c>
      <c r="G214" s="6" t="s">
        <v>247</v>
      </c>
      <c r="H214" s="6" t="s">
        <v>245</v>
      </c>
      <c r="I214" s="6" t="s">
        <v>233</v>
      </c>
      <c r="J214" s="6" t="s">
        <v>234</v>
      </c>
      <c r="K214" s="6">
        <v>3</v>
      </c>
    </row>
    <row r="215" spans="1:11" x14ac:dyDescent="0.25">
      <c r="A215" s="6" t="s">
        <v>2035</v>
      </c>
      <c r="B215" s="5" t="s">
        <v>385</v>
      </c>
      <c r="C215" s="5" t="s">
        <v>385</v>
      </c>
      <c r="D215" s="6" t="s">
        <v>2036</v>
      </c>
      <c r="E215" s="6" t="s">
        <v>263</v>
      </c>
      <c r="F215" s="6">
        <v>3.0449377823614201E-4</v>
      </c>
      <c r="G215" s="6" t="s">
        <v>265</v>
      </c>
      <c r="H215" s="6" t="s">
        <v>263</v>
      </c>
      <c r="I215" s="6" t="s">
        <v>233</v>
      </c>
      <c r="J215" s="6" t="s">
        <v>234</v>
      </c>
      <c r="K215" s="6">
        <v>3</v>
      </c>
    </row>
    <row r="216" spans="1:11" x14ac:dyDescent="0.25">
      <c r="A216" s="6" t="s">
        <v>2037</v>
      </c>
      <c r="B216" s="5" t="s">
        <v>2038</v>
      </c>
      <c r="C216" s="5" t="s">
        <v>2038</v>
      </c>
      <c r="D216" s="6" t="s">
        <v>2039</v>
      </c>
      <c r="E216" s="6" t="s">
        <v>245</v>
      </c>
      <c r="F216" s="6">
        <v>1.0475809999999999E-3</v>
      </c>
      <c r="G216" s="6" t="s">
        <v>247</v>
      </c>
      <c r="H216" s="6" t="s">
        <v>245</v>
      </c>
      <c r="I216" s="6" t="s">
        <v>233</v>
      </c>
      <c r="J216" s="6" t="s">
        <v>234</v>
      </c>
      <c r="K216" s="6">
        <v>3</v>
      </c>
    </row>
    <row r="217" spans="1:11" ht="30" x14ac:dyDescent="0.25">
      <c r="A217" s="6" t="s">
        <v>2040</v>
      </c>
      <c r="B217" s="5" t="s">
        <v>2041</v>
      </c>
      <c r="C217" s="5" t="s">
        <v>2041</v>
      </c>
      <c r="D217" s="6" t="s">
        <v>2042</v>
      </c>
      <c r="E217" s="6" t="s">
        <v>245</v>
      </c>
      <c r="F217" s="6">
        <v>1.0475809999999999E-3</v>
      </c>
      <c r="G217" s="6" t="s">
        <v>247</v>
      </c>
      <c r="H217" s="6" t="s">
        <v>245</v>
      </c>
      <c r="I217" s="6" t="s">
        <v>233</v>
      </c>
      <c r="J217" s="6" t="s">
        <v>234</v>
      </c>
      <c r="K217" s="6">
        <v>3</v>
      </c>
    </row>
    <row r="218" spans="1:11" x14ac:dyDescent="0.25">
      <c r="A218" s="6" t="s">
        <v>2043</v>
      </c>
      <c r="B218" s="5" t="s">
        <v>2044</v>
      </c>
      <c r="C218" s="5" t="s">
        <v>2044</v>
      </c>
      <c r="D218" s="6" t="s">
        <v>2045</v>
      </c>
      <c r="E218" s="6" t="s">
        <v>347</v>
      </c>
      <c r="F218" s="6">
        <v>2.10657E-4</v>
      </c>
      <c r="G218" s="6" t="s">
        <v>346</v>
      </c>
      <c r="H218" s="6" t="s">
        <v>347</v>
      </c>
      <c r="I218" s="6" t="s">
        <v>233</v>
      </c>
      <c r="J218" s="6" t="s">
        <v>234</v>
      </c>
      <c r="K218" s="6">
        <v>3</v>
      </c>
    </row>
    <row r="219" spans="1:11" x14ac:dyDescent="0.25">
      <c r="A219" s="6" t="s">
        <v>2046</v>
      </c>
      <c r="B219" s="5" t="s">
        <v>2047</v>
      </c>
      <c r="C219" s="5" t="s">
        <v>2047</v>
      </c>
      <c r="D219" s="6" t="s">
        <v>2048</v>
      </c>
      <c r="E219" s="6" t="s">
        <v>245</v>
      </c>
      <c r="F219" s="6">
        <v>1.0475809999999999E-3</v>
      </c>
      <c r="G219" s="6" t="s">
        <v>247</v>
      </c>
      <c r="H219" s="6" t="s">
        <v>245</v>
      </c>
      <c r="I219" s="6" t="s">
        <v>233</v>
      </c>
      <c r="J219" s="6" t="s">
        <v>234</v>
      </c>
      <c r="K219" s="6">
        <v>3</v>
      </c>
    </row>
    <row r="220" spans="1:11" x14ac:dyDescent="0.25">
      <c r="A220" s="6" t="s">
        <v>2049</v>
      </c>
      <c r="B220" s="5" t="s">
        <v>2050</v>
      </c>
      <c r="C220" s="5" t="s">
        <v>2050</v>
      </c>
      <c r="D220" s="6" t="s">
        <v>1711</v>
      </c>
      <c r="E220" s="6" t="s">
        <v>278</v>
      </c>
      <c r="F220" s="6">
        <v>6.2829699999999999E-4</v>
      </c>
      <c r="G220" s="6" t="s">
        <v>280</v>
      </c>
      <c r="H220" s="6" t="s">
        <v>278</v>
      </c>
      <c r="I220" s="6" t="s">
        <v>233</v>
      </c>
      <c r="J220" s="6" t="s">
        <v>234</v>
      </c>
      <c r="K220" s="6">
        <v>3</v>
      </c>
    </row>
    <row r="221" spans="1:11" ht="30" x14ac:dyDescent="0.25">
      <c r="A221" s="6" t="s">
        <v>2051</v>
      </c>
      <c r="B221" s="5" t="s">
        <v>2052</v>
      </c>
      <c r="C221" s="5" t="s">
        <v>2052</v>
      </c>
      <c r="D221" s="6" t="s">
        <v>2053</v>
      </c>
      <c r="E221" s="6" t="s">
        <v>248</v>
      </c>
      <c r="F221" s="6">
        <v>4.3868599999999998E-4</v>
      </c>
      <c r="G221" s="6" t="s">
        <v>250</v>
      </c>
      <c r="H221" s="6" t="s">
        <v>248</v>
      </c>
      <c r="I221" s="6" t="s">
        <v>233</v>
      </c>
      <c r="J221" s="6" t="s">
        <v>234</v>
      </c>
      <c r="K221" s="6">
        <v>3</v>
      </c>
    </row>
    <row r="222" spans="1:11" x14ac:dyDescent="0.25">
      <c r="A222" s="6" t="s">
        <v>2054</v>
      </c>
      <c r="B222" s="5" t="s">
        <v>2055</v>
      </c>
      <c r="C222" s="5" t="s">
        <v>2055</v>
      </c>
      <c r="D222" s="6" t="s">
        <v>2056</v>
      </c>
      <c r="E222" s="6" t="s">
        <v>245</v>
      </c>
      <c r="F222" s="6">
        <v>1.0475809999999999E-3</v>
      </c>
      <c r="G222" s="6" t="s">
        <v>247</v>
      </c>
      <c r="H222" s="6" t="s">
        <v>245</v>
      </c>
      <c r="I222" s="6" t="s">
        <v>233</v>
      </c>
      <c r="J222" s="6" t="s">
        <v>234</v>
      </c>
      <c r="K222" s="6">
        <v>3</v>
      </c>
    </row>
    <row r="223" spans="1:11" x14ac:dyDescent="0.25">
      <c r="A223" s="6" t="s">
        <v>2057</v>
      </c>
      <c r="B223" s="5" t="s">
        <v>2058</v>
      </c>
      <c r="C223" s="5" t="s">
        <v>2058</v>
      </c>
      <c r="D223" s="6" t="s">
        <v>2059</v>
      </c>
      <c r="E223" s="6" t="s">
        <v>254</v>
      </c>
      <c r="F223" s="6">
        <v>8.1312799999999998E-4</v>
      </c>
      <c r="G223" s="6" t="s">
        <v>256</v>
      </c>
      <c r="H223" s="6" t="s">
        <v>254</v>
      </c>
      <c r="I223" s="6" t="s">
        <v>233</v>
      </c>
      <c r="J223" s="6" t="s">
        <v>234</v>
      </c>
      <c r="K223" s="6">
        <v>3</v>
      </c>
    </row>
    <row r="224" spans="1:11" x14ac:dyDescent="0.25">
      <c r="A224" s="6" t="s">
        <v>2060</v>
      </c>
      <c r="B224" s="5" t="s">
        <v>392</v>
      </c>
      <c r="C224" s="5" t="s">
        <v>392</v>
      </c>
      <c r="D224" s="6" t="s">
        <v>1776</v>
      </c>
      <c r="E224" s="6" t="s">
        <v>245</v>
      </c>
      <c r="F224" s="6">
        <v>1.0475809999999999E-3</v>
      </c>
      <c r="G224" s="6" t="s">
        <v>247</v>
      </c>
      <c r="H224" s="6" t="s">
        <v>245</v>
      </c>
      <c r="I224" s="6" t="s">
        <v>233</v>
      </c>
      <c r="J224" s="6" t="s">
        <v>234</v>
      </c>
      <c r="K224" s="6">
        <v>3</v>
      </c>
    </row>
    <row r="225" spans="1:11" x14ac:dyDescent="0.25">
      <c r="A225" s="6" t="s">
        <v>2061</v>
      </c>
      <c r="B225" s="5" t="s">
        <v>2062</v>
      </c>
      <c r="C225" s="5" t="s">
        <v>2062</v>
      </c>
      <c r="D225" s="6" t="s">
        <v>2063</v>
      </c>
      <c r="E225" s="6" t="s">
        <v>245</v>
      </c>
      <c r="F225" s="6">
        <v>1.0475809999999999E-3</v>
      </c>
      <c r="G225" s="6" t="s">
        <v>247</v>
      </c>
      <c r="H225" s="6" t="s">
        <v>245</v>
      </c>
      <c r="I225" s="6" t="s">
        <v>233</v>
      </c>
      <c r="J225" s="6" t="s">
        <v>234</v>
      </c>
      <c r="K225" s="6">
        <v>3</v>
      </c>
    </row>
    <row r="226" spans="1:11" x14ac:dyDescent="0.25">
      <c r="A226" s="6" t="s">
        <v>2064</v>
      </c>
      <c r="B226" s="5" t="s">
        <v>2065</v>
      </c>
      <c r="C226" s="5" t="s">
        <v>2065</v>
      </c>
      <c r="D226" s="6" t="s">
        <v>2066</v>
      </c>
      <c r="E226" s="6" t="s">
        <v>245</v>
      </c>
      <c r="F226" s="6">
        <v>1.0475809999999999E-3</v>
      </c>
      <c r="G226" s="6" t="s">
        <v>247</v>
      </c>
      <c r="H226" s="6" t="s">
        <v>245</v>
      </c>
      <c r="I226" s="6" t="s">
        <v>233</v>
      </c>
      <c r="J226" s="6" t="s">
        <v>234</v>
      </c>
      <c r="K226" s="6">
        <v>3</v>
      </c>
    </row>
    <row r="227" spans="1:11" x14ac:dyDescent="0.25">
      <c r="A227" s="6" t="s">
        <v>2067</v>
      </c>
      <c r="B227" s="5" t="s">
        <v>2068</v>
      </c>
      <c r="C227" s="5" t="s">
        <v>2068</v>
      </c>
      <c r="D227" s="6" t="s">
        <v>1814</v>
      </c>
      <c r="E227" s="6" t="s">
        <v>414</v>
      </c>
      <c r="F227" s="6">
        <v>3.1322198387294099E-4</v>
      </c>
      <c r="G227" s="6" t="s">
        <v>413</v>
      </c>
      <c r="H227" s="6" t="s">
        <v>414</v>
      </c>
      <c r="I227" s="6" t="s">
        <v>233</v>
      </c>
      <c r="J227" s="6" t="s">
        <v>234</v>
      </c>
      <c r="K227" s="6">
        <v>3</v>
      </c>
    </row>
    <row r="228" spans="1:11" x14ac:dyDescent="0.25">
      <c r="A228" s="6" t="s">
        <v>2069</v>
      </c>
      <c r="B228" s="5" t="s">
        <v>2070</v>
      </c>
      <c r="C228" s="5" t="s">
        <v>2070</v>
      </c>
      <c r="D228" s="6" t="s">
        <v>1499</v>
      </c>
      <c r="E228" s="6" t="s">
        <v>269</v>
      </c>
      <c r="F228" s="6">
        <v>5.2359699999999999E-4</v>
      </c>
      <c r="G228" s="6" t="s">
        <v>271</v>
      </c>
      <c r="H228" s="6" t="s">
        <v>269</v>
      </c>
      <c r="I228" s="6" t="s">
        <v>233</v>
      </c>
      <c r="J228" s="6" t="s">
        <v>234</v>
      </c>
      <c r="K228" s="6">
        <v>3</v>
      </c>
    </row>
    <row r="229" spans="1:11" x14ac:dyDescent="0.25">
      <c r="A229" s="6" t="s">
        <v>2071</v>
      </c>
      <c r="B229" s="5" t="s">
        <v>2072</v>
      </c>
      <c r="C229" s="5" t="s">
        <v>2072</v>
      </c>
      <c r="D229" s="6" t="s">
        <v>2073</v>
      </c>
      <c r="E229" s="6" t="s">
        <v>347</v>
      </c>
      <c r="F229" s="6">
        <v>2.10657E-4</v>
      </c>
      <c r="G229" s="6" t="s">
        <v>346</v>
      </c>
      <c r="H229" s="6" t="s">
        <v>347</v>
      </c>
      <c r="I229" s="6" t="s">
        <v>233</v>
      </c>
      <c r="J229" s="6" t="s">
        <v>234</v>
      </c>
      <c r="K229" s="6">
        <v>3</v>
      </c>
    </row>
    <row r="230" spans="1:11" x14ac:dyDescent="0.25">
      <c r="A230" s="6" t="s">
        <v>2074</v>
      </c>
      <c r="B230" s="5" t="s">
        <v>2075</v>
      </c>
      <c r="C230" s="5" t="s">
        <v>2075</v>
      </c>
      <c r="D230" s="6" t="s">
        <v>2076</v>
      </c>
      <c r="E230" s="6" t="s">
        <v>248</v>
      </c>
      <c r="F230" s="6">
        <v>4.3868599999999998E-4</v>
      </c>
      <c r="G230" s="6" t="s">
        <v>250</v>
      </c>
      <c r="H230" s="6" t="s">
        <v>248</v>
      </c>
      <c r="I230" s="6" t="s">
        <v>233</v>
      </c>
      <c r="J230" s="6" t="s">
        <v>234</v>
      </c>
      <c r="K230" s="6">
        <v>3</v>
      </c>
    </row>
    <row r="231" spans="1:11" x14ac:dyDescent="0.25">
      <c r="A231" s="6" t="s">
        <v>2077</v>
      </c>
      <c r="B231" s="5" t="s">
        <v>2078</v>
      </c>
      <c r="C231" s="5" t="s">
        <v>2078</v>
      </c>
      <c r="D231" s="6" t="s">
        <v>2079</v>
      </c>
      <c r="E231" s="6" t="s">
        <v>347</v>
      </c>
      <c r="F231" s="6">
        <v>2.1065654610590999E-4</v>
      </c>
      <c r="G231" s="6" t="s">
        <v>346</v>
      </c>
      <c r="H231" s="6" t="s">
        <v>347</v>
      </c>
      <c r="I231" s="6" t="s">
        <v>233</v>
      </c>
      <c r="J231" s="6" t="s">
        <v>234</v>
      </c>
      <c r="K231" s="6">
        <v>3</v>
      </c>
    </row>
    <row r="232" spans="1:11" x14ac:dyDescent="0.25">
      <c r="A232" s="6" t="s">
        <v>2080</v>
      </c>
      <c r="B232" s="5" t="s">
        <v>2081</v>
      </c>
      <c r="C232" s="5" t="s">
        <v>2081</v>
      </c>
      <c r="D232" s="6" t="s">
        <v>2082</v>
      </c>
      <c r="E232" s="6" t="s">
        <v>347</v>
      </c>
      <c r="F232" s="6">
        <v>2.1065654610590999E-4</v>
      </c>
      <c r="G232" s="6" t="s">
        <v>346</v>
      </c>
      <c r="H232" s="6" t="s">
        <v>347</v>
      </c>
      <c r="I232" s="6" t="s">
        <v>233</v>
      </c>
      <c r="J232" s="6" t="s">
        <v>234</v>
      </c>
      <c r="K232" s="6">
        <v>3</v>
      </c>
    </row>
    <row r="233" spans="1:11" x14ac:dyDescent="0.25">
      <c r="A233" s="6" t="s">
        <v>2083</v>
      </c>
      <c r="B233" s="5" t="s">
        <v>2084</v>
      </c>
      <c r="C233" s="5" t="s">
        <v>2084</v>
      </c>
      <c r="D233" s="6" t="s">
        <v>2085</v>
      </c>
      <c r="E233" s="6" t="s">
        <v>414</v>
      </c>
      <c r="F233" s="6">
        <v>3.1322198387294099E-4</v>
      </c>
      <c r="G233" s="6" t="s">
        <v>413</v>
      </c>
      <c r="H233" s="6" t="s">
        <v>414</v>
      </c>
      <c r="I233" s="6" t="s">
        <v>233</v>
      </c>
      <c r="J233" s="6" t="s">
        <v>234</v>
      </c>
      <c r="K233" s="6">
        <v>3</v>
      </c>
    </row>
    <row r="234" spans="1:11" x14ac:dyDescent="0.25">
      <c r="A234" s="6" t="s">
        <v>2086</v>
      </c>
      <c r="B234" s="5" t="s">
        <v>2087</v>
      </c>
      <c r="C234" s="5" t="s">
        <v>2087</v>
      </c>
      <c r="D234" s="6" t="s">
        <v>2088</v>
      </c>
      <c r="E234" s="6" t="s">
        <v>248</v>
      </c>
      <c r="F234" s="6">
        <v>4.3868599999999998E-4</v>
      </c>
      <c r="G234" s="6" t="s">
        <v>250</v>
      </c>
      <c r="H234" s="6" t="s">
        <v>248</v>
      </c>
      <c r="I234" s="6" t="s">
        <v>233</v>
      </c>
      <c r="J234" s="6" t="s">
        <v>234</v>
      </c>
      <c r="K234" s="6">
        <v>3</v>
      </c>
    </row>
    <row r="235" spans="1:11" x14ac:dyDescent="0.25">
      <c r="A235" s="6" t="s">
        <v>2089</v>
      </c>
      <c r="B235" s="5" t="s">
        <v>2090</v>
      </c>
      <c r="C235" s="5" t="s">
        <v>2090</v>
      </c>
      <c r="D235" s="6" t="s">
        <v>1854</v>
      </c>
      <c r="E235" s="6" t="s">
        <v>408</v>
      </c>
      <c r="F235" s="6">
        <v>1.67136339459407E-4</v>
      </c>
      <c r="G235" s="6" t="s">
        <v>407</v>
      </c>
      <c r="H235" s="6" t="s">
        <v>408</v>
      </c>
      <c r="I235" s="6" t="s">
        <v>233</v>
      </c>
      <c r="J235" s="6" t="s">
        <v>234</v>
      </c>
      <c r="K235" s="6">
        <v>3</v>
      </c>
    </row>
    <row r="236" spans="1:11" x14ac:dyDescent="0.25">
      <c r="A236" s="6" t="s">
        <v>2091</v>
      </c>
      <c r="B236" s="5" t="s">
        <v>2092</v>
      </c>
      <c r="C236" s="5" t="s">
        <v>2092</v>
      </c>
      <c r="D236" s="6" t="s">
        <v>2093</v>
      </c>
      <c r="E236" s="6" t="s">
        <v>254</v>
      </c>
      <c r="F236" s="6">
        <v>8.1312799999999998E-4</v>
      </c>
      <c r="G236" s="6" t="s">
        <v>256</v>
      </c>
      <c r="H236" s="6" t="s">
        <v>254</v>
      </c>
      <c r="I236" s="6" t="s">
        <v>233</v>
      </c>
      <c r="J236" s="6" t="s">
        <v>234</v>
      </c>
      <c r="K236" s="6">
        <v>3</v>
      </c>
    </row>
    <row r="237" spans="1:11" x14ac:dyDescent="0.25">
      <c r="A237" s="6" t="s">
        <v>2094</v>
      </c>
      <c r="B237" s="5" t="s">
        <v>2095</v>
      </c>
      <c r="C237" s="5" t="s">
        <v>2095</v>
      </c>
      <c r="D237" s="6" t="s">
        <v>2096</v>
      </c>
      <c r="E237" s="6" t="s">
        <v>269</v>
      </c>
      <c r="F237" s="6">
        <v>5.2359699999999999E-4</v>
      </c>
      <c r="G237" s="6" t="s">
        <v>271</v>
      </c>
      <c r="H237" s="6" t="s">
        <v>269</v>
      </c>
      <c r="I237" s="6" t="s">
        <v>233</v>
      </c>
      <c r="J237" s="6" t="s">
        <v>234</v>
      </c>
      <c r="K237" s="6">
        <v>3</v>
      </c>
    </row>
    <row r="238" spans="1:11" x14ac:dyDescent="0.25">
      <c r="A238" s="6" t="s">
        <v>2097</v>
      </c>
      <c r="B238" s="5" t="s">
        <v>2098</v>
      </c>
      <c r="C238" s="5" t="s">
        <v>2098</v>
      </c>
      <c r="D238" s="6" t="s">
        <v>2099</v>
      </c>
      <c r="E238" s="6" t="s">
        <v>248</v>
      </c>
      <c r="F238" s="6">
        <v>4.3868599999999998E-4</v>
      </c>
      <c r="G238" s="6" t="s">
        <v>250</v>
      </c>
      <c r="H238" s="6" t="s">
        <v>248</v>
      </c>
      <c r="I238" s="6" t="s">
        <v>233</v>
      </c>
      <c r="J238" s="6" t="s">
        <v>234</v>
      </c>
      <c r="K238" s="6">
        <v>3</v>
      </c>
    </row>
    <row r="239" spans="1:11" ht="30" x14ac:dyDescent="0.25">
      <c r="A239" s="6" t="s">
        <v>2100</v>
      </c>
      <c r="B239" s="5" t="s">
        <v>2101</v>
      </c>
      <c r="C239" s="5" t="s">
        <v>2101</v>
      </c>
      <c r="D239" s="6" t="s">
        <v>2102</v>
      </c>
      <c r="E239" s="6" t="s">
        <v>248</v>
      </c>
      <c r="F239" s="6">
        <v>4.3868599999999998E-4</v>
      </c>
      <c r="G239" s="6" t="s">
        <v>250</v>
      </c>
      <c r="H239" s="6" t="s">
        <v>248</v>
      </c>
      <c r="I239" s="6" t="s">
        <v>233</v>
      </c>
      <c r="J239" s="6" t="s">
        <v>234</v>
      </c>
      <c r="K239" s="6">
        <v>3</v>
      </c>
    </row>
    <row r="240" spans="1:11" x14ac:dyDescent="0.25">
      <c r="A240" s="6" t="s">
        <v>2103</v>
      </c>
      <c r="B240" s="5" t="s">
        <v>2104</v>
      </c>
      <c r="C240" s="5" t="s">
        <v>2104</v>
      </c>
      <c r="D240" s="6" t="s">
        <v>2105</v>
      </c>
      <c r="E240" s="6" t="s">
        <v>245</v>
      </c>
      <c r="F240" s="6">
        <v>1.0475809999999999E-3</v>
      </c>
      <c r="G240" s="6" t="s">
        <v>247</v>
      </c>
      <c r="H240" s="6" t="s">
        <v>245</v>
      </c>
      <c r="I240" s="6" t="s">
        <v>233</v>
      </c>
      <c r="J240" s="6" t="s">
        <v>234</v>
      </c>
      <c r="K240" s="6">
        <v>3</v>
      </c>
    </row>
    <row r="241" spans="1:11" x14ac:dyDescent="0.25">
      <c r="A241" s="6" t="s">
        <v>2106</v>
      </c>
      <c r="B241" s="5" t="s">
        <v>2107</v>
      </c>
      <c r="C241" s="5" t="s">
        <v>2107</v>
      </c>
      <c r="D241" s="6" t="s">
        <v>2108</v>
      </c>
      <c r="E241" s="6" t="s">
        <v>278</v>
      </c>
      <c r="F241" s="6">
        <v>6.2829699999999999E-4</v>
      </c>
      <c r="G241" s="6" t="s">
        <v>280</v>
      </c>
      <c r="H241" s="6" t="s">
        <v>278</v>
      </c>
      <c r="I241" s="6" t="s">
        <v>233</v>
      </c>
      <c r="J241" s="6" t="s">
        <v>234</v>
      </c>
      <c r="K241" s="6">
        <v>3</v>
      </c>
    </row>
    <row r="242" spans="1:11" x14ac:dyDescent="0.25">
      <c r="A242" s="6" t="s">
        <v>2109</v>
      </c>
      <c r="B242" s="5" t="s">
        <v>2110</v>
      </c>
      <c r="C242" s="5" t="s">
        <v>2110</v>
      </c>
      <c r="D242" s="6" t="s">
        <v>1691</v>
      </c>
      <c r="E242" s="6" t="s">
        <v>269</v>
      </c>
      <c r="F242" s="6">
        <v>5.2359699999999999E-4</v>
      </c>
      <c r="G242" s="6" t="s">
        <v>271</v>
      </c>
      <c r="H242" s="6" t="s">
        <v>269</v>
      </c>
      <c r="I242" s="6" t="s">
        <v>233</v>
      </c>
      <c r="J242" s="6" t="s">
        <v>234</v>
      </c>
      <c r="K242" s="6">
        <v>3</v>
      </c>
    </row>
    <row r="243" spans="1:11" x14ac:dyDescent="0.25">
      <c r="A243" s="6" t="s">
        <v>2111</v>
      </c>
      <c r="B243" s="5" t="s">
        <v>2112</v>
      </c>
      <c r="C243" s="5" t="s">
        <v>2112</v>
      </c>
      <c r="D243" s="6" t="s">
        <v>2113</v>
      </c>
      <c r="E243" s="6" t="s">
        <v>744</v>
      </c>
      <c r="F243" s="6">
        <v>3.813E-4</v>
      </c>
      <c r="G243" s="6" t="s">
        <v>743</v>
      </c>
      <c r="H243" s="6" t="s">
        <v>744</v>
      </c>
      <c r="I243" s="6" t="s">
        <v>233</v>
      </c>
      <c r="J243" s="6" t="s">
        <v>234</v>
      </c>
      <c r="K243" s="6">
        <v>3</v>
      </c>
    </row>
    <row r="244" spans="1:11" x14ac:dyDescent="0.25">
      <c r="A244" s="6" t="s">
        <v>2114</v>
      </c>
      <c r="B244" s="5" t="s">
        <v>2115</v>
      </c>
      <c r="C244" s="5" t="s">
        <v>2115</v>
      </c>
      <c r="D244" s="6" t="s">
        <v>2116</v>
      </c>
      <c r="E244" s="6" t="s">
        <v>269</v>
      </c>
      <c r="F244" s="6">
        <v>5.2359699999999999E-4</v>
      </c>
      <c r="G244" s="6" t="s">
        <v>271</v>
      </c>
      <c r="H244" s="6" t="s">
        <v>269</v>
      </c>
      <c r="I244" s="6" t="s">
        <v>233</v>
      </c>
      <c r="J244" s="6" t="s">
        <v>234</v>
      </c>
      <c r="K244" s="6">
        <v>3</v>
      </c>
    </row>
    <row r="245" spans="1:11" x14ac:dyDescent="0.25">
      <c r="A245" s="6" t="s">
        <v>2117</v>
      </c>
      <c r="B245" s="5" t="s">
        <v>2118</v>
      </c>
      <c r="C245" s="5" t="s">
        <v>2118</v>
      </c>
      <c r="D245" s="6" t="s">
        <v>2119</v>
      </c>
      <c r="E245" s="6" t="s">
        <v>269</v>
      </c>
      <c r="F245" s="6">
        <v>5.2359699999999999E-4</v>
      </c>
      <c r="G245" s="6" t="s">
        <v>271</v>
      </c>
      <c r="H245" s="6" t="s">
        <v>269</v>
      </c>
      <c r="I245" s="6" t="s">
        <v>233</v>
      </c>
      <c r="J245" s="6" t="s">
        <v>234</v>
      </c>
      <c r="K245" s="6">
        <v>3</v>
      </c>
    </row>
    <row r="246" spans="1:11" x14ac:dyDescent="0.25">
      <c r="A246" s="6" t="s">
        <v>2120</v>
      </c>
      <c r="B246" s="5" t="s">
        <v>2121</v>
      </c>
      <c r="C246" s="5" t="s">
        <v>2121</v>
      </c>
      <c r="D246" s="6" t="s">
        <v>2122</v>
      </c>
      <c r="E246" s="6" t="s">
        <v>248</v>
      </c>
      <c r="F246" s="6">
        <v>4.3868599999999998E-4</v>
      </c>
      <c r="G246" s="6" t="s">
        <v>250</v>
      </c>
      <c r="H246" s="6" t="s">
        <v>248</v>
      </c>
      <c r="I246" s="6" t="s">
        <v>233</v>
      </c>
      <c r="J246" s="6" t="s">
        <v>234</v>
      </c>
      <c r="K246" s="6">
        <v>3</v>
      </c>
    </row>
    <row r="247" spans="1:11" x14ac:dyDescent="0.25">
      <c r="A247" s="6" t="s">
        <v>2123</v>
      </c>
      <c r="B247" s="5" t="s">
        <v>2124</v>
      </c>
      <c r="C247" s="5" t="s">
        <v>2124</v>
      </c>
      <c r="D247" s="6" t="s">
        <v>2125</v>
      </c>
      <c r="E247" s="6" t="s">
        <v>263</v>
      </c>
      <c r="F247" s="6">
        <v>3.0449399999999999E-4</v>
      </c>
      <c r="G247" s="6" t="s">
        <v>265</v>
      </c>
      <c r="H247" s="6" t="s">
        <v>263</v>
      </c>
      <c r="I247" s="6" t="s">
        <v>233</v>
      </c>
      <c r="J247" s="6" t="s">
        <v>234</v>
      </c>
      <c r="K247" s="6">
        <v>3</v>
      </c>
    </row>
    <row r="248" spans="1:11" x14ac:dyDescent="0.25">
      <c r="A248" s="6" t="s">
        <v>2126</v>
      </c>
      <c r="B248" s="5" t="s">
        <v>2127</v>
      </c>
      <c r="C248" s="5" t="s">
        <v>2127</v>
      </c>
      <c r="D248" s="6" t="s">
        <v>2128</v>
      </c>
      <c r="E248" s="6" t="s">
        <v>263</v>
      </c>
      <c r="F248" s="6">
        <v>3.0449399999999999E-4</v>
      </c>
      <c r="G248" s="6" t="s">
        <v>265</v>
      </c>
      <c r="H248" s="6" t="s">
        <v>263</v>
      </c>
      <c r="I248" s="6" t="s">
        <v>233</v>
      </c>
      <c r="J248" s="6" t="s">
        <v>234</v>
      </c>
      <c r="K248" s="6">
        <v>3</v>
      </c>
    </row>
    <row r="249" spans="1:11" x14ac:dyDescent="0.25">
      <c r="A249" s="6" t="s">
        <v>2129</v>
      </c>
      <c r="B249" s="5" t="s">
        <v>2130</v>
      </c>
      <c r="C249" s="5" t="s">
        <v>2130</v>
      </c>
      <c r="D249" s="6" t="s">
        <v>2122</v>
      </c>
      <c r="E249" s="6" t="s">
        <v>248</v>
      </c>
      <c r="F249" s="6">
        <v>4.3868599999999998E-4</v>
      </c>
      <c r="G249" s="6" t="s">
        <v>250</v>
      </c>
      <c r="H249" s="6" t="s">
        <v>248</v>
      </c>
      <c r="I249" s="6" t="s">
        <v>233</v>
      </c>
      <c r="J249" s="6" t="s">
        <v>234</v>
      </c>
      <c r="K249" s="6">
        <v>3</v>
      </c>
    </row>
    <row r="250" spans="1:11" x14ac:dyDescent="0.25">
      <c r="A250" s="6" t="s">
        <v>2131</v>
      </c>
      <c r="B250" s="5" t="s">
        <v>2132</v>
      </c>
      <c r="C250" s="5" t="s">
        <v>2132</v>
      </c>
      <c r="D250" s="6" t="s">
        <v>1667</v>
      </c>
      <c r="E250" s="6" t="s">
        <v>248</v>
      </c>
      <c r="F250" s="6">
        <v>4.3868599999999998E-4</v>
      </c>
      <c r="G250" s="6" t="s">
        <v>250</v>
      </c>
      <c r="H250" s="6" t="s">
        <v>248</v>
      </c>
      <c r="I250" s="6" t="s">
        <v>233</v>
      </c>
      <c r="J250" s="6" t="s">
        <v>234</v>
      </c>
      <c r="K250" s="6">
        <v>3</v>
      </c>
    </row>
    <row r="251" spans="1:11" x14ac:dyDescent="0.25">
      <c r="A251" s="6" t="s">
        <v>2133</v>
      </c>
      <c r="B251" s="5" t="s">
        <v>2134</v>
      </c>
      <c r="C251" s="5" t="s">
        <v>2134</v>
      </c>
      <c r="D251" s="6" t="s">
        <v>2135</v>
      </c>
      <c r="E251" s="6" t="s">
        <v>347</v>
      </c>
      <c r="F251" s="6">
        <v>2.1065654610590999E-4</v>
      </c>
      <c r="G251" s="6" t="s">
        <v>346</v>
      </c>
      <c r="H251" s="6" t="s">
        <v>347</v>
      </c>
      <c r="I251" s="6" t="s">
        <v>233</v>
      </c>
      <c r="J251" s="6" t="s">
        <v>234</v>
      </c>
      <c r="K251" s="6">
        <v>3</v>
      </c>
    </row>
    <row r="252" spans="1:11" x14ac:dyDescent="0.25">
      <c r="A252" s="6" t="s">
        <v>2136</v>
      </c>
      <c r="B252" s="5" t="s">
        <v>2137</v>
      </c>
      <c r="C252" s="5" t="s">
        <v>2137</v>
      </c>
      <c r="D252" s="6" t="s">
        <v>2138</v>
      </c>
      <c r="E252" s="6" t="s">
        <v>248</v>
      </c>
      <c r="F252" s="6">
        <v>4.3868590254058401E-4</v>
      </c>
      <c r="G252" s="6" t="s">
        <v>250</v>
      </c>
      <c r="H252" s="6" t="s">
        <v>248</v>
      </c>
      <c r="I252" s="6" t="s">
        <v>233</v>
      </c>
      <c r="J252" s="6" t="s">
        <v>234</v>
      </c>
      <c r="K252" s="6">
        <v>3</v>
      </c>
    </row>
    <row r="253" spans="1:11" x14ac:dyDescent="0.25">
      <c r="A253" s="6" t="s">
        <v>2139</v>
      </c>
      <c r="B253" s="5" t="s">
        <v>2140</v>
      </c>
      <c r="C253" s="5" t="s">
        <v>2140</v>
      </c>
      <c r="D253" s="6" t="s">
        <v>2141</v>
      </c>
      <c r="E253" s="6" t="s">
        <v>269</v>
      </c>
      <c r="F253" s="6">
        <v>5.2359699999999999E-4</v>
      </c>
      <c r="G253" s="6" t="s">
        <v>271</v>
      </c>
      <c r="H253" s="6" t="s">
        <v>269</v>
      </c>
      <c r="I253" s="6" t="s">
        <v>233</v>
      </c>
      <c r="J253" s="6" t="s">
        <v>234</v>
      </c>
      <c r="K253" s="6">
        <v>3</v>
      </c>
    </row>
    <row r="254" spans="1:11" x14ac:dyDescent="0.25">
      <c r="A254" s="6" t="s">
        <v>2142</v>
      </c>
      <c r="B254" s="5" t="s">
        <v>460</v>
      </c>
      <c r="C254" s="5" t="s">
        <v>460</v>
      </c>
      <c r="D254" s="6" t="s">
        <v>2143</v>
      </c>
      <c r="E254" s="6" t="s">
        <v>245</v>
      </c>
      <c r="F254" s="6">
        <v>1.0475809999999999E-3</v>
      </c>
      <c r="G254" s="6" t="s">
        <v>247</v>
      </c>
      <c r="H254" s="6" t="s">
        <v>245</v>
      </c>
      <c r="I254" s="6" t="s">
        <v>233</v>
      </c>
      <c r="J254" s="6" t="s">
        <v>234</v>
      </c>
      <c r="K254" s="6">
        <v>3</v>
      </c>
    </row>
    <row r="255" spans="1:11" x14ac:dyDescent="0.25">
      <c r="A255" s="6" t="s">
        <v>2144</v>
      </c>
      <c r="B255" s="5" t="s">
        <v>1093</v>
      </c>
      <c r="C255" s="5" t="s">
        <v>1093</v>
      </c>
      <c r="D255" s="6" t="s">
        <v>2145</v>
      </c>
      <c r="E255" s="6" t="s">
        <v>245</v>
      </c>
      <c r="F255" s="6">
        <v>1.0475809999999999E-3</v>
      </c>
      <c r="G255" s="6" t="s">
        <v>247</v>
      </c>
      <c r="H255" s="6" t="s">
        <v>245</v>
      </c>
      <c r="I255" s="6" t="s">
        <v>233</v>
      </c>
      <c r="J255" s="6" t="s">
        <v>234</v>
      </c>
      <c r="K255" s="6">
        <v>3</v>
      </c>
    </row>
    <row r="256" spans="1:11" x14ac:dyDescent="0.25">
      <c r="A256" s="6" t="s">
        <v>2146</v>
      </c>
      <c r="B256" s="5" t="s">
        <v>2147</v>
      </c>
      <c r="C256" s="5" t="s">
        <v>2147</v>
      </c>
      <c r="D256" s="6" t="s">
        <v>2148</v>
      </c>
      <c r="E256" s="6" t="s">
        <v>414</v>
      </c>
      <c r="F256" s="6">
        <v>3.1322198387294099E-4</v>
      </c>
      <c r="G256" s="6" t="s">
        <v>413</v>
      </c>
      <c r="H256" s="6" t="s">
        <v>414</v>
      </c>
      <c r="I256" s="6" t="s">
        <v>233</v>
      </c>
      <c r="J256" s="6" t="s">
        <v>234</v>
      </c>
      <c r="K256" s="6">
        <v>3</v>
      </c>
    </row>
    <row r="257" spans="1:11" x14ac:dyDescent="0.25">
      <c r="A257" s="6" t="s">
        <v>2149</v>
      </c>
      <c r="B257" s="5" t="s">
        <v>2150</v>
      </c>
      <c r="C257" s="5" t="s">
        <v>2150</v>
      </c>
      <c r="D257" s="6" t="s">
        <v>2151</v>
      </c>
      <c r="E257" s="6" t="s">
        <v>269</v>
      </c>
      <c r="F257" s="6">
        <v>5.2359699999999999E-4</v>
      </c>
      <c r="G257" s="6" t="s">
        <v>271</v>
      </c>
      <c r="H257" s="6" t="s">
        <v>269</v>
      </c>
      <c r="I257" s="6" t="s">
        <v>233</v>
      </c>
      <c r="J257" s="6" t="s">
        <v>234</v>
      </c>
      <c r="K257" s="6">
        <v>3</v>
      </c>
    </row>
    <row r="258" spans="1:11" x14ac:dyDescent="0.25">
      <c r="A258" s="6" t="s">
        <v>2152</v>
      </c>
      <c r="B258" s="5" t="s">
        <v>2153</v>
      </c>
      <c r="C258" s="5" t="s">
        <v>2153</v>
      </c>
      <c r="D258" s="6" t="s">
        <v>2154</v>
      </c>
      <c r="E258" s="6" t="s">
        <v>278</v>
      </c>
      <c r="F258" s="6">
        <v>6.2829699999999999E-4</v>
      </c>
      <c r="G258" s="6" t="s">
        <v>280</v>
      </c>
      <c r="H258" s="6" t="s">
        <v>278</v>
      </c>
      <c r="I258" s="6" t="s">
        <v>233</v>
      </c>
      <c r="J258" s="6" t="s">
        <v>234</v>
      </c>
      <c r="K258" s="6">
        <v>3</v>
      </c>
    </row>
    <row r="259" spans="1:11" x14ac:dyDescent="0.25">
      <c r="A259" s="6" t="s">
        <v>2155</v>
      </c>
      <c r="B259" s="5" t="s">
        <v>2156</v>
      </c>
      <c r="C259" s="5" t="s">
        <v>2156</v>
      </c>
      <c r="D259" s="6" t="s">
        <v>2157</v>
      </c>
      <c r="E259" s="6" t="s">
        <v>260</v>
      </c>
      <c r="F259" s="6">
        <v>8.4137000000000003E-4</v>
      </c>
      <c r="G259" s="6" t="s">
        <v>262</v>
      </c>
      <c r="H259" s="6" t="s">
        <v>260</v>
      </c>
      <c r="I259" s="6" t="s">
        <v>233</v>
      </c>
      <c r="J259" s="6" t="s">
        <v>234</v>
      </c>
      <c r="K259" s="6">
        <v>3</v>
      </c>
    </row>
    <row r="260" spans="1:11" x14ac:dyDescent="0.25">
      <c r="A260" s="6" t="s">
        <v>2158</v>
      </c>
      <c r="B260" s="5" t="s">
        <v>2159</v>
      </c>
      <c r="C260" s="5" t="s">
        <v>2159</v>
      </c>
      <c r="D260" s="6" t="s">
        <v>2160</v>
      </c>
      <c r="E260" s="6" t="s">
        <v>248</v>
      </c>
      <c r="F260" s="6">
        <v>4.3868590254058401E-4</v>
      </c>
      <c r="G260" s="6" t="s">
        <v>250</v>
      </c>
      <c r="H260" s="6" t="s">
        <v>248</v>
      </c>
      <c r="I260" s="6" t="s">
        <v>233</v>
      </c>
      <c r="J260" s="6" t="s">
        <v>234</v>
      </c>
      <c r="K260" s="6">
        <v>3</v>
      </c>
    </row>
    <row r="261" spans="1:11" x14ac:dyDescent="0.25">
      <c r="A261" s="6" t="s">
        <v>2161</v>
      </c>
      <c r="B261" s="5" t="s">
        <v>366</v>
      </c>
      <c r="C261" s="5" t="s">
        <v>366</v>
      </c>
      <c r="D261" s="6" t="s">
        <v>2162</v>
      </c>
      <c r="E261" s="6" t="s">
        <v>269</v>
      </c>
      <c r="F261" s="6">
        <v>5.2359699999999999E-4</v>
      </c>
      <c r="G261" s="6" t="s">
        <v>271</v>
      </c>
      <c r="H261" s="6" t="s">
        <v>269</v>
      </c>
      <c r="I261" s="6" t="s">
        <v>233</v>
      </c>
      <c r="J261" s="6" t="s">
        <v>234</v>
      </c>
      <c r="K261" s="6">
        <v>3</v>
      </c>
    </row>
    <row r="262" spans="1:11" x14ac:dyDescent="0.25">
      <c r="A262" s="6" t="s">
        <v>2163</v>
      </c>
      <c r="B262" s="5" t="s">
        <v>2164</v>
      </c>
      <c r="C262" s="5" t="s">
        <v>2164</v>
      </c>
      <c r="D262" s="6" t="s">
        <v>2165</v>
      </c>
      <c r="E262" s="6" t="s">
        <v>293</v>
      </c>
      <c r="F262" s="6">
        <v>4.8170899999999998E-4</v>
      </c>
      <c r="G262" s="6" t="s">
        <v>295</v>
      </c>
      <c r="H262" s="6" t="s">
        <v>293</v>
      </c>
      <c r="I262" s="6" t="s">
        <v>233</v>
      </c>
      <c r="J262" s="6" t="s">
        <v>234</v>
      </c>
      <c r="K262" s="6">
        <v>3</v>
      </c>
    </row>
    <row r="263" spans="1:11" x14ac:dyDescent="0.25">
      <c r="A263" s="6" t="s">
        <v>2166</v>
      </c>
      <c r="B263" s="5" t="s">
        <v>2167</v>
      </c>
      <c r="C263" s="5" t="s">
        <v>2167</v>
      </c>
      <c r="D263" s="6" t="s">
        <v>2168</v>
      </c>
      <c r="E263" s="6" t="s">
        <v>347</v>
      </c>
      <c r="F263" s="6">
        <v>2.10657E-4</v>
      </c>
      <c r="G263" s="6" t="s">
        <v>346</v>
      </c>
      <c r="H263" s="6" t="s">
        <v>347</v>
      </c>
      <c r="I263" s="6" t="s">
        <v>233</v>
      </c>
      <c r="J263" s="6" t="s">
        <v>234</v>
      </c>
      <c r="K263" s="6">
        <v>3</v>
      </c>
    </row>
    <row r="264" spans="1:11" x14ac:dyDescent="0.25">
      <c r="A264" s="6" t="s">
        <v>2169</v>
      </c>
      <c r="B264" s="5" t="s">
        <v>401</v>
      </c>
      <c r="C264" s="5" t="s">
        <v>401</v>
      </c>
      <c r="D264" s="6" t="s">
        <v>2170</v>
      </c>
      <c r="E264" s="6" t="s">
        <v>347</v>
      </c>
      <c r="F264" s="6">
        <v>2.1065654610590999E-4</v>
      </c>
      <c r="G264" s="6" t="s">
        <v>346</v>
      </c>
      <c r="H264" s="6" t="s">
        <v>347</v>
      </c>
      <c r="I264" s="6" t="s">
        <v>233</v>
      </c>
      <c r="J264" s="6" t="s">
        <v>234</v>
      </c>
      <c r="K264" s="6">
        <v>3</v>
      </c>
    </row>
    <row r="265" spans="1:11" x14ac:dyDescent="0.25">
      <c r="A265" s="6" t="s">
        <v>2171</v>
      </c>
      <c r="B265" s="5" t="s">
        <v>2172</v>
      </c>
      <c r="C265" s="5" t="s">
        <v>2172</v>
      </c>
      <c r="D265" s="6" t="s">
        <v>2173</v>
      </c>
      <c r="E265" s="6" t="s">
        <v>254</v>
      </c>
      <c r="F265" s="6">
        <v>8.1312799999999998E-4</v>
      </c>
      <c r="G265" s="6" t="s">
        <v>256</v>
      </c>
      <c r="H265" s="6" t="s">
        <v>254</v>
      </c>
      <c r="I265" s="6" t="s">
        <v>233</v>
      </c>
      <c r="J265" s="6" t="s">
        <v>234</v>
      </c>
      <c r="K265" s="6">
        <v>3</v>
      </c>
    </row>
    <row r="266" spans="1:11" x14ac:dyDescent="0.25">
      <c r="A266" s="6" t="s">
        <v>2174</v>
      </c>
      <c r="B266" s="5" t="s">
        <v>402</v>
      </c>
      <c r="C266" s="5" t="s">
        <v>402</v>
      </c>
      <c r="D266" s="6" t="s">
        <v>1631</v>
      </c>
      <c r="E266" s="6" t="s">
        <v>245</v>
      </c>
      <c r="F266" s="6">
        <v>1.0475809999999999E-3</v>
      </c>
      <c r="G266" s="6" t="s">
        <v>247</v>
      </c>
      <c r="H266" s="6" t="s">
        <v>245</v>
      </c>
      <c r="I266" s="6" t="s">
        <v>233</v>
      </c>
      <c r="J266" s="6" t="s">
        <v>234</v>
      </c>
      <c r="K266" s="6">
        <v>3</v>
      </c>
    </row>
    <row r="267" spans="1:11" x14ac:dyDescent="0.25">
      <c r="A267" s="6" t="s">
        <v>2175</v>
      </c>
      <c r="B267" s="5" t="s">
        <v>2176</v>
      </c>
      <c r="C267" s="5" t="s">
        <v>2176</v>
      </c>
      <c r="D267" s="6" t="s">
        <v>2177</v>
      </c>
      <c r="E267" s="6" t="s">
        <v>2176</v>
      </c>
      <c r="F267" s="6">
        <v>1.3494000000000001E-4</v>
      </c>
      <c r="G267" s="6" t="s">
        <v>726</v>
      </c>
      <c r="H267" s="6" t="s">
        <v>727</v>
      </c>
      <c r="I267" s="6" t="s">
        <v>233</v>
      </c>
      <c r="J267" s="6" t="s">
        <v>234</v>
      </c>
      <c r="K267" s="6">
        <v>3</v>
      </c>
    </row>
    <row r="268" spans="1:11" x14ac:dyDescent="0.25">
      <c r="A268" s="6" t="s">
        <v>2178</v>
      </c>
      <c r="B268" s="5" t="s">
        <v>403</v>
      </c>
      <c r="C268" s="5" t="s">
        <v>403</v>
      </c>
      <c r="D268" s="6" t="s">
        <v>1905</v>
      </c>
      <c r="E268" s="6" t="s">
        <v>248</v>
      </c>
      <c r="F268" s="6">
        <v>4.3868599999999998E-4</v>
      </c>
      <c r="G268" s="6" t="s">
        <v>250</v>
      </c>
      <c r="H268" s="6" t="s">
        <v>248</v>
      </c>
      <c r="I268" s="6" t="s">
        <v>233</v>
      </c>
      <c r="J268" s="6" t="s">
        <v>234</v>
      </c>
      <c r="K268" s="6">
        <v>3</v>
      </c>
    </row>
    <row r="269" spans="1:11" x14ac:dyDescent="0.25">
      <c r="A269" s="6" t="s">
        <v>2179</v>
      </c>
      <c r="B269" s="5" t="s">
        <v>2180</v>
      </c>
      <c r="C269" s="5" t="s">
        <v>2180</v>
      </c>
      <c r="D269" s="6" t="s">
        <v>2181</v>
      </c>
      <c r="E269" s="6" t="s">
        <v>260</v>
      </c>
      <c r="F269" s="6">
        <v>8.4137000000000003E-4</v>
      </c>
      <c r="G269" s="6" t="s">
        <v>262</v>
      </c>
      <c r="H269" s="6" t="s">
        <v>260</v>
      </c>
      <c r="I269" s="6" t="s">
        <v>233</v>
      </c>
      <c r="J269" s="6" t="s">
        <v>234</v>
      </c>
      <c r="K269" s="6">
        <v>3</v>
      </c>
    </row>
    <row r="270" spans="1:11" x14ac:dyDescent="0.25">
      <c r="A270" s="6" t="s">
        <v>2182</v>
      </c>
      <c r="B270" s="5" t="s">
        <v>2183</v>
      </c>
      <c r="C270" s="5" t="s">
        <v>2183</v>
      </c>
      <c r="D270" s="6" t="s">
        <v>2170</v>
      </c>
      <c r="E270" s="6" t="s">
        <v>347</v>
      </c>
      <c r="F270" s="6">
        <v>2.1065654610590999E-4</v>
      </c>
      <c r="G270" s="6" t="s">
        <v>346</v>
      </c>
      <c r="H270" s="6" t="s">
        <v>347</v>
      </c>
      <c r="I270" s="6" t="s">
        <v>233</v>
      </c>
      <c r="J270" s="6" t="s">
        <v>234</v>
      </c>
      <c r="K270" s="6">
        <v>3</v>
      </c>
    </row>
    <row r="271" spans="1:11" x14ac:dyDescent="0.25">
      <c r="A271" s="6" t="s">
        <v>2184</v>
      </c>
      <c r="B271" s="5" t="s">
        <v>2185</v>
      </c>
      <c r="C271" s="5" t="s">
        <v>2185</v>
      </c>
      <c r="D271" s="6" t="s">
        <v>2186</v>
      </c>
      <c r="E271" s="6" t="s">
        <v>269</v>
      </c>
      <c r="F271" s="6">
        <v>5.2359699999999999E-4</v>
      </c>
      <c r="G271" s="6" t="s">
        <v>271</v>
      </c>
      <c r="H271" s="6" t="s">
        <v>269</v>
      </c>
      <c r="I271" s="6" t="s">
        <v>233</v>
      </c>
      <c r="J271" s="6" t="s">
        <v>234</v>
      </c>
      <c r="K271" s="6">
        <v>3</v>
      </c>
    </row>
    <row r="272" spans="1:11" x14ac:dyDescent="0.25">
      <c r="A272" s="6" t="s">
        <v>2187</v>
      </c>
      <c r="B272" s="5" t="s">
        <v>2188</v>
      </c>
      <c r="C272" s="5" t="s">
        <v>2188</v>
      </c>
      <c r="D272" s="6" t="s">
        <v>1766</v>
      </c>
      <c r="E272" s="6" t="s">
        <v>347</v>
      </c>
      <c r="F272" s="6">
        <v>2.10657E-4</v>
      </c>
      <c r="G272" s="6" t="s">
        <v>346</v>
      </c>
      <c r="H272" s="6" t="s">
        <v>347</v>
      </c>
      <c r="I272" s="6" t="s">
        <v>233</v>
      </c>
      <c r="J272" s="6" t="s">
        <v>234</v>
      </c>
      <c r="K272" s="6">
        <v>3</v>
      </c>
    </row>
    <row r="273" spans="1:11" x14ac:dyDescent="0.25">
      <c r="A273" s="6" t="s">
        <v>2189</v>
      </c>
      <c r="B273" s="5" t="s">
        <v>373</v>
      </c>
      <c r="C273" s="5" t="s">
        <v>373</v>
      </c>
      <c r="D273" s="6" t="s">
        <v>2190</v>
      </c>
      <c r="E273" s="6" t="s">
        <v>314</v>
      </c>
      <c r="F273" s="6">
        <v>1.75E-3</v>
      </c>
      <c r="G273" s="6" t="s">
        <v>315</v>
      </c>
      <c r="H273" s="6" t="s">
        <v>314</v>
      </c>
      <c r="I273" s="6" t="s">
        <v>233</v>
      </c>
      <c r="J273" s="6" t="s">
        <v>234</v>
      </c>
      <c r="K273" s="6">
        <v>3</v>
      </c>
    </row>
    <row r="274" spans="1:11" x14ac:dyDescent="0.25">
      <c r="A274" s="6" t="s">
        <v>2191</v>
      </c>
      <c r="B274" s="5" t="s">
        <v>2192</v>
      </c>
      <c r="C274" s="5" t="s">
        <v>2192</v>
      </c>
      <c r="D274" s="6" t="s">
        <v>2193</v>
      </c>
      <c r="E274" s="6" t="s">
        <v>269</v>
      </c>
      <c r="F274" s="6">
        <v>5.2359699999999999E-4</v>
      </c>
      <c r="G274" s="6" t="s">
        <v>271</v>
      </c>
      <c r="H274" s="6" t="s">
        <v>269</v>
      </c>
      <c r="I274" s="6" t="s">
        <v>233</v>
      </c>
      <c r="J274" s="6" t="s">
        <v>234</v>
      </c>
      <c r="K274" s="6">
        <v>3</v>
      </c>
    </row>
    <row r="275" spans="1:11" x14ac:dyDescent="0.25">
      <c r="A275" s="6" t="s">
        <v>2194</v>
      </c>
      <c r="B275" s="5" t="s">
        <v>440</v>
      </c>
      <c r="C275" s="5" t="s">
        <v>440</v>
      </c>
      <c r="D275" s="6" t="s">
        <v>1965</v>
      </c>
      <c r="E275" s="6" t="s">
        <v>347</v>
      </c>
      <c r="F275" s="6">
        <v>2.1065654610590999E-4</v>
      </c>
      <c r="G275" s="6" t="s">
        <v>346</v>
      </c>
      <c r="H275" s="6" t="s">
        <v>347</v>
      </c>
      <c r="I275" s="6" t="s">
        <v>233</v>
      </c>
      <c r="J275" s="6" t="s">
        <v>234</v>
      </c>
      <c r="K275" s="6">
        <v>3</v>
      </c>
    </row>
    <row r="276" spans="1:11" x14ac:dyDescent="0.25">
      <c r="A276" s="6" t="s">
        <v>2195</v>
      </c>
      <c r="B276" s="5" t="s">
        <v>2196</v>
      </c>
      <c r="C276" s="5" t="s">
        <v>2196</v>
      </c>
      <c r="D276" s="6" t="s">
        <v>2170</v>
      </c>
      <c r="E276" s="6" t="s">
        <v>347</v>
      </c>
      <c r="F276" s="6">
        <v>2.1065654610590999E-4</v>
      </c>
      <c r="G276" s="6" t="s">
        <v>346</v>
      </c>
      <c r="H276" s="6" t="s">
        <v>347</v>
      </c>
      <c r="I276" s="6" t="s">
        <v>233</v>
      </c>
      <c r="J276" s="6" t="s">
        <v>234</v>
      </c>
      <c r="K276" s="6">
        <v>3</v>
      </c>
    </row>
    <row r="277" spans="1:11" x14ac:dyDescent="0.25">
      <c r="A277" s="6" t="s">
        <v>2197</v>
      </c>
      <c r="B277" s="5" t="s">
        <v>2198</v>
      </c>
      <c r="C277" s="5" t="s">
        <v>2198</v>
      </c>
      <c r="D277" s="6" t="s">
        <v>2199</v>
      </c>
      <c r="E277" s="6" t="s">
        <v>245</v>
      </c>
      <c r="F277" s="6">
        <v>1.0475809999999999E-3</v>
      </c>
      <c r="G277" s="6" t="s">
        <v>247</v>
      </c>
      <c r="H277" s="6" t="s">
        <v>245</v>
      </c>
      <c r="I277" s="6" t="s">
        <v>233</v>
      </c>
      <c r="J277" s="6" t="s">
        <v>234</v>
      </c>
      <c r="K277" s="6">
        <v>3</v>
      </c>
    </row>
    <row r="278" spans="1:11" x14ac:dyDescent="0.25">
      <c r="A278" s="6" t="s">
        <v>2200</v>
      </c>
      <c r="B278" s="5" t="s">
        <v>2201</v>
      </c>
      <c r="C278" s="5" t="s">
        <v>2201</v>
      </c>
      <c r="D278" s="6" t="s">
        <v>2202</v>
      </c>
      <c r="E278" s="6" t="s">
        <v>248</v>
      </c>
      <c r="F278" s="6">
        <v>4.3868599999999998E-4</v>
      </c>
      <c r="G278" s="6" t="s">
        <v>250</v>
      </c>
      <c r="H278" s="6" t="s">
        <v>248</v>
      </c>
      <c r="I278" s="6" t="s">
        <v>233</v>
      </c>
      <c r="J278" s="6" t="s">
        <v>234</v>
      </c>
      <c r="K278" s="6">
        <v>3</v>
      </c>
    </row>
    <row r="279" spans="1:11" x14ac:dyDescent="0.25">
      <c r="A279" s="6" t="s">
        <v>2203</v>
      </c>
      <c r="B279" s="5" t="s">
        <v>459</v>
      </c>
      <c r="C279" s="5" t="s">
        <v>459</v>
      </c>
      <c r="D279" s="6" t="s">
        <v>2076</v>
      </c>
      <c r="E279" s="6" t="s">
        <v>248</v>
      </c>
      <c r="F279" s="6">
        <v>4.3868599999999998E-4</v>
      </c>
      <c r="G279" s="6" t="s">
        <v>250</v>
      </c>
      <c r="H279" s="6" t="s">
        <v>248</v>
      </c>
      <c r="I279" s="6" t="s">
        <v>233</v>
      </c>
      <c r="J279" s="6" t="s">
        <v>234</v>
      </c>
      <c r="K279" s="6">
        <v>3</v>
      </c>
    </row>
    <row r="280" spans="1:11" x14ac:dyDescent="0.25">
      <c r="A280" s="6" t="s">
        <v>2204</v>
      </c>
      <c r="B280" s="5" t="s">
        <v>2205</v>
      </c>
      <c r="C280" s="5" t="s">
        <v>2205</v>
      </c>
      <c r="D280" s="6" t="s">
        <v>2206</v>
      </c>
      <c r="E280" s="6" t="s">
        <v>347</v>
      </c>
      <c r="F280" s="6">
        <v>2.1065654610590999E-4</v>
      </c>
      <c r="G280" s="6" t="s">
        <v>346</v>
      </c>
      <c r="H280" s="6" t="s">
        <v>347</v>
      </c>
      <c r="I280" s="6" t="s">
        <v>233</v>
      </c>
      <c r="J280" s="6" t="s">
        <v>234</v>
      </c>
      <c r="K280" s="6">
        <v>3</v>
      </c>
    </row>
    <row r="281" spans="1:11" x14ac:dyDescent="0.25">
      <c r="A281" s="6" t="s">
        <v>2207</v>
      </c>
      <c r="B281" s="5" t="s">
        <v>2208</v>
      </c>
      <c r="C281" s="5" t="s">
        <v>2208</v>
      </c>
      <c r="D281" s="6" t="s">
        <v>2209</v>
      </c>
      <c r="E281" s="6" t="s">
        <v>248</v>
      </c>
      <c r="F281" s="6">
        <v>4.3868599999999998E-4</v>
      </c>
      <c r="G281" s="6" t="s">
        <v>250</v>
      </c>
      <c r="H281" s="6" t="s">
        <v>248</v>
      </c>
      <c r="I281" s="6" t="s">
        <v>233</v>
      </c>
      <c r="J281" s="6" t="s">
        <v>234</v>
      </c>
      <c r="K281" s="6">
        <v>3</v>
      </c>
    </row>
    <row r="282" spans="1:11" x14ac:dyDescent="0.25">
      <c r="A282" s="6" t="s">
        <v>2210</v>
      </c>
      <c r="B282" s="5" t="s">
        <v>2211</v>
      </c>
      <c r="C282" s="5" t="s">
        <v>2211</v>
      </c>
      <c r="D282" s="6" t="s">
        <v>2212</v>
      </c>
      <c r="E282" s="6" t="s">
        <v>254</v>
      </c>
      <c r="F282" s="6">
        <v>8.1312799999999998E-4</v>
      </c>
      <c r="G282" s="6" t="s">
        <v>256</v>
      </c>
      <c r="H282" s="6" t="s">
        <v>254</v>
      </c>
      <c r="I282" s="6" t="s">
        <v>233</v>
      </c>
      <c r="J282" s="6" t="s">
        <v>234</v>
      </c>
      <c r="K282" s="6">
        <v>3</v>
      </c>
    </row>
    <row r="283" spans="1:11" x14ac:dyDescent="0.25">
      <c r="A283" s="6" t="s">
        <v>2213</v>
      </c>
      <c r="B283" s="5" t="s">
        <v>2214</v>
      </c>
      <c r="C283" s="5" t="s">
        <v>2214</v>
      </c>
      <c r="D283" s="6" t="s">
        <v>2215</v>
      </c>
      <c r="E283" s="6" t="s">
        <v>254</v>
      </c>
      <c r="F283" s="6">
        <v>8.1312799999999998E-4</v>
      </c>
      <c r="G283" s="6" t="s">
        <v>256</v>
      </c>
      <c r="H283" s="6" t="s">
        <v>254</v>
      </c>
      <c r="I283" s="6" t="s">
        <v>233</v>
      </c>
      <c r="J283" s="6" t="s">
        <v>234</v>
      </c>
      <c r="K283" s="6">
        <v>3</v>
      </c>
    </row>
    <row r="284" spans="1:11" x14ac:dyDescent="0.25">
      <c r="A284" s="6" t="s">
        <v>2216</v>
      </c>
      <c r="B284" s="5" t="s">
        <v>2217</v>
      </c>
      <c r="C284" s="5" t="s">
        <v>2217</v>
      </c>
      <c r="D284" s="6" t="s">
        <v>2218</v>
      </c>
      <c r="E284" s="6" t="s">
        <v>347</v>
      </c>
      <c r="F284" s="6">
        <v>2.1065654610590999E-4</v>
      </c>
      <c r="G284" s="6" t="s">
        <v>346</v>
      </c>
      <c r="H284" s="6" t="s">
        <v>347</v>
      </c>
      <c r="I284" s="6" t="s">
        <v>233</v>
      </c>
      <c r="J284" s="6" t="s">
        <v>234</v>
      </c>
      <c r="K284" s="6">
        <v>3</v>
      </c>
    </row>
    <row r="285" spans="1:11" x14ac:dyDescent="0.25">
      <c r="A285" s="6" t="s">
        <v>2219</v>
      </c>
      <c r="B285" s="5" t="s">
        <v>2220</v>
      </c>
      <c r="C285" s="5" t="s">
        <v>2220</v>
      </c>
      <c r="D285" s="6" t="s">
        <v>2221</v>
      </c>
      <c r="E285" s="6" t="s">
        <v>2222</v>
      </c>
      <c r="F285" s="6">
        <v>1.6713599999999999E-4</v>
      </c>
      <c r="G285" s="6" t="s">
        <v>407</v>
      </c>
      <c r="H285" s="6" t="s">
        <v>408</v>
      </c>
      <c r="I285" s="6" t="s">
        <v>233</v>
      </c>
      <c r="J285" s="6" t="s">
        <v>234</v>
      </c>
      <c r="K285" s="6">
        <v>3</v>
      </c>
    </row>
    <row r="286" spans="1:11" x14ac:dyDescent="0.25">
      <c r="A286" s="6" t="s">
        <v>2223</v>
      </c>
      <c r="B286" s="5" t="s">
        <v>442</v>
      </c>
      <c r="C286" s="5" t="s">
        <v>442</v>
      </c>
      <c r="D286" s="6" t="s">
        <v>2224</v>
      </c>
      <c r="E286" s="6" t="s">
        <v>347</v>
      </c>
      <c r="F286" s="6">
        <v>2.1065654610590999E-4</v>
      </c>
      <c r="G286" s="6" t="s">
        <v>346</v>
      </c>
      <c r="H286" s="6" t="s">
        <v>347</v>
      </c>
      <c r="I286" s="6" t="s">
        <v>233</v>
      </c>
      <c r="J286" s="6" t="s">
        <v>234</v>
      </c>
      <c r="K286" s="6">
        <v>3</v>
      </c>
    </row>
    <row r="287" spans="1:11" x14ac:dyDescent="0.25">
      <c r="A287" s="6" t="s">
        <v>2225</v>
      </c>
      <c r="B287" s="5" t="s">
        <v>425</v>
      </c>
      <c r="C287" s="5" t="s">
        <v>425</v>
      </c>
      <c r="D287" s="6" t="s">
        <v>1734</v>
      </c>
      <c r="E287" s="6" t="s">
        <v>414</v>
      </c>
      <c r="F287" s="6">
        <v>3.1322198387294099E-4</v>
      </c>
      <c r="G287" s="6" t="s">
        <v>413</v>
      </c>
      <c r="H287" s="6" t="s">
        <v>414</v>
      </c>
      <c r="I287" s="6" t="s">
        <v>233</v>
      </c>
      <c r="J287" s="6" t="s">
        <v>234</v>
      </c>
      <c r="K287" s="6">
        <v>3</v>
      </c>
    </row>
    <row r="288" spans="1:11" ht="30" x14ac:dyDescent="0.25">
      <c r="A288" s="6" t="s">
        <v>2226</v>
      </c>
      <c r="B288" s="5" t="s">
        <v>2227</v>
      </c>
      <c r="C288" s="5" t="s">
        <v>2227</v>
      </c>
      <c r="D288" s="6" t="s">
        <v>2228</v>
      </c>
      <c r="E288" s="6" t="s">
        <v>257</v>
      </c>
      <c r="F288" s="6">
        <v>6.2829699999999999E-4</v>
      </c>
      <c r="G288" s="6" t="s">
        <v>259</v>
      </c>
      <c r="H288" s="6" t="s">
        <v>257</v>
      </c>
      <c r="I288" s="6" t="s">
        <v>233</v>
      </c>
      <c r="J288" s="6" t="s">
        <v>234</v>
      </c>
      <c r="K288" s="6">
        <v>3</v>
      </c>
    </row>
    <row r="289" spans="1:11" x14ac:dyDescent="0.25">
      <c r="A289" s="6" t="s">
        <v>2229</v>
      </c>
      <c r="B289" s="5" t="s">
        <v>2230</v>
      </c>
      <c r="C289" s="5" t="s">
        <v>2230</v>
      </c>
      <c r="D289" s="6" t="s">
        <v>1734</v>
      </c>
      <c r="E289" s="6" t="s">
        <v>414</v>
      </c>
      <c r="F289" s="6">
        <v>3.1322198387294099E-4</v>
      </c>
      <c r="G289" s="6" t="s">
        <v>413</v>
      </c>
      <c r="H289" s="6" t="s">
        <v>414</v>
      </c>
      <c r="I289" s="6" t="s">
        <v>233</v>
      </c>
      <c r="J289" s="6" t="s">
        <v>234</v>
      </c>
      <c r="K289" s="6">
        <v>3</v>
      </c>
    </row>
    <row r="290" spans="1:11" x14ac:dyDescent="0.25">
      <c r="A290" s="6" t="s">
        <v>2231</v>
      </c>
      <c r="B290" s="5" t="s">
        <v>2232</v>
      </c>
      <c r="C290" s="5" t="s">
        <v>2232</v>
      </c>
      <c r="D290" s="6" t="s">
        <v>2233</v>
      </c>
      <c r="E290" s="6" t="s">
        <v>245</v>
      </c>
      <c r="F290" s="6">
        <v>1.0475809999999999E-3</v>
      </c>
      <c r="G290" s="6" t="s">
        <v>247</v>
      </c>
      <c r="H290" s="6" t="s">
        <v>245</v>
      </c>
      <c r="I290" s="6" t="s">
        <v>233</v>
      </c>
      <c r="J290" s="6" t="s">
        <v>234</v>
      </c>
      <c r="K290" s="6">
        <v>3</v>
      </c>
    </row>
    <row r="291" spans="1:11" x14ac:dyDescent="0.25">
      <c r="A291" s="6" t="s">
        <v>2234</v>
      </c>
      <c r="B291" s="5" t="s">
        <v>2235</v>
      </c>
      <c r="C291" s="5" t="s">
        <v>2235</v>
      </c>
      <c r="D291" s="6" t="s">
        <v>1917</v>
      </c>
      <c r="E291" s="6" t="s">
        <v>263</v>
      </c>
      <c r="F291" s="6">
        <v>3.0449399999999999E-4</v>
      </c>
      <c r="G291" s="6" t="s">
        <v>265</v>
      </c>
      <c r="H291" s="6" t="s">
        <v>263</v>
      </c>
      <c r="I291" s="6" t="s">
        <v>233</v>
      </c>
      <c r="J291" s="6" t="s">
        <v>234</v>
      </c>
      <c r="K291" s="6">
        <v>3</v>
      </c>
    </row>
    <row r="292" spans="1:11" x14ac:dyDescent="0.25">
      <c r="A292" s="6" t="s">
        <v>2236</v>
      </c>
      <c r="B292" s="5" t="s">
        <v>2237</v>
      </c>
      <c r="C292" s="5" t="s">
        <v>2237</v>
      </c>
      <c r="D292" s="6" t="s">
        <v>2238</v>
      </c>
      <c r="E292" s="6" t="s">
        <v>269</v>
      </c>
      <c r="F292" s="6">
        <v>5.2359699999999999E-4</v>
      </c>
      <c r="G292" s="6" t="s">
        <v>271</v>
      </c>
      <c r="H292" s="6" t="s">
        <v>269</v>
      </c>
      <c r="I292" s="6" t="s">
        <v>233</v>
      </c>
      <c r="J292" s="6" t="s">
        <v>234</v>
      </c>
      <c r="K292" s="6">
        <v>3</v>
      </c>
    </row>
    <row r="293" spans="1:11" x14ac:dyDescent="0.25">
      <c r="A293" s="6" t="s">
        <v>2239</v>
      </c>
      <c r="B293" s="5" t="s">
        <v>2240</v>
      </c>
      <c r="C293" s="5" t="s">
        <v>2240</v>
      </c>
      <c r="D293" s="6" t="s">
        <v>1776</v>
      </c>
      <c r="E293" s="6" t="s">
        <v>245</v>
      </c>
      <c r="F293" s="6">
        <v>1.0475809999999999E-3</v>
      </c>
      <c r="G293" s="6" t="s">
        <v>247</v>
      </c>
      <c r="H293" s="6" t="s">
        <v>245</v>
      </c>
      <c r="I293" s="6" t="s">
        <v>233</v>
      </c>
      <c r="J293" s="6" t="s">
        <v>234</v>
      </c>
      <c r="K293" s="6">
        <v>3</v>
      </c>
    </row>
    <row r="294" spans="1:11" x14ac:dyDescent="0.25">
      <c r="A294" s="6" t="s">
        <v>2241</v>
      </c>
      <c r="B294" s="5" t="s">
        <v>415</v>
      </c>
      <c r="C294" s="5" t="s">
        <v>415</v>
      </c>
      <c r="D294" s="6" t="s">
        <v>2242</v>
      </c>
      <c r="E294" s="6" t="s">
        <v>269</v>
      </c>
      <c r="F294" s="6">
        <v>5.2359699999999999E-4</v>
      </c>
      <c r="G294" s="6" t="s">
        <v>271</v>
      </c>
      <c r="H294" s="6" t="s">
        <v>269</v>
      </c>
      <c r="I294" s="6" t="s">
        <v>233</v>
      </c>
      <c r="J294" s="6" t="s">
        <v>234</v>
      </c>
      <c r="K294" s="6">
        <v>3</v>
      </c>
    </row>
    <row r="295" spans="1:11" x14ac:dyDescent="0.25">
      <c r="A295" s="6" t="s">
        <v>2243</v>
      </c>
      <c r="B295" s="5" t="s">
        <v>2244</v>
      </c>
      <c r="C295" s="5" t="s">
        <v>2244</v>
      </c>
      <c r="D295" s="6" t="s">
        <v>2245</v>
      </c>
      <c r="E295" s="6" t="s">
        <v>269</v>
      </c>
      <c r="F295" s="6">
        <v>5.2359699999999999E-4</v>
      </c>
      <c r="G295" s="6" t="s">
        <v>271</v>
      </c>
      <c r="H295" s="6" t="s">
        <v>269</v>
      </c>
      <c r="I295" s="6" t="s">
        <v>233</v>
      </c>
      <c r="J295" s="6" t="s">
        <v>234</v>
      </c>
      <c r="K295" s="6">
        <v>3</v>
      </c>
    </row>
    <row r="296" spans="1:11" x14ac:dyDescent="0.25">
      <c r="A296" s="6" t="s">
        <v>2246</v>
      </c>
      <c r="B296" s="5" t="s">
        <v>2247</v>
      </c>
      <c r="C296" s="5" t="s">
        <v>2247</v>
      </c>
      <c r="D296" s="6" t="s">
        <v>2248</v>
      </c>
      <c r="E296" s="6" t="s">
        <v>245</v>
      </c>
      <c r="F296" s="6">
        <v>1.0475809999999999E-3</v>
      </c>
      <c r="G296" s="6" t="s">
        <v>247</v>
      </c>
      <c r="H296" s="6" t="s">
        <v>245</v>
      </c>
      <c r="I296" s="6" t="s">
        <v>233</v>
      </c>
      <c r="J296" s="6" t="s">
        <v>234</v>
      </c>
      <c r="K296" s="6">
        <v>3</v>
      </c>
    </row>
    <row r="297" spans="1:11" x14ac:dyDescent="0.25">
      <c r="A297" s="6" t="s">
        <v>2249</v>
      </c>
      <c r="B297" s="5" t="s">
        <v>2250</v>
      </c>
      <c r="C297" s="5" t="s">
        <v>2250</v>
      </c>
      <c r="D297" s="6" t="s">
        <v>2251</v>
      </c>
      <c r="E297" s="6" t="s">
        <v>254</v>
      </c>
      <c r="F297" s="6">
        <v>8.1312799999999998E-4</v>
      </c>
      <c r="G297" s="6" t="s">
        <v>256</v>
      </c>
      <c r="H297" s="6" t="s">
        <v>254</v>
      </c>
      <c r="I297" s="6" t="s">
        <v>233</v>
      </c>
      <c r="J297" s="6" t="s">
        <v>234</v>
      </c>
      <c r="K297" s="6">
        <v>3</v>
      </c>
    </row>
    <row r="298" spans="1:11" x14ac:dyDescent="0.25">
      <c r="A298" s="6" t="s">
        <v>2252</v>
      </c>
      <c r="B298" s="5" t="s">
        <v>2253</v>
      </c>
      <c r="C298" s="5" t="s">
        <v>2253</v>
      </c>
      <c r="D298" s="6" t="s">
        <v>2254</v>
      </c>
      <c r="E298" s="6" t="s">
        <v>254</v>
      </c>
      <c r="F298" s="6">
        <v>8.1312799999999998E-4</v>
      </c>
      <c r="G298" s="6" t="s">
        <v>256</v>
      </c>
      <c r="H298" s="6" t="s">
        <v>254</v>
      </c>
      <c r="I298" s="6" t="s">
        <v>233</v>
      </c>
      <c r="J298" s="6" t="s">
        <v>234</v>
      </c>
      <c r="K298" s="6">
        <v>3</v>
      </c>
    </row>
    <row r="299" spans="1:11" x14ac:dyDescent="0.25">
      <c r="A299" s="6" t="s">
        <v>2255</v>
      </c>
      <c r="B299" s="5" t="s">
        <v>2256</v>
      </c>
      <c r="C299" s="5" t="s">
        <v>2256</v>
      </c>
      <c r="D299" s="6" t="s">
        <v>2257</v>
      </c>
      <c r="E299" s="6" t="s">
        <v>245</v>
      </c>
      <c r="F299" s="6">
        <v>1.0475809999999999E-3</v>
      </c>
      <c r="G299" s="6" t="s">
        <v>247</v>
      </c>
      <c r="H299" s="6" t="s">
        <v>245</v>
      </c>
      <c r="I299" s="6" t="s">
        <v>233</v>
      </c>
      <c r="J299" s="6" t="s">
        <v>234</v>
      </c>
      <c r="K299" s="6">
        <v>3</v>
      </c>
    </row>
    <row r="300" spans="1:11" x14ac:dyDescent="0.25">
      <c r="A300" s="6" t="s">
        <v>2258</v>
      </c>
      <c r="B300" s="5" t="s">
        <v>2259</v>
      </c>
      <c r="C300" s="5" t="s">
        <v>2259</v>
      </c>
      <c r="D300" s="6" t="s">
        <v>2260</v>
      </c>
      <c r="E300" s="6" t="s">
        <v>263</v>
      </c>
      <c r="F300" s="6">
        <v>3.0449399999999999E-4</v>
      </c>
      <c r="G300" s="6" t="s">
        <v>265</v>
      </c>
      <c r="H300" s="6" t="s">
        <v>263</v>
      </c>
      <c r="I300" s="6" t="s">
        <v>233</v>
      </c>
      <c r="J300" s="6" t="s">
        <v>234</v>
      </c>
      <c r="K300" s="6">
        <v>3</v>
      </c>
    </row>
    <row r="301" spans="1:11" x14ac:dyDescent="0.25">
      <c r="A301" s="6" t="s">
        <v>2261</v>
      </c>
      <c r="B301" s="5" t="s">
        <v>1932</v>
      </c>
      <c r="C301" s="5" t="s">
        <v>1932</v>
      </c>
      <c r="D301" s="6" t="s">
        <v>1931</v>
      </c>
      <c r="E301" s="6" t="s">
        <v>1932</v>
      </c>
      <c r="F301" s="6">
        <v>3.1322199999999999E-4</v>
      </c>
      <c r="G301" s="6" t="s">
        <v>413</v>
      </c>
      <c r="H301" s="6" t="s">
        <v>414</v>
      </c>
      <c r="I301" s="6" t="s">
        <v>233</v>
      </c>
      <c r="J301" s="6" t="s">
        <v>234</v>
      </c>
      <c r="K301" s="6">
        <v>3</v>
      </c>
    </row>
    <row r="302" spans="1:11" x14ac:dyDescent="0.25">
      <c r="A302" s="6" t="s">
        <v>2262</v>
      </c>
      <c r="B302" s="5" t="s">
        <v>2263</v>
      </c>
      <c r="C302" s="5" t="s">
        <v>2263</v>
      </c>
      <c r="D302" s="6" t="s">
        <v>2264</v>
      </c>
      <c r="E302" s="6" t="s">
        <v>269</v>
      </c>
      <c r="F302" s="6">
        <v>5.2359699999999999E-4</v>
      </c>
      <c r="G302" s="6" t="s">
        <v>271</v>
      </c>
      <c r="H302" s="6" t="s">
        <v>269</v>
      </c>
      <c r="I302" s="6" t="s">
        <v>233</v>
      </c>
      <c r="J302" s="6" t="s">
        <v>234</v>
      </c>
      <c r="K302" s="6">
        <v>3</v>
      </c>
    </row>
    <row r="303" spans="1:11" x14ac:dyDescent="0.25">
      <c r="A303" s="6" t="s">
        <v>2265</v>
      </c>
      <c r="B303" s="5" t="s">
        <v>2266</v>
      </c>
      <c r="C303" s="5" t="s">
        <v>2266</v>
      </c>
      <c r="D303" s="6" t="s">
        <v>2267</v>
      </c>
      <c r="E303" s="6" t="s">
        <v>263</v>
      </c>
      <c r="F303" s="6">
        <v>3.0449399999999999E-4</v>
      </c>
      <c r="G303" s="6" t="s">
        <v>265</v>
      </c>
      <c r="H303" s="6" t="s">
        <v>263</v>
      </c>
      <c r="I303" s="6" t="s">
        <v>233</v>
      </c>
      <c r="J303" s="6" t="s">
        <v>234</v>
      </c>
      <c r="K303" s="6">
        <v>3</v>
      </c>
    </row>
    <row r="304" spans="1:11" x14ac:dyDescent="0.25">
      <c r="A304" s="6" t="s">
        <v>2268</v>
      </c>
      <c r="B304" s="5" t="s">
        <v>450</v>
      </c>
      <c r="C304" s="5" t="s">
        <v>450</v>
      </c>
      <c r="D304" s="6" t="s">
        <v>1779</v>
      </c>
      <c r="E304" s="6" t="s">
        <v>263</v>
      </c>
      <c r="F304" s="6">
        <v>3.0449377823614201E-4</v>
      </c>
      <c r="G304" s="6" t="s">
        <v>265</v>
      </c>
      <c r="H304" s="6" t="s">
        <v>263</v>
      </c>
      <c r="I304" s="6" t="s">
        <v>233</v>
      </c>
      <c r="J304" s="6" t="s">
        <v>234</v>
      </c>
      <c r="K304" s="6">
        <v>3</v>
      </c>
    </row>
    <row r="305" spans="1:11" x14ac:dyDescent="0.25">
      <c r="A305" s="6" t="s">
        <v>2269</v>
      </c>
      <c r="B305" s="5" t="s">
        <v>2270</v>
      </c>
      <c r="C305" s="5" t="s">
        <v>2270</v>
      </c>
      <c r="D305" s="6" t="s">
        <v>2271</v>
      </c>
      <c r="E305" s="6" t="s">
        <v>2270</v>
      </c>
      <c r="F305" s="6">
        <v>3.1322199999999999E-4</v>
      </c>
      <c r="G305" s="6" t="s">
        <v>413</v>
      </c>
      <c r="H305" s="6" t="s">
        <v>414</v>
      </c>
      <c r="I305" s="6" t="s">
        <v>233</v>
      </c>
      <c r="J305" s="6" t="s">
        <v>234</v>
      </c>
      <c r="K305" s="6">
        <v>3</v>
      </c>
    </row>
    <row r="306" spans="1:11" x14ac:dyDescent="0.25">
      <c r="A306" s="6" t="s">
        <v>2272</v>
      </c>
      <c r="B306" s="5" t="s">
        <v>2273</v>
      </c>
      <c r="C306" s="5" t="s">
        <v>2273</v>
      </c>
      <c r="D306" s="6" t="s">
        <v>1492</v>
      </c>
      <c r="E306" s="6" t="s">
        <v>1524</v>
      </c>
      <c r="F306" s="6">
        <v>3.0449377823614201E-4</v>
      </c>
      <c r="G306" s="6" t="s">
        <v>265</v>
      </c>
      <c r="H306" s="6" t="s">
        <v>263</v>
      </c>
      <c r="I306" s="6" t="s">
        <v>233</v>
      </c>
      <c r="J306" s="6" t="s">
        <v>234</v>
      </c>
      <c r="K306" s="6">
        <v>3</v>
      </c>
    </row>
    <row r="307" spans="1:11" x14ac:dyDescent="0.25">
      <c r="A307" s="6" t="s">
        <v>2274</v>
      </c>
      <c r="B307" s="5" t="s">
        <v>2275</v>
      </c>
      <c r="C307" s="5" t="s">
        <v>2275</v>
      </c>
      <c r="D307" s="6" t="s">
        <v>2276</v>
      </c>
      <c r="E307" s="6" t="s">
        <v>73</v>
      </c>
      <c r="F307" s="6">
        <v>1.75E-3</v>
      </c>
      <c r="G307" s="6" t="s">
        <v>315</v>
      </c>
      <c r="H307" s="6" t="s">
        <v>314</v>
      </c>
      <c r="I307" s="6" t="s">
        <v>233</v>
      </c>
      <c r="J307" s="6" t="s">
        <v>234</v>
      </c>
      <c r="K307" s="6">
        <v>3</v>
      </c>
    </row>
    <row r="308" spans="1:11" x14ac:dyDescent="0.25">
      <c r="A308" s="6" t="s">
        <v>2277</v>
      </c>
      <c r="B308" s="5" t="s">
        <v>2278</v>
      </c>
      <c r="C308" s="5" t="s">
        <v>2278</v>
      </c>
      <c r="D308" s="6" t="s">
        <v>2279</v>
      </c>
      <c r="E308" s="6" t="s">
        <v>347</v>
      </c>
      <c r="F308" s="6">
        <v>2.10657E-4</v>
      </c>
      <c r="G308" s="6" t="s">
        <v>346</v>
      </c>
      <c r="H308" s="6" t="s">
        <v>347</v>
      </c>
      <c r="I308" s="6" t="s">
        <v>233</v>
      </c>
      <c r="J308" s="6" t="s">
        <v>234</v>
      </c>
      <c r="K308" s="6">
        <v>3</v>
      </c>
    </row>
    <row r="309" spans="1:11" x14ac:dyDescent="0.25">
      <c r="A309" s="6" t="s">
        <v>2280</v>
      </c>
      <c r="B309" s="5" t="s">
        <v>2281</v>
      </c>
      <c r="C309" s="5" t="s">
        <v>2281</v>
      </c>
      <c r="D309" s="6" t="s">
        <v>2282</v>
      </c>
      <c r="E309" s="6" t="s">
        <v>347</v>
      </c>
      <c r="F309" s="6">
        <v>2.10657E-4</v>
      </c>
      <c r="G309" s="6" t="s">
        <v>346</v>
      </c>
      <c r="H309" s="6" t="s">
        <v>347</v>
      </c>
      <c r="I309" s="6" t="s">
        <v>233</v>
      </c>
      <c r="J309" s="6" t="s">
        <v>234</v>
      </c>
      <c r="K309" s="6">
        <v>3</v>
      </c>
    </row>
    <row r="310" spans="1:11" x14ac:dyDescent="0.25">
      <c r="A310" s="6" t="s">
        <v>2283</v>
      </c>
      <c r="B310" s="5" t="s">
        <v>2284</v>
      </c>
      <c r="C310" s="5" t="s">
        <v>2284</v>
      </c>
      <c r="D310" s="6" t="s">
        <v>2285</v>
      </c>
      <c r="E310" s="6" t="s">
        <v>414</v>
      </c>
      <c r="F310" s="6">
        <v>3.1322198387294099E-4</v>
      </c>
      <c r="G310" s="6" t="s">
        <v>413</v>
      </c>
      <c r="H310" s="6" t="s">
        <v>414</v>
      </c>
      <c r="I310" s="6" t="s">
        <v>233</v>
      </c>
      <c r="J310" s="6" t="s">
        <v>234</v>
      </c>
      <c r="K310" s="6">
        <v>3</v>
      </c>
    </row>
    <row r="311" spans="1:11" x14ac:dyDescent="0.25">
      <c r="A311" s="6" t="s">
        <v>2286</v>
      </c>
      <c r="B311" s="5" t="s">
        <v>2287</v>
      </c>
      <c r="C311" s="5" t="s">
        <v>2287</v>
      </c>
      <c r="D311" s="6" t="s">
        <v>2288</v>
      </c>
      <c r="E311" s="6" t="s">
        <v>245</v>
      </c>
      <c r="F311" s="6">
        <v>1.0475809999999999E-3</v>
      </c>
      <c r="G311" s="6" t="s">
        <v>247</v>
      </c>
      <c r="H311" s="6" t="s">
        <v>245</v>
      </c>
      <c r="I311" s="6" t="s">
        <v>233</v>
      </c>
      <c r="J311" s="6" t="s">
        <v>234</v>
      </c>
      <c r="K311" s="6">
        <v>3</v>
      </c>
    </row>
    <row r="312" spans="1:11" x14ac:dyDescent="0.25">
      <c r="A312" s="6" t="s">
        <v>2289</v>
      </c>
      <c r="B312" s="5" t="s">
        <v>2290</v>
      </c>
      <c r="C312" s="5" t="s">
        <v>2290</v>
      </c>
      <c r="D312" s="6" t="s">
        <v>2291</v>
      </c>
      <c r="E312" s="6" t="s">
        <v>248</v>
      </c>
      <c r="F312" s="6">
        <v>4.3868599999999998E-4</v>
      </c>
      <c r="G312" s="6" t="s">
        <v>250</v>
      </c>
      <c r="H312" s="6" t="s">
        <v>248</v>
      </c>
      <c r="I312" s="6" t="s">
        <v>233</v>
      </c>
      <c r="J312" s="6" t="s">
        <v>234</v>
      </c>
      <c r="K312" s="6">
        <v>3</v>
      </c>
    </row>
    <row r="313" spans="1:11" x14ac:dyDescent="0.25">
      <c r="A313" s="6" t="s">
        <v>2292</v>
      </c>
      <c r="B313" s="5" t="s">
        <v>2293</v>
      </c>
      <c r="C313" s="5" t="s">
        <v>2293</v>
      </c>
      <c r="D313" s="6" t="s">
        <v>2294</v>
      </c>
      <c r="E313" s="6" t="s">
        <v>269</v>
      </c>
      <c r="F313" s="6">
        <v>5.2359699999999999E-4</v>
      </c>
      <c r="G313" s="6" t="s">
        <v>271</v>
      </c>
      <c r="H313" s="6" t="s">
        <v>269</v>
      </c>
      <c r="I313" s="6" t="s">
        <v>233</v>
      </c>
      <c r="J313" s="6" t="s">
        <v>234</v>
      </c>
      <c r="K313" s="6">
        <v>3</v>
      </c>
    </row>
    <row r="314" spans="1:11" x14ac:dyDescent="0.25">
      <c r="A314" s="6" t="s">
        <v>2295</v>
      </c>
      <c r="B314" s="5" t="s">
        <v>2296</v>
      </c>
      <c r="C314" s="5" t="s">
        <v>2296</v>
      </c>
      <c r="D314" s="6" t="s">
        <v>2122</v>
      </c>
      <c r="E314" s="6" t="s">
        <v>248</v>
      </c>
      <c r="F314" s="6">
        <v>4.3868599999999998E-4</v>
      </c>
      <c r="G314" s="6" t="s">
        <v>250</v>
      </c>
      <c r="H314" s="6" t="s">
        <v>248</v>
      </c>
      <c r="I314" s="6" t="s">
        <v>233</v>
      </c>
      <c r="J314" s="6" t="s">
        <v>234</v>
      </c>
      <c r="K314" s="6">
        <v>3</v>
      </c>
    </row>
    <row r="315" spans="1:11" x14ac:dyDescent="0.25">
      <c r="A315" s="6" t="s">
        <v>2297</v>
      </c>
      <c r="B315" s="5" t="s">
        <v>2298</v>
      </c>
      <c r="C315" s="5" t="s">
        <v>2298</v>
      </c>
      <c r="D315" s="6" t="s">
        <v>2299</v>
      </c>
      <c r="E315" s="6" t="s">
        <v>245</v>
      </c>
      <c r="F315" s="6">
        <v>1.0475809999999999E-3</v>
      </c>
      <c r="G315" s="6" t="s">
        <v>247</v>
      </c>
      <c r="H315" s="6" t="s">
        <v>245</v>
      </c>
      <c r="I315" s="6" t="s">
        <v>233</v>
      </c>
      <c r="J315" s="6" t="s">
        <v>234</v>
      </c>
      <c r="K315" s="6">
        <v>3</v>
      </c>
    </row>
    <row r="316" spans="1:11" x14ac:dyDescent="0.25">
      <c r="A316" s="6" t="s">
        <v>2300</v>
      </c>
      <c r="B316" s="5" t="s">
        <v>2301</v>
      </c>
      <c r="C316" s="5" t="s">
        <v>2301</v>
      </c>
      <c r="D316" s="6" t="s">
        <v>2302</v>
      </c>
      <c r="E316" s="6" t="s">
        <v>414</v>
      </c>
      <c r="F316" s="6">
        <v>3.1322198387294099E-4</v>
      </c>
      <c r="G316" s="6" t="s">
        <v>413</v>
      </c>
      <c r="H316" s="6" t="s">
        <v>414</v>
      </c>
      <c r="I316" s="6" t="s">
        <v>233</v>
      </c>
      <c r="J316" s="6" t="s">
        <v>234</v>
      </c>
      <c r="K316" s="6">
        <v>3</v>
      </c>
    </row>
    <row r="317" spans="1:11" x14ac:dyDescent="0.25">
      <c r="A317" s="6" t="s">
        <v>2303</v>
      </c>
      <c r="B317" s="5" t="s">
        <v>2304</v>
      </c>
      <c r="C317" s="5" t="s">
        <v>2304</v>
      </c>
      <c r="D317" s="6" t="s">
        <v>2305</v>
      </c>
      <c r="E317" s="6" t="s">
        <v>248</v>
      </c>
      <c r="F317" s="6">
        <v>4.3868599999999998E-4</v>
      </c>
      <c r="G317" s="6" t="s">
        <v>250</v>
      </c>
      <c r="H317" s="6" t="s">
        <v>248</v>
      </c>
      <c r="I317" s="6" t="s">
        <v>233</v>
      </c>
      <c r="J317" s="6" t="s">
        <v>234</v>
      </c>
      <c r="K317" s="6">
        <v>3</v>
      </c>
    </row>
    <row r="318" spans="1:11" x14ac:dyDescent="0.25">
      <c r="A318" s="6" t="s">
        <v>2306</v>
      </c>
      <c r="B318" s="5" t="s">
        <v>2307</v>
      </c>
      <c r="C318" s="5" t="s">
        <v>2307</v>
      </c>
      <c r="D318" s="6" t="s">
        <v>2308</v>
      </c>
      <c r="E318" s="6" t="s">
        <v>248</v>
      </c>
      <c r="F318" s="6">
        <v>4.3868599999999998E-4</v>
      </c>
      <c r="G318" s="6" t="s">
        <v>250</v>
      </c>
      <c r="H318" s="6" t="s">
        <v>248</v>
      </c>
      <c r="I318" s="6" t="s">
        <v>233</v>
      </c>
      <c r="J318" s="6" t="s">
        <v>234</v>
      </c>
      <c r="K318" s="6">
        <v>3</v>
      </c>
    </row>
    <row r="319" spans="1:11" x14ac:dyDescent="0.25">
      <c r="A319" s="6" t="s">
        <v>2309</v>
      </c>
      <c r="B319" s="5" t="s">
        <v>409</v>
      </c>
      <c r="C319" s="5" t="s">
        <v>409</v>
      </c>
      <c r="D319" s="6" t="s">
        <v>2310</v>
      </c>
      <c r="E319" s="6" t="s">
        <v>347</v>
      </c>
      <c r="F319" s="6">
        <v>2.1065654610590999E-4</v>
      </c>
      <c r="G319" s="6" t="s">
        <v>346</v>
      </c>
      <c r="H319" s="6" t="s">
        <v>347</v>
      </c>
      <c r="I319" s="6" t="s">
        <v>233</v>
      </c>
      <c r="J319" s="6" t="s">
        <v>234</v>
      </c>
      <c r="K319" s="6">
        <v>3</v>
      </c>
    </row>
    <row r="320" spans="1:11" x14ac:dyDescent="0.25">
      <c r="A320" s="6" t="s">
        <v>2311</v>
      </c>
      <c r="B320" s="5" t="s">
        <v>2312</v>
      </c>
      <c r="C320" s="5" t="s">
        <v>2312</v>
      </c>
      <c r="D320" s="6" t="s">
        <v>1830</v>
      </c>
      <c r="E320" s="6" t="s">
        <v>254</v>
      </c>
      <c r="F320" s="6">
        <v>8.1312799999999998E-4</v>
      </c>
      <c r="G320" s="6" t="s">
        <v>256</v>
      </c>
      <c r="H320" s="6" t="s">
        <v>254</v>
      </c>
      <c r="I320" s="6" t="s">
        <v>233</v>
      </c>
      <c r="J320" s="6" t="s">
        <v>234</v>
      </c>
      <c r="K320" s="6">
        <v>3</v>
      </c>
    </row>
    <row r="321" spans="1:11" x14ac:dyDescent="0.25">
      <c r="A321" s="6" t="s">
        <v>2313</v>
      </c>
      <c r="B321" s="5" t="s">
        <v>2314</v>
      </c>
      <c r="C321" s="5" t="s">
        <v>2314</v>
      </c>
      <c r="D321" s="6" t="s">
        <v>2315</v>
      </c>
      <c r="E321" s="6" t="s">
        <v>269</v>
      </c>
      <c r="F321" s="6">
        <v>5.2359699999999999E-4</v>
      </c>
      <c r="G321" s="6" t="s">
        <v>271</v>
      </c>
      <c r="H321" s="6" t="s">
        <v>269</v>
      </c>
      <c r="I321" s="6" t="s">
        <v>233</v>
      </c>
      <c r="J321" s="6" t="s">
        <v>234</v>
      </c>
      <c r="K321" s="6">
        <v>3</v>
      </c>
    </row>
    <row r="322" spans="1:11" x14ac:dyDescent="0.25">
      <c r="A322" s="6" t="s">
        <v>2316</v>
      </c>
      <c r="B322" s="5" t="s">
        <v>2317</v>
      </c>
      <c r="C322" s="5" t="s">
        <v>2317</v>
      </c>
      <c r="D322" s="6" t="s">
        <v>1771</v>
      </c>
      <c r="E322" s="6" t="s">
        <v>254</v>
      </c>
      <c r="F322" s="6">
        <v>8.1312799999999998E-4</v>
      </c>
      <c r="G322" s="6" t="s">
        <v>256</v>
      </c>
      <c r="H322" s="6" t="s">
        <v>254</v>
      </c>
      <c r="I322" s="6" t="s">
        <v>233</v>
      </c>
      <c r="J322" s="6" t="s">
        <v>234</v>
      </c>
      <c r="K322" s="6">
        <v>3</v>
      </c>
    </row>
    <row r="323" spans="1:11" x14ac:dyDescent="0.25">
      <c r="A323" s="6" t="s">
        <v>2318</v>
      </c>
      <c r="B323" s="5" t="s">
        <v>2319</v>
      </c>
      <c r="C323" s="5" t="s">
        <v>2319</v>
      </c>
      <c r="D323" s="6" t="s">
        <v>1965</v>
      </c>
      <c r="E323" s="6" t="s">
        <v>347</v>
      </c>
      <c r="F323" s="6">
        <v>2.1065654610590999E-4</v>
      </c>
      <c r="G323" s="6" t="s">
        <v>346</v>
      </c>
      <c r="H323" s="6" t="s">
        <v>347</v>
      </c>
      <c r="I323" s="6" t="s">
        <v>233</v>
      </c>
      <c r="J323" s="6" t="s">
        <v>234</v>
      </c>
      <c r="K323" s="6">
        <v>3</v>
      </c>
    </row>
    <row r="324" spans="1:11" x14ac:dyDescent="0.25">
      <c r="A324" s="6" t="s">
        <v>2320</v>
      </c>
      <c r="B324" s="5" t="s">
        <v>2321</v>
      </c>
      <c r="C324" s="5" t="s">
        <v>2321</v>
      </c>
      <c r="D324" s="6" t="s">
        <v>2322</v>
      </c>
      <c r="E324" s="6" t="s">
        <v>254</v>
      </c>
      <c r="F324" s="6">
        <v>8.1312799999999998E-4</v>
      </c>
      <c r="G324" s="6" t="s">
        <v>256</v>
      </c>
      <c r="H324" s="6" t="s">
        <v>254</v>
      </c>
      <c r="I324" s="6" t="s">
        <v>233</v>
      </c>
      <c r="J324" s="6" t="s">
        <v>234</v>
      </c>
      <c r="K324" s="6">
        <v>3</v>
      </c>
    </row>
    <row r="325" spans="1:11" x14ac:dyDescent="0.25">
      <c r="A325" s="6" t="s">
        <v>2323</v>
      </c>
      <c r="B325" s="5" t="s">
        <v>2324</v>
      </c>
      <c r="C325" s="5" t="s">
        <v>2324</v>
      </c>
      <c r="D325" s="6" t="s">
        <v>2325</v>
      </c>
      <c r="E325" s="6" t="s">
        <v>245</v>
      </c>
      <c r="F325" s="6">
        <v>1.0475809999999999E-3</v>
      </c>
      <c r="G325" s="6" t="s">
        <v>247</v>
      </c>
      <c r="H325" s="6" t="s">
        <v>245</v>
      </c>
      <c r="I325" s="6" t="s">
        <v>233</v>
      </c>
      <c r="J325" s="6" t="s">
        <v>234</v>
      </c>
      <c r="K325" s="6">
        <v>3</v>
      </c>
    </row>
    <row r="326" spans="1:11" x14ac:dyDescent="0.25">
      <c r="A326" s="6" t="s">
        <v>2326</v>
      </c>
      <c r="B326" s="5" t="s">
        <v>2327</v>
      </c>
      <c r="C326" s="5" t="s">
        <v>2327</v>
      </c>
      <c r="D326" s="6" t="s">
        <v>2328</v>
      </c>
      <c r="E326" s="6" t="s">
        <v>248</v>
      </c>
      <c r="F326" s="6">
        <v>4.3868599999999998E-4</v>
      </c>
      <c r="G326" s="6" t="s">
        <v>250</v>
      </c>
      <c r="H326" s="6" t="s">
        <v>248</v>
      </c>
      <c r="I326" s="6" t="s">
        <v>233</v>
      </c>
      <c r="J326" s="6" t="s">
        <v>234</v>
      </c>
      <c r="K326" s="6">
        <v>3</v>
      </c>
    </row>
    <row r="327" spans="1:11" x14ac:dyDescent="0.25">
      <c r="A327" s="6" t="s">
        <v>2329</v>
      </c>
      <c r="B327" s="5" t="s">
        <v>2330</v>
      </c>
      <c r="C327" s="5" t="s">
        <v>2330</v>
      </c>
      <c r="D327" s="6" t="s">
        <v>2331</v>
      </c>
      <c r="E327" s="6" t="s">
        <v>260</v>
      </c>
      <c r="F327" s="6">
        <v>8.4137000000000003E-4</v>
      </c>
      <c r="G327" s="6" t="s">
        <v>262</v>
      </c>
      <c r="H327" s="6" t="s">
        <v>260</v>
      </c>
      <c r="I327" s="6" t="s">
        <v>233</v>
      </c>
      <c r="J327" s="6" t="s">
        <v>234</v>
      </c>
      <c r="K327" s="6">
        <v>3</v>
      </c>
    </row>
    <row r="328" spans="1:11" x14ac:dyDescent="0.25">
      <c r="A328" s="6" t="s">
        <v>2332</v>
      </c>
      <c r="B328" s="5" t="s">
        <v>2333</v>
      </c>
      <c r="C328" s="5" t="s">
        <v>2333</v>
      </c>
      <c r="D328" s="6" t="s">
        <v>1694</v>
      </c>
      <c r="E328" s="6" t="s">
        <v>263</v>
      </c>
      <c r="F328" s="6">
        <v>3.0449399999999999E-4</v>
      </c>
      <c r="G328" s="6" t="s">
        <v>265</v>
      </c>
      <c r="H328" s="6" t="s">
        <v>263</v>
      </c>
      <c r="I328" s="6" t="s">
        <v>233</v>
      </c>
      <c r="J328" s="6" t="s">
        <v>234</v>
      </c>
      <c r="K328" s="6">
        <v>3</v>
      </c>
    </row>
    <row r="329" spans="1:11" x14ac:dyDescent="0.25">
      <c r="A329" s="6" t="s">
        <v>2334</v>
      </c>
      <c r="B329" s="5" t="s">
        <v>418</v>
      </c>
      <c r="C329" s="5" t="s">
        <v>418</v>
      </c>
      <c r="D329" s="6" t="s">
        <v>2335</v>
      </c>
      <c r="E329" s="6" t="s">
        <v>248</v>
      </c>
      <c r="F329" s="6">
        <v>4.3868599999999998E-4</v>
      </c>
      <c r="G329" s="6" t="s">
        <v>250</v>
      </c>
      <c r="H329" s="6" t="s">
        <v>248</v>
      </c>
      <c r="I329" s="6" t="s">
        <v>233</v>
      </c>
      <c r="J329" s="6" t="s">
        <v>234</v>
      </c>
      <c r="K329" s="6">
        <v>3</v>
      </c>
    </row>
    <row r="330" spans="1:11" x14ac:dyDescent="0.25">
      <c r="A330" s="6" t="s">
        <v>2336</v>
      </c>
      <c r="B330" s="5" t="s">
        <v>2337</v>
      </c>
      <c r="C330" s="5" t="s">
        <v>2337</v>
      </c>
      <c r="D330" s="6" t="s">
        <v>1905</v>
      </c>
      <c r="E330" s="6" t="s">
        <v>248</v>
      </c>
      <c r="F330" s="6">
        <v>4.3868599999999998E-4</v>
      </c>
      <c r="G330" s="6" t="s">
        <v>250</v>
      </c>
      <c r="H330" s="6" t="s">
        <v>248</v>
      </c>
      <c r="I330" s="6" t="s">
        <v>233</v>
      </c>
      <c r="J330" s="6" t="s">
        <v>234</v>
      </c>
      <c r="K330" s="6">
        <v>3</v>
      </c>
    </row>
    <row r="331" spans="1:11" x14ac:dyDescent="0.25">
      <c r="A331" s="6" t="s">
        <v>2338</v>
      </c>
      <c r="B331" s="5" t="s">
        <v>2339</v>
      </c>
      <c r="C331" s="5" t="s">
        <v>2339</v>
      </c>
      <c r="D331" s="6" t="s">
        <v>2340</v>
      </c>
      <c r="E331" s="6" t="s">
        <v>347</v>
      </c>
      <c r="F331" s="6">
        <v>2.1065654610590999E-4</v>
      </c>
      <c r="G331" s="6" t="s">
        <v>346</v>
      </c>
      <c r="H331" s="6" t="s">
        <v>347</v>
      </c>
      <c r="I331" s="6" t="s">
        <v>233</v>
      </c>
      <c r="J331" s="6" t="s">
        <v>234</v>
      </c>
      <c r="K331" s="6">
        <v>3</v>
      </c>
    </row>
    <row r="332" spans="1:11" x14ac:dyDescent="0.25">
      <c r="A332" s="6" t="s">
        <v>2341</v>
      </c>
      <c r="B332" s="5" t="s">
        <v>406</v>
      </c>
      <c r="C332" s="5" t="s">
        <v>406</v>
      </c>
      <c r="D332" s="6" t="s">
        <v>2342</v>
      </c>
      <c r="E332" s="6" t="s">
        <v>408</v>
      </c>
      <c r="F332" s="6">
        <v>1.67136339459407E-4</v>
      </c>
      <c r="G332" s="6" t="s">
        <v>407</v>
      </c>
      <c r="H332" s="6" t="s">
        <v>408</v>
      </c>
      <c r="I332" s="6" t="s">
        <v>233</v>
      </c>
      <c r="J332" s="6" t="s">
        <v>234</v>
      </c>
      <c r="K332" s="6">
        <v>3</v>
      </c>
    </row>
    <row r="333" spans="1:11" x14ac:dyDescent="0.25">
      <c r="A333" s="6" t="s">
        <v>2343</v>
      </c>
      <c r="B333" s="5" t="s">
        <v>443</v>
      </c>
      <c r="C333" s="5" t="s">
        <v>443</v>
      </c>
      <c r="D333" s="6" t="s">
        <v>1807</v>
      </c>
      <c r="E333" s="6" t="s">
        <v>245</v>
      </c>
      <c r="F333" s="6">
        <v>1.0475809999999999E-3</v>
      </c>
      <c r="G333" s="6" t="s">
        <v>247</v>
      </c>
      <c r="H333" s="6" t="s">
        <v>245</v>
      </c>
      <c r="I333" s="6" t="s">
        <v>233</v>
      </c>
      <c r="J333" s="6" t="s">
        <v>234</v>
      </c>
      <c r="K333" s="6">
        <v>3</v>
      </c>
    </row>
    <row r="334" spans="1:11" x14ac:dyDescent="0.25">
      <c r="A334" s="6" t="s">
        <v>2344</v>
      </c>
      <c r="B334" s="5" t="s">
        <v>426</v>
      </c>
      <c r="C334" s="5" t="s">
        <v>426</v>
      </c>
      <c r="D334" s="6" t="s">
        <v>2345</v>
      </c>
      <c r="E334" s="6" t="s">
        <v>263</v>
      </c>
      <c r="F334" s="6">
        <v>3.0449377823614201E-4</v>
      </c>
      <c r="G334" s="6" t="s">
        <v>265</v>
      </c>
      <c r="H334" s="6" t="s">
        <v>263</v>
      </c>
      <c r="I334" s="6" t="s">
        <v>233</v>
      </c>
      <c r="J334" s="6" t="s">
        <v>234</v>
      </c>
      <c r="K334" s="6">
        <v>3</v>
      </c>
    </row>
    <row r="335" spans="1:11" x14ac:dyDescent="0.25">
      <c r="A335" s="6" t="s">
        <v>2346</v>
      </c>
      <c r="B335" s="5" t="s">
        <v>405</v>
      </c>
      <c r="C335" s="5" t="s">
        <v>405</v>
      </c>
      <c r="D335" s="6" t="s">
        <v>2347</v>
      </c>
      <c r="E335" s="6" t="s">
        <v>269</v>
      </c>
      <c r="F335" s="6">
        <v>5.2359699999999999E-4</v>
      </c>
      <c r="G335" s="6" t="s">
        <v>271</v>
      </c>
      <c r="H335" s="6" t="s">
        <v>269</v>
      </c>
      <c r="I335" s="6" t="s">
        <v>233</v>
      </c>
      <c r="J335" s="6" t="s">
        <v>234</v>
      </c>
      <c r="K335" s="6">
        <v>3</v>
      </c>
    </row>
    <row r="336" spans="1:11" x14ac:dyDescent="0.25">
      <c r="A336" s="6" t="s">
        <v>2348</v>
      </c>
      <c r="B336" s="5" t="s">
        <v>2349</v>
      </c>
      <c r="C336" s="5" t="s">
        <v>2349</v>
      </c>
      <c r="D336" s="6" t="s">
        <v>2350</v>
      </c>
      <c r="E336" s="6" t="s">
        <v>254</v>
      </c>
      <c r="F336" s="6">
        <v>8.1312799999999998E-4</v>
      </c>
      <c r="G336" s="6" t="s">
        <v>256</v>
      </c>
      <c r="H336" s="6" t="s">
        <v>254</v>
      </c>
      <c r="I336" s="6" t="s">
        <v>233</v>
      </c>
      <c r="J336" s="6" t="s">
        <v>234</v>
      </c>
      <c r="K336" s="6">
        <v>3</v>
      </c>
    </row>
    <row r="337" spans="1:11" x14ac:dyDescent="0.25">
      <c r="A337" s="6" t="s">
        <v>2351</v>
      </c>
      <c r="B337" s="5" t="s">
        <v>2352</v>
      </c>
      <c r="C337" s="5" t="s">
        <v>2352</v>
      </c>
      <c r="D337" s="6" t="s">
        <v>2353</v>
      </c>
      <c r="E337" s="6" t="s">
        <v>254</v>
      </c>
      <c r="F337" s="6">
        <v>8.1312799999999998E-4</v>
      </c>
      <c r="G337" s="6" t="s">
        <v>256</v>
      </c>
      <c r="H337" s="6" t="s">
        <v>254</v>
      </c>
      <c r="I337" s="6" t="s">
        <v>233</v>
      </c>
      <c r="J337" s="6" t="s">
        <v>234</v>
      </c>
      <c r="K337" s="6">
        <v>3</v>
      </c>
    </row>
    <row r="338" spans="1:11" x14ac:dyDescent="0.25">
      <c r="A338" s="6" t="s">
        <v>2354</v>
      </c>
      <c r="B338" s="5" t="s">
        <v>2355</v>
      </c>
      <c r="C338" s="5" t="s">
        <v>2355</v>
      </c>
      <c r="D338" s="6" t="s">
        <v>2356</v>
      </c>
      <c r="E338" s="6" t="s">
        <v>347</v>
      </c>
      <c r="F338" s="6">
        <v>2.1065654610590999E-4</v>
      </c>
      <c r="G338" s="6" t="s">
        <v>346</v>
      </c>
      <c r="H338" s="6" t="s">
        <v>347</v>
      </c>
      <c r="I338" s="6" t="s">
        <v>233</v>
      </c>
      <c r="J338" s="6" t="s">
        <v>234</v>
      </c>
      <c r="K338" s="6">
        <v>3</v>
      </c>
    </row>
    <row r="339" spans="1:11" x14ac:dyDescent="0.25">
      <c r="A339" s="6" t="s">
        <v>2357</v>
      </c>
      <c r="B339" s="5" t="s">
        <v>2358</v>
      </c>
      <c r="C339" s="5" t="s">
        <v>2358</v>
      </c>
      <c r="D339" s="6" t="s">
        <v>2359</v>
      </c>
      <c r="E339" s="6" t="s">
        <v>254</v>
      </c>
      <c r="F339" s="6">
        <v>8.1312799999999998E-4</v>
      </c>
      <c r="G339" s="6" t="s">
        <v>256</v>
      </c>
      <c r="H339" s="6" t="s">
        <v>254</v>
      </c>
      <c r="I339" s="6" t="s">
        <v>233</v>
      </c>
      <c r="J339" s="6" t="s">
        <v>234</v>
      </c>
      <c r="K339" s="6">
        <v>3</v>
      </c>
    </row>
    <row r="340" spans="1:11" x14ac:dyDescent="0.25">
      <c r="A340" s="6" t="s">
        <v>2360</v>
      </c>
      <c r="B340" s="5" t="s">
        <v>2361</v>
      </c>
      <c r="C340" s="5" t="s">
        <v>2361</v>
      </c>
      <c r="D340" s="6" t="s">
        <v>2362</v>
      </c>
      <c r="E340" s="6" t="s">
        <v>269</v>
      </c>
      <c r="F340" s="6">
        <v>5.2359699999999999E-4</v>
      </c>
      <c r="G340" s="6" t="s">
        <v>271</v>
      </c>
      <c r="H340" s="6" t="s">
        <v>269</v>
      </c>
      <c r="I340" s="6" t="s">
        <v>233</v>
      </c>
      <c r="J340" s="6" t="s">
        <v>234</v>
      </c>
      <c r="K340" s="6">
        <v>3</v>
      </c>
    </row>
    <row r="341" spans="1:11" x14ac:dyDescent="0.25">
      <c r="A341" s="6" t="s">
        <v>2363</v>
      </c>
      <c r="B341" s="5" t="s">
        <v>2364</v>
      </c>
      <c r="C341" s="5" t="s">
        <v>2364</v>
      </c>
      <c r="D341" s="6" t="s">
        <v>1957</v>
      </c>
      <c r="E341" s="6" t="s">
        <v>245</v>
      </c>
      <c r="F341" s="6">
        <v>1.0475809999999999E-3</v>
      </c>
      <c r="G341" s="6" t="s">
        <v>247</v>
      </c>
      <c r="H341" s="6" t="s">
        <v>245</v>
      </c>
      <c r="I341" s="6" t="s">
        <v>233</v>
      </c>
      <c r="J341" s="6" t="s">
        <v>234</v>
      </c>
      <c r="K341" s="6">
        <v>3</v>
      </c>
    </row>
    <row r="342" spans="1:11" x14ac:dyDescent="0.25">
      <c r="A342" s="6" t="s">
        <v>2365</v>
      </c>
      <c r="B342" s="5" t="s">
        <v>2366</v>
      </c>
      <c r="C342" s="5" t="s">
        <v>2366</v>
      </c>
      <c r="D342" s="6" t="s">
        <v>2367</v>
      </c>
      <c r="E342" s="6" t="s">
        <v>245</v>
      </c>
      <c r="F342" s="6">
        <v>1.0475809999999999E-3</v>
      </c>
      <c r="G342" s="6" t="s">
        <v>247</v>
      </c>
      <c r="H342" s="6" t="s">
        <v>245</v>
      </c>
      <c r="I342" s="6" t="s">
        <v>233</v>
      </c>
      <c r="J342" s="6" t="s">
        <v>234</v>
      </c>
      <c r="K342" s="6">
        <v>3</v>
      </c>
    </row>
    <row r="343" spans="1:11" x14ac:dyDescent="0.25">
      <c r="A343" s="6" t="s">
        <v>2368</v>
      </c>
      <c r="B343" s="5" t="s">
        <v>2369</v>
      </c>
      <c r="C343" s="5" t="s">
        <v>2369</v>
      </c>
      <c r="D343" s="6" t="s">
        <v>2370</v>
      </c>
      <c r="E343" s="6" t="s">
        <v>269</v>
      </c>
      <c r="F343" s="6">
        <v>5.2359699999999999E-4</v>
      </c>
      <c r="G343" s="6" t="s">
        <v>271</v>
      </c>
      <c r="H343" s="6" t="s">
        <v>269</v>
      </c>
      <c r="I343" s="6" t="s">
        <v>233</v>
      </c>
      <c r="J343" s="6" t="s">
        <v>234</v>
      </c>
      <c r="K343" s="6">
        <v>3</v>
      </c>
    </row>
    <row r="344" spans="1:11" x14ac:dyDescent="0.25">
      <c r="A344" s="6" t="s">
        <v>2371</v>
      </c>
      <c r="B344" s="5" t="s">
        <v>2372</v>
      </c>
      <c r="C344" s="5" t="s">
        <v>2372</v>
      </c>
      <c r="D344" s="6" t="s">
        <v>2373</v>
      </c>
      <c r="E344" s="6" t="s">
        <v>263</v>
      </c>
      <c r="F344" s="6">
        <v>3.0449377823614201E-4</v>
      </c>
      <c r="G344" s="6" t="s">
        <v>265</v>
      </c>
      <c r="H344" s="6" t="s">
        <v>263</v>
      </c>
      <c r="I344" s="6" t="s">
        <v>233</v>
      </c>
      <c r="J344" s="6" t="s">
        <v>234</v>
      </c>
      <c r="K344" s="6">
        <v>3</v>
      </c>
    </row>
    <row r="345" spans="1:11" x14ac:dyDescent="0.25">
      <c r="A345" s="6" t="s">
        <v>2374</v>
      </c>
      <c r="B345" s="5" t="s">
        <v>2375</v>
      </c>
      <c r="C345" s="5" t="s">
        <v>2375</v>
      </c>
      <c r="D345" s="6" t="s">
        <v>1946</v>
      </c>
      <c r="E345" s="6" t="s">
        <v>269</v>
      </c>
      <c r="F345" s="6">
        <v>5.2359699999999999E-4</v>
      </c>
      <c r="G345" s="6" t="s">
        <v>271</v>
      </c>
      <c r="H345" s="6" t="s">
        <v>269</v>
      </c>
      <c r="I345" s="6" t="s">
        <v>233</v>
      </c>
      <c r="J345" s="6" t="s">
        <v>234</v>
      </c>
      <c r="K345" s="6">
        <v>3</v>
      </c>
    </row>
    <row r="346" spans="1:11" x14ac:dyDescent="0.25">
      <c r="A346" s="6" t="s">
        <v>2376</v>
      </c>
      <c r="B346" s="5" t="s">
        <v>2377</v>
      </c>
      <c r="C346" s="5" t="s">
        <v>2377</v>
      </c>
      <c r="D346" s="6" t="s">
        <v>2378</v>
      </c>
      <c r="E346" s="6" t="s">
        <v>254</v>
      </c>
      <c r="F346" s="6">
        <v>8.1312799999999998E-4</v>
      </c>
      <c r="G346" s="6" t="s">
        <v>256</v>
      </c>
      <c r="H346" s="6" t="s">
        <v>254</v>
      </c>
      <c r="I346" s="6" t="s">
        <v>233</v>
      </c>
      <c r="J346" s="6" t="s">
        <v>234</v>
      </c>
      <c r="K346" s="6">
        <v>3</v>
      </c>
    </row>
    <row r="347" spans="1:11" x14ac:dyDescent="0.25">
      <c r="A347" s="6" t="s">
        <v>2379</v>
      </c>
      <c r="B347" s="5" t="s">
        <v>2380</v>
      </c>
      <c r="C347" s="5" t="s">
        <v>2380</v>
      </c>
      <c r="D347" s="6" t="s">
        <v>2381</v>
      </c>
      <c r="E347" s="6" t="s">
        <v>269</v>
      </c>
      <c r="F347" s="6">
        <v>5.2359699999999999E-4</v>
      </c>
      <c r="G347" s="6" t="s">
        <v>271</v>
      </c>
      <c r="H347" s="6" t="s">
        <v>269</v>
      </c>
      <c r="I347" s="6" t="s">
        <v>233</v>
      </c>
      <c r="J347" s="6" t="s">
        <v>234</v>
      </c>
      <c r="K347" s="6">
        <v>3</v>
      </c>
    </row>
    <row r="348" spans="1:11" x14ac:dyDescent="0.25">
      <c r="A348" s="6" t="s">
        <v>2382</v>
      </c>
      <c r="B348" s="5" t="s">
        <v>427</v>
      </c>
      <c r="C348" s="5" t="s">
        <v>427</v>
      </c>
      <c r="D348" s="6" t="s">
        <v>2135</v>
      </c>
      <c r="E348" s="6" t="s">
        <v>347</v>
      </c>
      <c r="F348" s="6">
        <v>2.1065654610590999E-4</v>
      </c>
      <c r="G348" s="6" t="s">
        <v>346</v>
      </c>
      <c r="H348" s="6" t="s">
        <v>347</v>
      </c>
      <c r="I348" s="6" t="s">
        <v>233</v>
      </c>
      <c r="J348" s="6" t="s">
        <v>234</v>
      </c>
      <c r="K348" s="6">
        <v>3</v>
      </c>
    </row>
    <row r="349" spans="1:11" x14ac:dyDescent="0.25">
      <c r="A349" s="6" t="s">
        <v>2383</v>
      </c>
      <c r="B349" s="5" t="s">
        <v>2384</v>
      </c>
      <c r="C349" s="5" t="s">
        <v>2384</v>
      </c>
      <c r="D349" s="6" t="s">
        <v>2385</v>
      </c>
      <c r="E349" s="6" t="s">
        <v>248</v>
      </c>
      <c r="F349" s="6">
        <v>4.3868599999999998E-4</v>
      </c>
      <c r="G349" s="6" t="s">
        <v>250</v>
      </c>
      <c r="H349" s="6" t="s">
        <v>248</v>
      </c>
      <c r="I349" s="6" t="s">
        <v>233</v>
      </c>
      <c r="J349" s="6" t="s">
        <v>234</v>
      </c>
      <c r="K349" s="6">
        <v>3</v>
      </c>
    </row>
    <row r="350" spans="1:11" x14ac:dyDescent="0.25">
      <c r="A350" s="6" t="s">
        <v>2386</v>
      </c>
      <c r="B350" s="5" t="s">
        <v>447</v>
      </c>
      <c r="C350" s="5" t="s">
        <v>447</v>
      </c>
      <c r="D350" s="6" t="s">
        <v>2224</v>
      </c>
      <c r="E350" s="6" t="s">
        <v>347</v>
      </c>
      <c r="F350" s="6">
        <v>2.1065654610590999E-4</v>
      </c>
      <c r="G350" s="6" t="s">
        <v>346</v>
      </c>
      <c r="H350" s="6" t="s">
        <v>347</v>
      </c>
      <c r="I350" s="6" t="s">
        <v>233</v>
      </c>
      <c r="J350" s="6" t="s">
        <v>234</v>
      </c>
      <c r="K350" s="6">
        <v>3</v>
      </c>
    </row>
    <row r="351" spans="1:11" x14ac:dyDescent="0.25">
      <c r="A351" s="6" t="s">
        <v>2387</v>
      </c>
      <c r="B351" s="5" t="s">
        <v>2388</v>
      </c>
      <c r="C351" s="5" t="s">
        <v>2388</v>
      </c>
      <c r="D351" s="6" t="s">
        <v>2389</v>
      </c>
      <c r="E351" s="6"/>
      <c r="F351" s="6">
        <v>6.4740900525193101E-3</v>
      </c>
      <c r="G351" s="6"/>
      <c r="H351" s="6"/>
      <c r="I351" s="6" t="s">
        <v>233</v>
      </c>
      <c r="J351" s="6" t="s">
        <v>234</v>
      </c>
      <c r="K351" s="6">
        <v>3</v>
      </c>
    </row>
    <row r="352" spans="1:11" x14ac:dyDescent="0.25">
      <c r="A352" s="6" t="s">
        <v>2390</v>
      </c>
      <c r="B352" s="5" t="s">
        <v>2391</v>
      </c>
      <c r="C352" s="5" t="s">
        <v>2391</v>
      </c>
      <c r="D352" s="6" t="s">
        <v>2392</v>
      </c>
      <c r="E352" s="6" t="s">
        <v>269</v>
      </c>
      <c r="F352" s="6">
        <v>5.2359699999999999E-4</v>
      </c>
      <c r="G352" s="6" t="s">
        <v>271</v>
      </c>
      <c r="H352" s="6" t="s">
        <v>269</v>
      </c>
      <c r="I352" s="6" t="s">
        <v>233</v>
      </c>
      <c r="J352" s="6" t="s">
        <v>234</v>
      </c>
      <c r="K352" s="6">
        <v>3</v>
      </c>
    </row>
    <row r="353" spans="1:11" x14ac:dyDescent="0.25">
      <c r="A353" s="6" t="s">
        <v>2393</v>
      </c>
      <c r="B353" s="5" t="s">
        <v>2394</v>
      </c>
      <c r="C353" s="5" t="s">
        <v>2394</v>
      </c>
      <c r="D353" s="6" t="s">
        <v>2335</v>
      </c>
      <c r="E353" s="6" t="s">
        <v>263</v>
      </c>
      <c r="F353" s="6">
        <v>3.0449399999999999E-4</v>
      </c>
      <c r="G353" s="6" t="s">
        <v>265</v>
      </c>
      <c r="H353" s="6" t="s">
        <v>263</v>
      </c>
      <c r="I353" s="6" t="s">
        <v>233</v>
      </c>
      <c r="J353" s="6" t="s">
        <v>234</v>
      </c>
      <c r="K353" s="6">
        <v>3</v>
      </c>
    </row>
    <row r="354" spans="1:11" x14ac:dyDescent="0.25">
      <c r="A354" s="6" t="s">
        <v>2395</v>
      </c>
      <c r="B354" s="5" t="s">
        <v>2396</v>
      </c>
      <c r="C354" s="5" t="s">
        <v>2396</v>
      </c>
      <c r="D354" s="6" t="s">
        <v>2397</v>
      </c>
      <c r="E354" s="6" t="s">
        <v>254</v>
      </c>
      <c r="F354" s="6">
        <v>8.1312799999999998E-4</v>
      </c>
      <c r="G354" s="6" t="s">
        <v>256</v>
      </c>
      <c r="H354" s="6" t="s">
        <v>254</v>
      </c>
      <c r="I354" s="6" t="s">
        <v>233</v>
      </c>
      <c r="J354" s="6" t="s">
        <v>234</v>
      </c>
      <c r="K354" s="6">
        <v>3</v>
      </c>
    </row>
    <row r="355" spans="1:11" x14ac:dyDescent="0.25">
      <c r="A355" s="6" t="s">
        <v>2398</v>
      </c>
      <c r="B355" s="5" t="s">
        <v>416</v>
      </c>
      <c r="C355" s="5" t="s">
        <v>416</v>
      </c>
      <c r="D355" s="6" t="s">
        <v>2399</v>
      </c>
      <c r="E355" s="6" t="s">
        <v>269</v>
      </c>
      <c r="F355" s="6">
        <v>5.2359699999999999E-4</v>
      </c>
      <c r="G355" s="6" t="s">
        <v>271</v>
      </c>
      <c r="H355" s="6" t="s">
        <v>269</v>
      </c>
      <c r="I355" s="6" t="s">
        <v>233</v>
      </c>
      <c r="J355" s="6" t="s">
        <v>234</v>
      </c>
      <c r="K355" s="6">
        <v>3</v>
      </c>
    </row>
    <row r="356" spans="1:11" x14ac:dyDescent="0.25">
      <c r="A356" s="6" t="s">
        <v>2400</v>
      </c>
      <c r="B356" s="5" t="s">
        <v>2401</v>
      </c>
      <c r="C356" s="5" t="s">
        <v>2401</v>
      </c>
      <c r="D356" s="6" t="s">
        <v>1542</v>
      </c>
      <c r="E356" s="6" t="s">
        <v>1543</v>
      </c>
      <c r="F356" s="6">
        <v>5.2359699999999999E-5</v>
      </c>
      <c r="G356" s="6" t="s">
        <v>271</v>
      </c>
      <c r="H356" s="6" t="s">
        <v>269</v>
      </c>
      <c r="I356" s="6" t="s">
        <v>233</v>
      </c>
      <c r="J356" s="6" t="s">
        <v>234</v>
      </c>
      <c r="K356" s="6">
        <v>3</v>
      </c>
    </row>
    <row r="357" spans="1:11" x14ac:dyDescent="0.25">
      <c r="A357" s="6" t="s">
        <v>2402</v>
      </c>
      <c r="B357" s="5" t="s">
        <v>388</v>
      </c>
      <c r="C357" s="5" t="s">
        <v>388</v>
      </c>
      <c r="D357" s="6" t="s">
        <v>2403</v>
      </c>
      <c r="E357" s="6" t="s">
        <v>272</v>
      </c>
      <c r="F357" s="6">
        <v>6.1714022815180698E-4</v>
      </c>
      <c r="G357" s="6" t="s">
        <v>274</v>
      </c>
      <c r="H357" s="6" t="s">
        <v>272</v>
      </c>
      <c r="I357" s="6" t="s">
        <v>233</v>
      </c>
      <c r="J357" s="6" t="s">
        <v>234</v>
      </c>
      <c r="K357" s="6">
        <v>3</v>
      </c>
    </row>
    <row r="358" spans="1:11" x14ac:dyDescent="0.25">
      <c r="A358" s="6" t="s">
        <v>2404</v>
      </c>
      <c r="B358" s="5" t="s">
        <v>461</v>
      </c>
      <c r="C358" s="5" t="s">
        <v>461</v>
      </c>
      <c r="D358" s="6" t="s">
        <v>1644</v>
      </c>
      <c r="E358" s="6" t="s">
        <v>245</v>
      </c>
      <c r="F358" s="6">
        <v>1.0475809999999999E-3</v>
      </c>
      <c r="G358" s="6" t="s">
        <v>247</v>
      </c>
      <c r="H358" s="6" t="s">
        <v>245</v>
      </c>
      <c r="I358" s="6" t="s">
        <v>233</v>
      </c>
      <c r="J358" s="6" t="s">
        <v>234</v>
      </c>
      <c r="K358" s="6">
        <v>3</v>
      </c>
    </row>
    <row r="359" spans="1:11" x14ac:dyDescent="0.25">
      <c r="A359" s="6" t="s">
        <v>2405</v>
      </c>
      <c r="B359" s="5" t="s">
        <v>2406</v>
      </c>
      <c r="C359" s="5" t="s">
        <v>2406</v>
      </c>
      <c r="D359" s="6" t="s">
        <v>2254</v>
      </c>
      <c r="E359" s="6" t="s">
        <v>347</v>
      </c>
      <c r="F359" s="6">
        <v>2.10657E-4</v>
      </c>
      <c r="G359" s="6" t="s">
        <v>346</v>
      </c>
      <c r="H359" s="6" t="s">
        <v>347</v>
      </c>
      <c r="I359" s="6" t="s">
        <v>233</v>
      </c>
      <c r="J359" s="6" t="s">
        <v>234</v>
      </c>
      <c r="K359" s="6">
        <v>3</v>
      </c>
    </row>
    <row r="360" spans="1:11" x14ac:dyDescent="0.25">
      <c r="A360" s="6" t="s">
        <v>2407</v>
      </c>
      <c r="B360" s="5" t="s">
        <v>2408</v>
      </c>
      <c r="C360" s="5" t="s">
        <v>2408</v>
      </c>
      <c r="D360" s="6" t="s">
        <v>2409</v>
      </c>
      <c r="E360" s="6" t="s">
        <v>254</v>
      </c>
      <c r="F360" s="6">
        <v>8.1312799999999998E-4</v>
      </c>
      <c r="G360" s="6" t="s">
        <v>256</v>
      </c>
      <c r="H360" s="6" t="s">
        <v>254</v>
      </c>
      <c r="I360" s="6" t="s">
        <v>233</v>
      </c>
      <c r="J360" s="6" t="s">
        <v>234</v>
      </c>
      <c r="K360" s="6">
        <v>3</v>
      </c>
    </row>
    <row r="361" spans="1:11" x14ac:dyDescent="0.25">
      <c r="A361" s="6" t="s">
        <v>2410</v>
      </c>
      <c r="B361" s="5" t="s">
        <v>462</v>
      </c>
      <c r="C361" s="5" t="s">
        <v>462</v>
      </c>
      <c r="D361" s="6" t="s">
        <v>2411</v>
      </c>
      <c r="E361" s="6" t="s">
        <v>263</v>
      </c>
      <c r="F361" s="6">
        <v>3.0449377823614201E-4</v>
      </c>
      <c r="G361" s="6" t="s">
        <v>265</v>
      </c>
      <c r="H361" s="6" t="s">
        <v>263</v>
      </c>
      <c r="I361" s="6" t="s">
        <v>233</v>
      </c>
      <c r="J361" s="6" t="s">
        <v>234</v>
      </c>
      <c r="K361" s="6">
        <v>3</v>
      </c>
    </row>
    <row r="362" spans="1:11" x14ac:dyDescent="0.25">
      <c r="A362" s="6" t="s">
        <v>2412</v>
      </c>
      <c r="B362" s="5" t="s">
        <v>428</v>
      </c>
      <c r="C362" s="5" t="s">
        <v>428</v>
      </c>
      <c r="D362" s="6" t="s">
        <v>1854</v>
      </c>
      <c r="E362" s="6" t="s">
        <v>408</v>
      </c>
      <c r="F362" s="6">
        <v>1.67136339459407E-4</v>
      </c>
      <c r="G362" s="6" t="s">
        <v>407</v>
      </c>
      <c r="H362" s="6" t="s">
        <v>408</v>
      </c>
      <c r="I362" s="6" t="s">
        <v>233</v>
      </c>
      <c r="J362" s="6" t="s">
        <v>234</v>
      </c>
      <c r="K362" s="6">
        <v>3</v>
      </c>
    </row>
    <row r="363" spans="1:11" x14ac:dyDescent="0.25">
      <c r="A363" s="6" t="s">
        <v>2413</v>
      </c>
      <c r="B363" s="5" t="s">
        <v>2414</v>
      </c>
      <c r="C363" s="5" t="s">
        <v>2414</v>
      </c>
      <c r="D363" s="6" t="s">
        <v>2415</v>
      </c>
      <c r="E363" s="6" t="s">
        <v>245</v>
      </c>
      <c r="F363" s="6">
        <v>1.0475809999999999E-3</v>
      </c>
      <c r="G363" s="6" t="s">
        <v>247</v>
      </c>
      <c r="H363" s="6" t="s">
        <v>245</v>
      </c>
      <c r="I363" s="6" t="s">
        <v>233</v>
      </c>
      <c r="J363" s="6" t="s">
        <v>234</v>
      </c>
      <c r="K363" s="6">
        <v>3</v>
      </c>
    </row>
    <row r="364" spans="1:11" x14ac:dyDescent="0.25">
      <c r="A364" s="6" t="s">
        <v>2416</v>
      </c>
      <c r="B364" s="5" t="s">
        <v>2417</v>
      </c>
      <c r="C364" s="5" t="s">
        <v>2417</v>
      </c>
      <c r="D364" s="6" t="s">
        <v>1694</v>
      </c>
      <c r="E364" s="6" t="s">
        <v>263</v>
      </c>
      <c r="F364" s="6">
        <v>3.0449399999999999E-4</v>
      </c>
      <c r="G364" s="6" t="s">
        <v>265</v>
      </c>
      <c r="H364" s="6" t="s">
        <v>263</v>
      </c>
      <c r="I364" s="6" t="s">
        <v>233</v>
      </c>
      <c r="J364" s="6" t="s">
        <v>234</v>
      </c>
      <c r="K364" s="6">
        <v>3</v>
      </c>
    </row>
    <row r="365" spans="1:11" x14ac:dyDescent="0.25">
      <c r="A365" s="6" t="s">
        <v>2418</v>
      </c>
      <c r="B365" s="5" t="s">
        <v>2419</v>
      </c>
      <c r="C365" s="5" t="s">
        <v>2419</v>
      </c>
      <c r="D365" s="6" t="s">
        <v>2420</v>
      </c>
      <c r="E365" s="6" t="s">
        <v>257</v>
      </c>
      <c r="F365" s="6">
        <v>6.2829699999999999E-4</v>
      </c>
      <c r="G365" s="6" t="s">
        <v>259</v>
      </c>
      <c r="H365" s="6" t="s">
        <v>257</v>
      </c>
      <c r="I365" s="6" t="s">
        <v>233</v>
      </c>
      <c r="J365" s="6" t="s">
        <v>234</v>
      </c>
      <c r="K365" s="6">
        <v>3</v>
      </c>
    </row>
    <row r="366" spans="1:11" x14ac:dyDescent="0.25">
      <c r="A366" s="6" t="s">
        <v>2421</v>
      </c>
      <c r="B366" s="5" t="s">
        <v>2422</v>
      </c>
      <c r="C366" s="5" t="s">
        <v>2422</v>
      </c>
      <c r="D366" s="6" t="s">
        <v>2423</v>
      </c>
      <c r="E366" s="6" t="s">
        <v>245</v>
      </c>
      <c r="F366" s="6">
        <v>1.0475809999999999E-3</v>
      </c>
      <c r="G366" s="6" t="s">
        <v>247</v>
      </c>
      <c r="H366" s="6" t="s">
        <v>245</v>
      </c>
      <c r="I366" s="6" t="s">
        <v>233</v>
      </c>
      <c r="J366" s="6" t="s">
        <v>234</v>
      </c>
      <c r="K366" s="6">
        <v>3</v>
      </c>
    </row>
    <row r="367" spans="1:11" x14ac:dyDescent="0.25">
      <c r="A367" s="6" t="s">
        <v>2424</v>
      </c>
      <c r="B367" s="5" t="s">
        <v>2425</v>
      </c>
      <c r="C367" s="5" t="s">
        <v>2425</v>
      </c>
      <c r="D367" s="6" t="s">
        <v>2426</v>
      </c>
      <c r="E367" s="6" t="s">
        <v>269</v>
      </c>
      <c r="F367" s="6">
        <v>5.2359699999999999E-4</v>
      </c>
      <c r="G367" s="6" t="s">
        <v>271</v>
      </c>
      <c r="H367" s="6" t="s">
        <v>269</v>
      </c>
      <c r="I367" s="6" t="s">
        <v>233</v>
      </c>
      <c r="J367" s="6" t="s">
        <v>234</v>
      </c>
      <c r="K367" s="6">
        <v>3</v>
      </c>
    </row>
    <row r="368" spans="1:11" x14ac:dyDescent="0.25">
      <c r="A368" s="6" t="s">
        <v>2427</v>
      </c>
      <c r="B368" s="5" t="s">
        <v>2428</v>
      </c>
      <c r="C368" s="5" t="s">
        <v>2428</v>
      </c>
      <c r="D368" s="6" t="s">
        <v>2429</v>
      </c>
      <c r="E368" s="6" t="s">
        <v>269</v>
      </c>
      <c r="F368" s="6">
        <v>5.2359699999999999E-4</v>
      </c>
      <c r="G368" s="6" t="s">
        <v>271</v>
      </c>
      <c r="H368" s="6" t="s">
        <v>269</v>
      </c>
      <c r="I368" s="6" t="s">
        <v>233</v>
      </c>
      <c r="J368" s="6" t="s">
        <v>234</v>
      </c>
      <c r="K368" s="6">
        <v>3</v>
      </c>
    </row>
    <row r="369" spans="1:11" x14ac:dyDescent="0.25">
      <c r="A369" s="6" t="s">
        <v>2430</v>
      </c>
      <c r="B369" s="5" t="s">
        <v>2431</v>
      </c>
      <c r="C369" s="5" t="s">
        <v>2431</v>
      </c>
      <c r="D369" s="6" t="s">
        <v>2432</v>
      </c>
      <c r="E369" s="6" t="s">
        <v>248</v>
      </c>
      <c r="F369" s="6">
        <v>4.3868599999999998E-4</v>
      </c>
      <c r="G369" s="6" t="s">
        <v>250</v>
      </c>
      <c r="H369" s="6" t="s">
        <v>248</v>
      </c>
      <c r="I369" s="6" t="s">
        <v>233</v>
      </c>
      <c r="J369" s="6" t="s">
        <v>234</v>
      </c>
      <c r="K369" s="6">
        <v>3</v>
      </c>
    </row>
    <row r="370" spans="1:11" x14ac:dyDescent="0.25">
      <c r="A370" s="6" t="s">
        <v>2433</v>
      </c>
      <c r="B370" s="5" t="s">
        <v>2434</v>
      </c>
      <c r="C370" s="5" t="s">
        <v>2434</v>
      </c>
      <c r="D370" s="6" t="s">
        <v>1697</v>
      </c>
      <c r="E370" s="6" t="s">
        <v>269</v>
      </c>
      <c r="F370" s="6">
        <v>5.2359699999999999E-4</v>
      </c>
      <c r="G370" s="6" t="s">
        <v>271</v>
      </c>
      <c r="H370" s="6" t="s">
        <v>269</v>
      </c>
      <c r="I370" s="6" t="s">
        <v>233</v>
      </c>
      <c r="J370" s="6" t="s">
        <v>234</v>
      </c>
      <c r="K370" s="6">
        <v>3</v>
      </c>
    </row>
    <row r="371" spans="1:11" x14ac:dyDescent="0.25">
      <c r="A371" s="6" t="s">
        <v>2435</v>
      </c>
      <c r="B371" s="5" t="s">
        <v>2436</v>
      </c>
      <c r="C371" s="5" t="s">
        <v>2436</v>
      </c>
      <c r="D371" s="6" t="s">
        <v>2181</v>
      </c>
      <c r="E371" s="6" t="s">
        <v>260</v>
      </c>
      <c r="F371" s="6">
        <v>8.4137000000000003E-4</v>
      </c>
      <c r="G371" s="6" t="s">
        <v>262</v>
      </c>
      <c r="H371" s="6" t="s">
        <v>260</v>
      </c>
      <c r="I371" s="6" t="s">
        <v>233</v>
      </c>
      <c r="J371" s="6" t="s">
        <v>234</v>
      </c>
      <c r="K371" s="6">
        <v>3</v>
      </c>
    </row>
    <row r="372" spans="1:11" x14ac:dyDescent="0.25">
      <c r="A372" s="6" t="s">
        <v>2437</v>
      </c>
      <c r="B372" s="5" t="s">
        <v>2438</v>
      </c>
      <c r="C372" s="5" t="s">
        <v>2438</v>
      </c>
      <c r="D372" s="6" t="s">
        <v>2439</v>
      </c>
      <c r="E372" s="6" t="s">
        <v>254</v>
      </c>
      <c r="F372" s="6">
        <v>8.1312799999999998E-4</v>
      </c>
      <c r="G372" s="6" t="s">
        <v>256</v>
      </c>
      <c r="H372" s="6" t="s">
        <v>254</v>
      </c>
      <c r="I372" s="6" t="s">
        <v>233</v>
      </c>
      <c r="J372" s="6" t="s">
        <v>234</v>
      </c>
      <c r="K372" s="6">
        <v>3</v>
      </c>
    </row>
    <row r="373" spans="1:11" x14ac:dyDescent="0.25">
      <c r="A373" s="6" t="s">
        <v>2440</v>
      </c>
      <c r="B373" s="5" t="s">
        <v>2441</v>
      </c>
      <c r="C373" s="5" t="s">
        <v>2441</v>
      </c>
      <c r="D373" s="6" t="s">
        <v>1730</v>
      </c>
      <c r="E373" s="6" t="s">
        <v>248</v>
      </c>
      <c r="F373" s="6">
        <v>4.3868599999999998E-4</v>
      </c>
      <c r="G373" s="6" t="s">
        <v>250</v>
      </c>
      <c r="H373" s="6" t="s">
        <v>248</v>
      </c>
      <c r="I373" s="6" t="s">
        <v>233</v>
      </c>
      <c r="J373" s="6" t="s">
        <v>234</v>
      </c>
      <c r="K373" s="6">
        <v>3</v>
      </c>
    </row>
    <row r="374" spans="1:11" x14ac:dyDescent="0.25">
      <c r="A374" s="6" t="s">
        <v>2442</v>
      </c>
      <c r="B374" s="5" t="s">
        <v>2443</v>
      </c>
      <c r="C374" s="5" t="s">
        <v>2443</v>
      </c>
      <c r="D374" s="6" t="s">
        <v>2444</v>
      </c>
      <c r="E374" s="6" t="s">
        <v>254</v>
      </c>
      <c r="F374" s="6">
        <v>8.1312799999999998E-4</v>
      </c>
      <c r="G374" s="6" t="s">
        <v>256</v>
      </c>
      <c r="H374" s="6" t="s">
        <v>254</v>
      </c>
      <c r="I374" s="6" t="s">
        <v>233</v>
      </c>
      <c r="J374" s="6" t="s">
        <v>234</v>
      </c>
      <c r="K374" s="6">
        <v>3</v>
      </c>
    </row>
    <row r="375" spans="1:11" x14ac:dyDescent="0.25">
      <c r="A375" s="6" t="s">
        <v>2445</v>
      </c>
      <c r="B375" s="5" t="s">
        <v>2446</v>
      </c>
      <c r="C375" s="5" t="s">
        <v>2446</v>
      </c>
      <c r="D375" s="6" t="s">
        <v>2403</v>
      </c>
      <c r="E375" s="6" t="s">
        <v>272</v>
      </c>
      <c r="F375" s="6">
        <v>6.1714022815180698E-4</v>
      </c>
      <c r="G375" s="6" t="s">
        <v>274</v>
      </c>
      <c r="H375" s="6" t="s">
        <v>272</v>
      </c>
      <c r="I375" s="6" t="s">
        <v>233</v>
      </c>
      <c r="J375" s="6" t="s">
        <v>234</v>
      </c>
      <c r="K375" s="6">
        <v>3</v>
      </c>
    </row>
    <row r="376" spans="1:11" x14ac:dyDescent="0.25">
      <c r="A376" s="6" t="s">
        <v>2447</v>
      </c>
      <c r="B376" s="5" t="s">
        <v>2448</v>
      </c>
      <c r="C376" s="5" t="s">
        <v>2448</v>
      </c>
      <c r="D376" s="6" t="s">
        <v>2449</v>
      </c>
      <c r="E376" s="6" t="s">
        <v>263</v>
      </c>
      <c r="F376" s="6">
        <v>3.0449399999999999E-4</v>
      </c>
      <c r="G376" s="6" t="s">
        <v>265</v>
      </c>
      <c r="H376" s="6" t="s">
        <v>263</v>
      </c>
      <c r="I376" s="6" t="s">
        <v>233</v>
      </c>
      <c r="J376" s="6" t="s">
        <v>234</v>
      </c>
      <c r="K376" s="6">
        <v>3</v>
      </c>
    </row>
    <row r="377" spans="1:11" x14ac:dyDescent="0.25">
      <c r="A377" s="6" t="s">
        <v>2450</v>
      </c>
      <c r="B377" s="5" t="s">
        <v>2451</v>
      </c>
      <c r="C377" s="5" t="s">
        <v>2451</v>
      </c>
      <c r="D377" s="6" t="s">
        <v>2452</v>
      </c>
      <c r="E377" s="6" t="s">
        <v>269</v>
      </c>
      <c r="F377" s="6">
        <v>5.2359699999999999E-4</v>
      </c>
      <c r="G377" s="6" t="s">
        <v>271</v>
      </c>
      <c r="H377" s="6" t="s">
        <v>269</v>
      </c>
      <c r="I377" s="6" t="s">
        <v>233</v>
      </c>
      <c r="J377" s="6" t="s">
        <v>234</v>
      </c>
      <c r="K377" s="6">
        <v>3</v>
      </c>
    </row>
    <row r="378" spans="1:11" x14ac:dyDescent="0.25">
      <c r="A378" s="6" t="s">
        <v>2453</v>
      </c>
      <c r="B378" s="5" t="s">
        <v>1049</v>
      </c>
      <c r="C378" s="5" t="s">
        <v>1049</v>
      </c>
      <c r="D378" s="6" t="s">
        <v>2454</v>
      </c>
      <c r="E378" s="6" t="s">
        <v>245</v>
      </c>
      <c r="F378" s="6">
        <v>1.0475809999999999E-3</v>
      </c>
      <c r="G378" s="6" t="s">
        <v>247</v>
      </c>
      <c r="H378" s="6" t="s">
        <v>245</v>
      </c>
      <c r="I378" s="6" t="s">
        <v>233</v>
      </c>
      <c r="J378" s="6" t="s">
        <v>234</v>
      </c>
      <c r="K378" s="6">
        <v>3</v>
      </c>
    </row>
    <row r="379" spans="1:11" x14ac:dyDescent="0.25">
      <c r="A379" s="6" t="s">
        <v>2455</v>
      </c>
      <c r="B379" s="5" t="s">
        <v>445</v>
      </c>
      <c r="C379" s="5" t="s">
        <v>445</v>
      </c>
      <c r="D379" s="6" t="s">
        <v>2082</v>
      </c>
      <c r="E379" s="6" t="s">
        <v>347</v>
      </c>
      <c r="F379" s="6">
        <v>2.1065654610590999E-4</v>
      </c>
      <c r="G379" s="6" t="s">
        <v>346</v>
      </c>
      <c r="H379" s="6" t="s">
        <v>347</v>
      </c>
      <c r="I379" s="6" t="s">
        <v>233</v>
      </c>
      <c r="J379" s="6" t="s">
        <v>234</v>
      </c>
      <c r="K379" s="6">
        <v>3</v>
      </c>
    </row>
    <row r="380" spans="1:11" x14ac:dyDescent="0.25">
      <c r="A380" s="6" t="s">
        <v>2456</v>
      </c>
      <c r="B380" s="5" t="s">
        <v>2457</v>
      </c>
      <c r="C380" s="5" t="s">
        <v>2457</v>
      </c>
      <c r="D380" s="6" t="s">
        <v>2202</v>
      </c>
      <c r="E380" s="6" t="s">
        <v>248</v>
      </c>
      <c r="F380" s="6">
        <v>4.3868599999999998E-4</v>
      </c>
      <c r="G380" s="6" t="s">
        <v>250</v>
      </c>
      <c r="H380" s="6" t="s">
        <v>248</v>
      </c>
      <c r="I380" s="6" t="s">
        <v>233</v>
      </c>
      <c r="J380" s="6" t="s">
        <v>234</v>
      </c>
      <c r="K380" s="6">
        <v>3</v>
      </c>
    </row>
    <row r="381" spans="1:11" x14ac:dyDescent="0.25">
      <c r="A381" s="6" t="s">
        <v>2458</v>
      </c>
      <c r="B381" s="5" t="s">
        <v>2459</v>
      </c>
      <c r="C381" s="5" t="s">
        <v>2459</v>
      </c>
      <c r="D381" s="6" t="s">
        <v>2460</v>
      </c>
      <c r="E381" s="6" t="s">
        <v>248</v>
      </c>
      <c r="F381" s="6">
        <v>4.3868599999999998E-4</v>
      </c>
      <c r="G381" s="6" t="s">
        <v>250</v>
      </c>
      <c r="H381" s="6" t="s">
        <v>248</v>
      </c>
      <c r="I381" s="6" t="s">
        <v>233</v>
      </c>
      <c r="J381" s="6" t="s">
        <v>234</v>
      </c>
      <c r="K381" s="6">
        <v>3</v>
      </c>
    </row>
    <row r="382" spans="1:11" x14ac:dyDescent="0.25">
      <c r="A382" s="6" t="s">
        <v>2461</v>
      </c>
      <c r="B382" s="5" t="s">
        <v>2462</v>
      </c>
      <c r="C382" s="5" t="s">
        <v>2462</v>
      </c>
      <c r="D382" s="6" t="s">
        <v>1976</v>
      </c>
      <c r="E382" s="6" t="s">
        <v>254</v>
      </c>
      <c r="F382" s="6">
        <v>8.1312799999999998E-4</v>
      </c>
      <c r="G382" s="6" t="s">
        <v>256</v>
      </c>
      <c r="H382" s="6" t="s">
        <v>254</v>
      </c>
      <c r="I382" s="6" t="s">
        <v>233</v>
      </c>
      <c r="J382" s="6" t="s">
        <v>234</v>
      </c>
      <c r="K382" s="6">
        <v>3</v>
      </c>
    </row>
    <row r="383" spans="1:11" x14ac:dyDescent="0.25">
      <c r="A383" s="6" t="s">
        <v>2463</v>
      </c>
      <c r="B383" s="5" t="s">
        <v>2464</v>
      </c>
      <c r="C383" s="5" t="s">
        <v>2464</v>
      </c>
      <c r="D383" s="6" t="s">
        <v>2465</v>
      </c>
      <c r="E383" s="6" t="s">
        <v>254</v>
      </c>
      <c r="F383" s="6">
        <v>8.1312799999999998E-4</v>
      </c>
      <c r="G383" s="6" t="s">
        <v>256</v>
      </c>
      <c r="H383" s="6" t="s">
        <v>254</v>
      </c>
      <c r="I383" s="6" t="s">
        <v>233</v>
      </c>
      <c r="J383" s="6" t="s">
        <v>234</v>
      </c>
      <c r="K383" s="6">
        <v>3</v>
      </c>
    </row>
    <row r="384" spans="1:11" x14ac:dyDescent="0.25">
      <c r="A384" s="6" t="s">
        <v>2466</v>
      </c>
      <c r="B384" s="5" t="s">
        <v>417</v>
      </c>
      <c r="C384" s="5" t="s">
        <v>417</v>
      </c>
      <c r="D384" s="6" t="s">
        <v>2467</v>
      </c>
      <c r="E384" s="6" t="s">
        <v>254</v>
      </c>
      <c r="F384" s="6">
        <v>8.1312799999999998E-4</v>
      </c>
      <c r="G384" s="6" t="s">
        <v>256</v>
      </c>
      <c r="H384" s="6" t="s">
        <v>254</v>
      </c>
      <c r="I384" s="6" t="s">
        <v>233</v>
      </c>
      <c r="J384" s="6" t="s">
        <v>234</v>
      </c>
      <c r="K384" s="6">
        <v>3</v>
      </c>
    </row>
    <row r="385" spans="1:11" x14ac:dyDescent="0.25">
      <c r="A385" s="6" t="s">
        <v>2468</v>
      </c>
      <c r="B385" s="5" t="s">
        <v>2469</v>
      </c>
      <c r="C385" s="5" t="s">
        <v>2469</v>
      </c>
      <c r="D385" s="6" t="s">
        <v>2470</v>
      </c>
      <c r="E385" s="6" t="s">
        <v>254</v>
      </c>
      <c r="F385" s="6">
        <v>8.1312799999999998E-4</v>
      </c>
      <c r="G385" s="6" t="s">
        <v>256</v>
      </c>
      <c r="H385" s="6" t="s">
        <v>254</v>
      </c>
      <c r="I385" s="6" t="s">
        <v>233</v>
      </c>
      <c r="J385" s="6" t="s">
        <v>234</v>
      </c>
      <c r="K385" s="6">
        <v>3</v>
      </c>
    </row>
    <row r="386" spans="1:11" x14ac:dyDescent="0.25">
      <c r="A386" s="6" t="s">
        <v>2471</v>
      </c>
      <c r="B386" s="5" t="s">
        <v>2472</v>
      </c>
      <c r="C386" s="5" t="s">
        <v>2472</v>
      </c>
      <c r="D386" s="6" t="s">
        <v>2473</v>
      </c>
      <c r="E386" s="6" t="s">
        <v>248</v>
      </c>
      <c r="F386" s="6">
        <v>4.3868599999999998E-4</v>
      </c>
      <c r="G386" s="6" t="s">
        <v>250</v>
      </c>
      <c r="H386" s="6" t="s">
        <v>248</v>
      </c>
      <c r="I386" s="6" t="s">
        <v>233</v>
      </c>
      <c r="J386" s="6" t="s">
        <v>234</v>
      </c>
      <c r="K386" s="6">
        <v>3</v>
      </c>
    </row>
    <row r="387" spans="1:11" x14ac:dyDescent="0.25">
      <c r="A387" s="6" t="s">
        <v>2474</v>
      </c>
      <c r="B387" s="5" t="s">
        <v>2475</v>
      </c>
      <c r="C387" s="5" t="s">
        <v>2475</v>
      </c>
      <c r="D387" s="6" t="s">
        <v>2476</v>
      </c>
      <c r="E387" s="6" t="s">
        <v>254</v>
      </c>
      <c r="F387" s="6">
        <v>8.1312799999999998E-4</v>
      </c>
      <c r="G387" s="6" t="s">
        <v>256</v>
      </c>
      <c r="H387" s="6" t="s">
        <v>254</v>
      </c>
      <c r="I387" s="6" t="s">
        <v>233</v>
      </c>
      <c r="J387" s="6" t="s">
        <v>234</v>
      </c>
      <c r="K387" s="6">
        <v>3</v>
      </c>
    </row>
    <row r="388" spans="1:11" x14ac:dyDescent="0.25">
      <c r="A388" s="6" t="s">
        <v>2477</v>
      </c>
      <c r="B388" s="5" t="s">
        <v>2478</v>
      </c>
      <c r="C388" s="5" t="s">
        <v>2478</v>
      </c>
      <c r="D388" s="6" t="s">
        <v>2479</v>
      </c>
      <c r="E388" s="6" t="s">
        <v>269</v>
      </c>
      <c r="F388" s="6">
        <v>5.2359699999999999E-4</v>
      </c>
      <c r="G388" s="6" t="s">
        <v>271</v>
      </c>
      <c r="H388" s="6" t="s">
        <v>269</v>
      </c>
      <c r="I388" s="6" t="s">
        <v>233</v>
      </c>
      <c r="J388" s="6" t="s">
        <v>234</v>
      </c>
      <c r="K388" s="6">
        <v>3</v>
      </c>
    </row>
    <row r="389" spans="1:11" x14ac:dyDescent="0.25">
      <c r="A389" s="6" t="s">
        <v>2480</v>
      </c>
      <c r="B389" s="5" t="s">
        <v>2481</v>
      </c>
      <c r="C389" s="5" t="s">
        <v>2481</v>
      </c>
      <c r="D389" s="6" t="s">
        <v>2482</v>
      </c>
      <c r="E389" s="6" t="s">
        <v>269</v>
      </c>
      <c r="F389" s="6">
        <v>5.2359699999999999E-4</v>
      </c>
      <c r="G389" s="6" t="s">
        <v>271</v>
      </c>
      <c r="H389" s="6" t="s">
        <v>269</v>
      </c>
      <c r="I389" s="6" t="s">
        <v>233</v>
      </c>
      <c r="J389" s="6" t="s">
        <v>234</v>
      </c>
      <c r="K389" s="6">
        <v>3</v>
      </c>
    </row>
    <row r="390" spans="1:11" x14ac:dyDescent="0.25">
      <c r="A390" s="6" t="s">
        <v>2483</v>
      </c>
      <c r="B390" s="5" t="s">
        <v>2484</v>
      </c>
      <c r="C390" s="5" t="s">
        <v>2484</v>
      </c>
      <c r="D390" s="6" t="s">
        <v>2485</v>
      </c>
      <c r="E390" s="6" t="s">
        <v>269</v>
      </c>
      <c r="F390" s="6">
        <v>5.2359699999999999E-4</v>
      </c>
      <c r="G390" s="6" t="s">
        <v>271</v>
      </c>
      <c r="H390" s="6" t="s">
        <v>269</v>
      </c>
      <c r="I390" s="6" t="s">
        <v>233</v>
      </c>
      <c r="J390" s="6" t="s">
        <v>234</v>
      </c>
      <c r="K390" s="6">
        <v>3</v>
      </c>
    </row>
    <row r="391" spans="1:11" x14ac:dyDescent="0.25">
      <c r="A391" s="6" t="s">
        <v>2486</v>
      </c>
      <c r="B391" s="5" t="s">
        <v>446</v>
      </c>
      <c r="C391" s="5" t="s">
        <v>446</v>
      </c>
      <c r="D391" s="6" t="s">
        <v>2356</v>
      </c>
      <c r="E391" s="6" t="s">
        <v>347</v>
      </c>
      <c r="F391" s="6">
        <v>2.1065654610590999E-4</v>
      </c>
      <c r="G391" s="6" t="s">
        <v>346</v>
      </c>
      <c r="H391" s="6" t="s">
        <v>347</v>
      </c>
      <c r="I391" s="6" t="s">
        <v>233</v>
      </c>
      <c r="J391" s="6" t="s">
        <v>234</v>
      </c>
      <c r="K391" s="6">
        <v>3</v>
      </c>
    </row>
    <row r="392" spans="1:11" x14ac:dyDescent="0.25">
      <c r="A392" s="6" t="s">
        <v>2487</v>
      </c>
      <c r="B392" s="5" t="s">
        <v>2488</v>
      </c>
      <c r="C392" s="5" t="s">
        <v>2488</v>
      </c>
      <c r="D392" s="6" t="s">
        <v>1771</v>
      </c>
      <c r="E392" s="6" t="s">
        <v>254</v>
      </c>
      <c r="F392" s="6">
        <v>8.1312799999999998E-4</v>
      </c>
      <c r="G392" s="6" t="s">
        <v>256</v>
      </c>
      <c r="H392" s="6" t="s">
        <v>254</v>
      </c>
      <c r="I392" s="6" t="s">
        <v>233</v>
      </c>
      <c r="J392" s="6" t="s">
        <v>234</v>
      </c>
      <c r="K392" s="6">
        <v>3</v>
      </c>
    </row>
    <row r="393" spans="1:11" x14ac:dyDescent="0.25">
      <c r="A393" s="6" t="s">
        <v>2489</v>
      </c>
      <c r="B393" s="5" t="s">
        <v>2490</v>
      </c>
      <c r="C393" s="5" t="s">
        <v>2490</v>
      </c>
      <c r="D393" s="6" t="s">
        <v>2460</v>
      </c>
      <c r="E393" s="6" t="s">
        <v>263</v>
      </c>
      <c r="F393" s="6">
        <v>3.0449399999999999E-4</v>
      </c>
      <c r="G393" s="6" t="s">
        <v>265</v>
      </c>
      <c r="H393" s="6" t="s">
        <v>263</v>
      </c>
      <c r="I393" s="6" t="s">
        <v>233</v>
      </c>
      <c r="J393" s="6" t="s">
        <v>234</v>
      </c>
      <c r="K393" s="6">
        <v>3</v>
      </c>
    </row>
    <row r="394" spans="1:11" x14ac:dyDescent="0.25">
      <c r="A394" s="6" t="s">
        <v>2491</v>
      </c>
      <c r="B394" s="5" t="s">
        <v>2492</v>
      </c>
      <c r="C394" s="5" t="s">
        <v>2492</v>
      </c>
      <c r="D394" s="6" t="s">
        <v>2493</v>
      </c>
      <c r="E394" s="6" t="s">
        <v>414</v>
      </c>
      <c r="F394" s="6">
        <v>3.1322198387294099E-4</v>
      </c>
      <c r="G394" s="6" t="s">
        <v>413</v>
      </c>
      <c r="H394" s="6" t="s">
        <v>414</v>
      </c>
      <c r="I394" s="6" t="s">
        <v>233</v>
      </c>
      <c r="J394" s="6" t="s">
        <v>234</v>
      </c>
      <c r="K394" s="6">
        <v>3</v>
      </c>
    </row>
    <row r="395" spans="1:11" ht="30" x14ac:dyDescent="0.25">
      <c r="A395" s="6" t="s">
        <v>2494</v>
      </c>
      <c r="B395" s="5" t="s">
        <v>2495</v>
      </c>
      <c r="C395" s="5" t="s">
        <v>2495</v>
      </c>
      <c r="D395" s="6" t="s">
        <v>2122</v>
      </c>
      <c r="E395" s="6" t="s">
        <v>248</v>
      </c>
      <c r="F395" s="6">
        <v>4.3868599999999998E-4</v>
      </c>
      <c r="G395" s="6" t="s">
        <v>250</v>
      </c>
      <c r="H395" s="6" t="s">
        <v>248</v>
      </c>
      <c r="I395" s="6" t="s">
        <v>233</v>
      </c>
      <c r="J395" s="6" t="s">
        <v>234</v>
      </c>
      <c r="K395" s="6">
        <v>3</v>
      </c>
    </row>
    <row r="396" spans="1:11" x14ac:dyDescent="0.25">
      <c r="A396" s="6" t="s">
        <v>2496</v>
      </c>
      <c r="B396" s="5" t="s">
        <v>2497</v>
      </c>
      <c r="C396" s="5" t="s">
        <v>2497</v>
      </c>
      <c r="D396" s="6" t="s">
        <v>2498</v>
      </c>
      <c r="E396" s="6" t="s">
        <v>254</v>
      </c>
      <c r="F396" s="6">
        <v>8.1312799999999998E-4</v>
      </c>
      <c r="G396" s="6" t="s">
        <v>256</v>
      </c>
      <c r="H396" s="6" t="s">
        <v>254</v>
      </c>
      <c r="I396" s="6" t="s">
        <v>233</v>
      </c>
      <c r="J396" s="6" t="s">
        <v>234</v>
      </c>
      <c r="K396" s="6">
        <v>3</v>
      </c>
    </row>
    <row r="397" spans="1:11" x14ac:dyDescent="0.25">
      <c r="A397" s="6" t="s">
        <v>2499</v>
      </c>
      <c r="B397" s="5" t="s">
        <v>2500</v>
      </c>
      <c r="C397" s="5" t="s">
        <v>2500</v>
      </c>
      <c r="D397" s="6" t="s">
        <v>2501</v>
      </c>
      <c r="E397" s="6" t="s">
        <v>347</v>
      </c>
      <c r="F397" s="6">
        <v>2.10657E-4</v>
      </c>
      <c r="G397" s="6" t="s">
        <v>346</v>
      </c>
      <c r="H397" s="6" t="s">
        <v>347</v>
      </c>
      <c r="I397" s="6" t="s">
        <v>233</v>
      </c>
      <c r="J397" s="6" t="s">
        <v>234</v>
      </c>
      <c r="K397" s="6">
        <v>3</v>
      </c>
    </row>
    <row r="398" spans="1:11" x14ac:dyDescent="0.25">
      <c r="A398" s="6" t="s">
        <v>2502</v>
      </c>
      <c r="B398" s="5" t="s">
        <v>2503</v>
      </c>
      <c r="C398" s="5" t="s">
        <v>2503</v>
      </c>
      <c r="D398" s="6" t="s">
        <v>2504</v>
      </c>
      <c r="E398" s="6" t="s">
        <v>245</v>
      </c>
      <c r="F398" s="6">
        <v>1.0475809999999999E-3</v>
      </c>
      <c r="G398" s="6" t="s">
        <v>247</v>
      </c>
      <c r="H398" s="6" t="s">
        <v>245</v>
      </c>
      <c r="I398" s="6" t="s">
        <v>233</v>
      </c>
      <c r="J398" s="6" t="s">
        <v>234</v>
      </c>
      <c r="K398" s="6">
        <v>3</v>
      </c>
    </row>
    <row r="399" spans="1:11" x14ac:dyDescent="0.25">
      <c r="A399" s="6" t="s">
        <v>2505</v>
      </c>
      <c r="B399" s="5" t="s">
        <v>2506</v>
      </c>
      <c r="C399" s="5" t="s">
        <v>2506</v>
      </c>
      <c r="D399" s="6" t="s">
        <v>1577</v>
      </c>
      <c r="E399" s="6" t="s">
        <v>248</v>
      </c>
      <c r="F399" s="6">
        <v>4.3868599999999998E-4</v>
      </c>
      <c r="G399" s="6" t="s">
        <v>250</v>
      </c>
      <c r="H399" s="6" t="s">
        <v>248</v>
      </c>
      <c r="I399" s="6" t="s">
        <v>233</v>
      </c>
      <c r="J399" s="6" t="s">
        <v>234</v>
      </c>
      <c r="K399" s="6">
        <v>3</v>
      </c>
    </row>
    <row r="400" spans="1:11" x14ac:dyDescent="0.25">
      <c r="A400" s="6" t="s">
        <v>2507</v>
      </c>
      <c r="B400" s="5" t="s">
        <v>2508</v>
      </c>
      <c r="C400" s="5" t="s">
        <v>2508</v>
      </c>
      <c r="D400" s="6" t="s">
        <v>1758</v>
      </c>
      <c r="E400" s="6" t="s">
        <v>254</v>
      </c>
      <c r="F400" s="6">
        <v>8.1312799999999998E-4</v>
      </c>
      <c r="G400" s="6" t="s">
        <v>256</v>
      </c>
      <c r="H400" s="6" t="s">
        <v>254</v>
      </c>
      <c r="I400" s="6" t="s">
        <v>233</v>
      </c>
      <c r="J400" s="6" t="s">
        <v>234</v>
      </c>
      <c r="K400" s="6">
        <v>3</v>
      </c>
    </row>
    <row r="401" spans="1:11" x14ac:dyDescent="0.25">
      <c r="A401" s="6" t="s">
        <v>2509</v>
      </c>
      <c r="B401" s="5" t="s">
        <v>2510</v>
      </c>
      <c r="C401" s="5" t="s">
        <v>2510</v>
      </c>
      <c r="D401" s="6" t="s">
        <v>2511</v>
      </c>
      <c r="E401" s="6" t="s">
        <v>245</v>
      </c>
      <c r="F401" s="6">
        <v>1.0475809999999999E-3</v>
      </c>
      <c r="G401" s="6" t="s">
        <v>247</v>
      </c>
      <c r="H401" s="6" t="s">
        <v>245</v>
      </c>
      <c r="I401" s="6" t="s">
        <v>233</v>
      </c>
      <c r="J401" s="6" t="s">
        <v>234</v>
      </c>
      <c r="K401" s="6">
        <v>3</v>
      </c>
    </row>
    <row r="402" spans="1:11" x14ac:dyDescent="0.25">
      <c r="A402" s="6" t="s">
        <v>2512</v>
      </c>
      <c r="B402" s="5" t="s">
        <v>395</v>
      </c>
      <c r="C402" s="5" t="s">
        <v>395</v>
      </c>
      <c r="D402" s="6" t="s">
        <v>2513</v>
      </c>
      <c r="E402" s="6" t="s">
        <v>278</v>
      </c>
      <c r="F402" s="6">
        <v>6.2829694864387296E-4</v>
      </c>
      <c r="G402" s="6" t="s">
        <v>280</v>
      </c>
      <c r="H402" s="6" t="s">
        <v>278</v>
      </c>
      <c r="I402" s="6" t="s">
        <v>233</v>
      </c>
      <c r="J402" s="6" t="s">
        <v>234</v>
      </c>
      <c r="K402" s="6">
        <v>3</v>
      </c>
    </row>
    <row r="403" spans="1:11" x14ac:dyDescent="0.25">
      <c r="A403" s="6" t="s">
        <v>2514</v>
      </c>
      <c r="B403" s="5" t="s">
        <v>2515</v>
      </c>
      <c r="C403" s="5" t="s">
        <v>2515</v>
      </c>
      <c r="D403" s="6" t="s">
        <v>1694</v>
      </c>
      <c r="E403" s="6" t="s">
        <v>263</v>
      </c>
      <c r="F403" s="6">
        <v>3.0449399999999999E-4</v>
      </c>
      <c r="G403" s="6" t="s">
        <v>265</v>
      </c>
      <c r="H403" s="6" t="s">
        <v>263</v>
      </c>
      <c r="I403" s="6" t="s">
        <v>233</v>
      </c>
      <c r="J403" s="6" t="s">
        <v>234</v>
      </c>
      <c r="K403" s="6">
        <v>3</v>
      </c>
    </row>
    <row r="404" spans="1:11" x14ac:dyDescent="0.25">
      <c r="A404" s="6" t="s">
        <v>2516</v>
      </c>
      <c r="B404" s="5" t="s">
        <v>2517</v>
      </c>
      <c r="C404" s="5" t="s">
        <v>2517</v>
      </c>
      <c r="D404" s="6" t="s">
        <v>2518</v>
      </c>
      <c r="E404" s="6" t="s">
        <v>466</v>
      </c>
      <c r="F404" s="6">
        <v>2.21282957707349E-4</v>
      </c>
      <c r="G404" s="6" t="s">
        <v>465</v>
      </c>
      <c r="H404" s="6" t="s">
        <v>466</v>
      </c>
      <c r="I404" s="6" t="s">
        <v>233</v>
      </c>
      <c r="J404" s="6" t="s">
        <v>234</v>
      </c>
      <c r="K404" s="6">
        <v>3</v>
      </c>
    </row>
    <row r="405" spans="1:11" x14ac:dyDescent="0.25">
      <c r="A405" s="6" t="s">
        <v>2519</v>
      </c>
      <c r="B405" s="5" t="s">
        <v>2520</v>
      </c>
      <c r="C405" s="5" t="s">
        <v>2520</v>
      </c>
      <c r="D405" s="6" t="s">
        <v>2518</v>
      </c>
      <c r="E405" s="6" t="s">
        <v>466</v>
      </c>
      <c r="F405" s="6">
        <v>2.21282957707349E-4</v>
      </c>
      <c r="G405" s="6" t="s">
        <v>465</v>
      </c>
      <c r="H405" s="6" t="s">
        <v>466</v>
      </c>
      <c r="I405" s="6" t="s">
        <v>233</v>
      </c>
      <c r="J405" s="6" t="s">
        <v>234</v>
      </c>
      <c r="K405" s="6">
        <v>3</v>
      </c>
    </row>
    <row r="406" spans="1:11" x14ac:dyDescent="0.25">
      <c r="A406" s="6" t="s">
        <v>2521</v>
      </c>
      <c r="B406" s="5" t="s">
        <v>410</v>
      </c>
      <c r="C406" s="5" t="s">
        <v>410</v>
      </c>
      <c r="D406" s="6" t="s">
        <v>2282</v>
      </c>
      <c r="E406" s="6" t="s">
        <v>744</v>
      </c>
      <c r="F406" s="6">
        <v>3.813E-4</v>
      </c>
      <c r="G406" s="6" t="s">
        <v>743</v>
      </c>
      <c r="H406" s="6" t="s">
        <v>744</v>
      </c>
      <c r="I406" s="6" t="s">
        <v>233</v>
      </c>
      <c r="J406" s="6" t="s">
        <v>234</v>
      </c>
      <c r="K406" s="6">
        <v>3</v>
      </c>
    </row>
    <row r="407" spans="1:11" x14ac:dyDescent="0.25">
      <c r="A407" s="6" t="s">
        <v>2522</v>
      </c>
      <c r="B407" s="5" t="s">
        <v>2523</v>
      </c>
      <c r="C407" s="5" t="s">
        <v>2523</v>
      </c>
      <c r="D407" s="6" t="s">
        <v>2524</v>
      </c>
      <c r="E407" s="6" t="s">
        <v>254</v>
      </c>
      <c r="F407" s="6">
        <v>8.1312799999999998E-4</v>
      </c>
      <c r="G407" s="6" t="s">
        <v>256</v>
      </c>
      <c r="H407" s="6" t="s">
        <v>254</v>
      </c>
      <c r="I407" s="6" t="s">
        <v>233</v>
      </c>
      <c r="J407" s="6" t="s">
        <v>234</v>
      </c>
      <c r="K407" s="6">
        <v>3</v>
      </c>
    </row>
    <row r="408" spans="1:11" x14ac:dyDescent="0.25">
      <c r="A408" s="6" t="s">
        <v>2525</v>
      </c>
      <c r="B408" s="5" t="s">
        <v>2526</v>
      </c>
      <c r="C408" s="5" t="s">
        <v>2526</v>
      </c>
      <c r="D408" s="6" t="s">
        <v>2527</v>
      </c>
      <c r="E408" s="6" t="s">
        <v>263</v>
      </c>
      <c r="F408" s="6">
        <v>3.0449399999999999E-4</v>
      </c>
      <c r="G408" s="6" t="s">
        <v>265</v>
      </c>
      <c r="H408" s="6" t="s">
        <v>263</v>
      </c>
      <c r="I408" s="6" t="s">
        <v>233</v>
      </c>
      <c r="J408" s="6" t="s">
        <v>234</v>
      </c>
      <c r="K408" s="6">
        <v>3</v>
      </c>
    </row>
    <row r="409" spans="1:11" x14ac:dyDescent="0.25">
      <c r="A409" s="6" t="s">
        <v>2528</v>
      </c>
      <c r="B409" s="5" t="s">
        <v>2529</v>
      </c>
      <c r="C409" s="5" t="s">
        <v>2529</v>
      </c>
      <c r="D409" s="6" t="s">
        <v>2530</v>
      </c>
      <c r="E409" s="6" t="s">
        <v>347</v>
      </c>
      <c r="F409" s="6">
        <v>2.1065654610590999E-4</v>
      </c>
      <c r="G409" s="6" t="s">
        <v>346</v>
      </c>
      <c r="H409" s="6" t="s">
        <v>347</v>
      </c>
      <c r="I409" s="6" t="s">
        <v>233</v>
      </c>
      <c r="J409" s="6" t="s">
        <v>234</v>
      </c>
      <c r="K409" s="6">
        <v>3</v>
      </c>
    </row>
    <row r="410" spans="1:11" x14ac:dyDescent="0.25">
      <c r="A410" s="6" t="s">
        <v>2531</v>
      </c>
      <c r="B410" s="5" t="s">
        <v>2532</v>
      </c>
      <c r="C410" s="5" t="s">
        <v>2532</v>
      </c>
      <c r="D410" s="6" t="s">
        <v>1631</v>
      </c>
      <c r="E410" s="6" t="s">
        <v>1632</v>
      </c>
      <c r="F410" s="6">
        <v>5.2359699999999999E-4</v>
      </c>
      <c r="G410" s="6" t="s">
        <v>271</v>
      </c>
      <c r="H410" s="6" t="s">
        <v>269</v>
      </c>
      <c r="I410" s="6" t="s">
        <v>233</v>
      </c>
      <c r="J410" s="6" t="s">
        <v>234</v>
      </c>
      <c r="K410" s="6">
        <v>3</v>
      </c>
    </row>
    <row r="411" spans="1:11" x14ac:dyDescent="0.25">
      <c r="A411" s="6" t="s">
        <v>2533</v>
      </c>
      <c r="B411" s="5" t="s">
        <v>2534</v>
      </c>
      <c r="C411" s="5" t="s">
        <v>2534</v>
      </c>
      <c r="D411" s="6" t="s">
        <v>2535</v>
      </c>
      <c r="E411" s="6" t="s">
        <v>248</v>
      </c>
      <c r="F411" s="6">
        <v>4.3868599999999998E-4</v>
      </c>
      <c r="G411" s="6" t="s">
        <v>250</v>
      </c>
      <c r="H411" s="6" t="s">
        <v>248</v>
      </c>
      <c r="I411" s="6" t="s">
        <v>233</v>
      </c>
      <c r="J411" s="6" t="s">
        <v>234</v>
      </c>
      <c r="K411" s="6">
        <v>3</v>
      </c>
    </row>
    <row r="412" spans="1:11" x14ac:dyDescent="0.25">
      <c r="A412" s="6" t="s">
        <v>2536</v>
      </c>
      <c r="B412" s="5" t="s">
        <v>2537</v>
      </c>
      <c r="C412" s="5" t="s">
        <v>2537</v>
      </c>
      <c r="D412" s="6" t="s">
        <v>1591</v>
      </c>
      <c r="E412" s="6" t="s">
        <v>254</v>
      </c>
      <c r="F412" s="6">
        <v>8.1312799999999998E-4</v>
      </c>
      <c r="G412" s="6" t="s">
        <v>256</v>
      </c>
      <c r="H412" s="6" t="s">
        <v>254</v>
      </c>
      <c r="I412" s="6" t="s">
        <v>233</v>
      </c>
      <c r="J412" s="6" t="s">
        <v>234</v>
      </c>
      <c r="K412" s="6">
        <v>3</v>
      </c>
    </row>
    <row r="413" spans="1:11" x14ac:dyDescent="0.25">
      <c r="A413" s="6" t="s">
        <v>2538</v>
      </c>
      <c r="B413" s="5" t="s">
        <v>2539</v>
      </c>
      <c r="C413" s="5" t="s">
        <v>2539</v>
      </c>
      <c r="D413" s="6" t="s">
        <v>2340</v>
      </c>
      <c r="E413" s="6" t="s">
        <v>263</v>
      </c>
      <c r="F413" s="6">
        <v>3.0449377823614201E-4</v>
      </c>
      <c r="G413" s="6" t="s">
        <v>265</v>
      </c>
      <c r="H413" s="6" t="s">
        <v>263</v>
      </c>
      <c r="I413" s="6" t="s">
        <v>233</v>
      </c>
      <c r="J413" s="6" t="s">
        <v>234</v>
      </c>
      <c r="K413" s="6">
        <v>3</v>
      </c>
    </row>
    <row r="414" spans="1:11" x14ac:dyDescent="0.25">
      <c r="A414" s="6" t="s">
        <v>2540</v>
      </c>
      <c r="B414" s="5" t="s">
        <v>2541</v>
      </c>
      <c r="C414" s="5" t="s">
        <v>2541</v>
      </c>
      <c r="D414" s="6" t="s">
        <v>2542</v>
      </c>
      <c r="E414" s="6" t="s">
        <v>248</v>
      </c>
      <c r="F414" s="6">
        <v>4.3868599999999998E-4</v>
      </c>
      <c r="G414" s="6" t="s">
        <v>250</v>
      </c>
      <c r="H414" s="6" t="s">
        <v>248</v>
      </c>
      <c r="I414" s="6" t="s">
        <v>233</v>
      </c>
      <c r="J414" s="6" t="s">
        <v>234</v>
      </c>
      <c r="K414" s="6">
        <v>3</v>
      </c>
    </row>
    <row r="415" spans="1:11" x14ac:dyDescent="0.25">
      <c r="A415" s="6" t="s">
        <v>2543</v>
      </c>
      <c r="B415" s="5" t="s">
        <v>2544</v>
      </c>
      <c r="C415" s="5" t="s">
        <v>2544</v>
      </c>
      <c r="D415" s="6" t="s">
        <v>1618</v>
      </c>
      <c r="E415" s="6" t="s">
        <v>263</v>
      </c>
      <c r="F415" s="6">
        <v>3.0449399999999999E-4</v>
      </c>
      <c r="G415" s="6" t="s">
        <v>265</v>
      </c>
      <c r="H415" s="6" t="s">
        <v>263</v>
      </c>
      <c r="I415" s="6" t="s">
        <v>233</v>
      </c>
      <c r="J415" s="6" t="s">
        <v>234</v>
      </c>
      <c r="K415" s="6">
        <v>3</v>
      </c>
    </row>
    <row r="416" spans="1:11" x14ac:dyDescent="0.25">
      <c r="A416" s="6" t="s">
        <v>2545</v>
      </c>
      <c r="B416" s="5" t="s">
        <v>2546</v>
      </c>
      <c r="C416" s="5" t="s">
        <v>2546</v>
      </c>
      <c r="D416" s="6" t="s">
        <v>2347</v>
      </c>
      <c r="E416" s="6" t="s">
        <v>269</v>
      </c>
      <c r="F416" s="6">
        <v>5.2359699999999999E-4</v>
      </c>
      <c r="G416" s="6" t="s">
        <v>271</v>
      </c>
      <c r="H416" s="6" t="s">
        <v>269</v>
      </c>
      <c r="I416" s="6" t="s">
        <v>233</v>
      </c>
      <c r="J416" s="6" t="s">
        <v>234</v>
      </c>
      <c r="K416" s="6">
        <v>3</v>
      </c>
    </row>
    <row r="417" spans="1:11" x14ac:dyDescent="0.25">
      <c r="A417" s="6" t="s">
        <v>2547</v>
      </c>
      <c r="B417" s="5" t="s">
        <v>2548</v>
      </c>
      <c r="C417" s="5" t="s">
        <v>2548</v>
      </c>
      <c r="D417" s="6" t="s">
        <v>2315</v>
      </c>
      <c r="E417" s="6" t="s">
        <v>269</v>
      </c>
      <c r="F417" s="6">
        <v>5.2359699999999999E-4</v>
      </c>
      <c r="G417" s="6" t="s">
        <v>271</v>
      </c>
      <c r="H417" s="6" t="s">
        <v>269</v>
      </c>
      <c r="I417" s="6" t="s">
        <v>233</v>
      </c>
      <c r="J417" s="6" t="s">
        <v>234</v>
      </c>
      <c r="K417" s="6">
        <v>3</v>
      </c>
    </row>
    <row r="418" spans="1:11" x14ac:dyDescent="0.25">
      <c r="A418" s="6" t="s">
        <v>2549</v>
      </c>
      <c r="B418" s="5" t="s">
        <v>411</v>
      </c>
      <c r="C418" s="5" t="s">
        <v>411</v>
      </c>
      <c r="D418" s="6" t="s">
        <v>2550</v>
      </c>
      <c r="E418" s="6" t="s">
        <v>269</v>
      </c>
      <c r="F418" s="6">
        <v>5.2359699999999999E-4</v>
      </c>
      <c r="G418" s="6" t="s">
        <v>271</v>
      </c>
      <c r="H418" s="6" t="s">
        <v>269</v>
      </c>
      <c r="I418" s="6" t="s">
        <v>233</v>
      </c>
      <c r="J418" s="6" t="s">
        <v>234</v>
      </c>
      <c r="K418" s="6">
        <v>3</v>
      </c>
    </row>
    <row r="419" spans="1:11" x14ac:dyDescent="0.25">
      <c r="A419" s="6" t="s">
        <v>2551</v>
      </c>
      <c r="B419" s="5" t="s">
        <v>2552</v>
      </c>
      <c r="C419" s="5" t="s">
        <v>2552</v>
      </c>
      <c r="D419" s="6" t="s">
        <v>2079</v>
      </c>
      <c r="E419" s="6" t="s">
        <v>347</v>
      </c>
      <c r="F419" s="6">
        <v>2.1065654610590999E-4</v>
      </c>
      <c r="G419" s="6" t="s">
        <v>346</v>
      </c>
      <c r="H419" s="6" t="s">
        <v>347</v>
      </c>
      <c r="I419" s="6" t="s">
        <v>233</v>
      </c>
      <c r="J419" s="6" t="s">
        <v>234</v>
      </c>
      <c r="K419" s="6">
        <v>3</v>
      </c>
    </row>
    <row r="420" spans="1:11" x14ac:dyDescent="0.25">
      <c r="A420" s="6" t="s">
        <v>2553</v>
      </c>
      <c r="B420" s="5" t="s">
        <v>2554</v>
      </c>
      <c r="C420" s="5" t="s">
        <v>2554</v>
      </c>
      <c r="D420" s="6" t="s">
        <v>2513</v>
      </c>
      <c r="E420" s="6" t="s">
        <v>278</v>
      </c>
      <c r="F420" s="6">
        <v>6.2829694864387296E-4</v>
      </c>
      <c r="G420" s="6" t="s">
        <v>280</v>
      </c>
      <c r="H420" s="6" t="s">
        <v>278</v>
      </c>
      <c r="I420" s="6" t="s">
        <v>233</v>
      </c>
      <c r="J420" s="6" t="s">
        <v>234</v>
      </c>
      <c r="K420" s="6">
        <v>3</v>
      </c>
    </row>
    <row r="421" spans="1:11" x14ac:dyDescent="0.25">
      <c r="A421" s="6" t="s">
        <v>2555</v>
      </c>
      <c r="B421" s="5" t="s">
        <v>2556</v>
      </c>
      <c r="C421" s="5" t="s">
        <v>2556</v>
      </c>
      <c r="D421" s="6" t="s">
        <v>2557</v>
      </c>
      <c r="E421" s="6" t="s">
        <v>254</v>
      </c>
      <c r="F421" s="6">
        <v>8.1312799999999998E-4</v>
      </c>
      <c r="G421" s="6" t="s">
        <v>256</v>
      </c>
      <c r="H421" s="6" t="s">
        <v>254</v>
      </c>
      <c r="I421" s="6" t="s">
        <v>233</v>
      </c>
      <c r="J421" s="6" t="s">
        <v>234</v>
      </c>
      <c r="K421" s="6">
        <v>3</v>
      </c>
    </row>
    <row r="422" spans="1:11" x14ac:dyDescent="0.25">
      <c r="A422" s="6" t="s">
        <v>2558</v>
      </c>
      <c r="B422" s="5" t="s">
        <v>2559</v>
      </c>
      <c r="C422" s="5" t="s">
        <v>2559</v>
      </c>
      <c r="D422" s="6" t="s">
        <v>2560</v>
      </c>
      <c r="E422" s="6" t="s">
        <v>248</v>
      </c>
      <c r="F422" s="6">
        <v>4.3868599999999998E-4</v>
      </c>
      <c r="G422" s="6" t="s">
        <v>250</v>
      </c>
      <c r="H422" s="6" t="s">
        <v>248</v>
      </c>
      <c r="I422" s="6" t="s">
        <v>233</v>
      </c>
      <c r="J422" s="6" t="s">
        <v>234</v>
      </c>
      <c r="K422" s="6">
        <v>3</v>
      </c>
    </row>
    <row r="423" spans="1:11" x14ac:dyDescent="0.25">
      <c r="A423" s="6" t="s">
        <v>2561</v>
      </c>
      <c r="B423" s="5" t="s">
        <v>2562</v>
      </c>
      <c r="C423" s="5" t="s">
        <v>2562</v>
      </c>
      <c r="D423" s="6" t="s">
        <v>2563</v>
      </c>
      <c r="E423" s="6" t="s">
        <v>254</v>
      </c>
      <c r="F423" s="6">
        <v>8.1312799999999998E-4</v>
      </c>
      <c r="G423" s="6" t="s">
        <v>256</v>
      </c>
      <c r="H423" s="6" t="s">
        <v>254</v>
      </c>
      <c r="I423" s="6" t="s">
        <v>233</v>
      </c>
      <c r="J423" s="6" t="s">
        <v>234</v>
      </c>
      <c r="K423" s="6">
        <v>3</v>
      </c>
    </row>
    <row r="424" spans="1:11" x14ac:dyDescent="0.25">
      <c r="A424" s="6" t="s">
        <v>2564</v>
      </c>
      <c r="B424" s="5" t="s">
        <v>2565</v>
      </c>
      <c r="C424" s="5" t="s">
        <v>2565</v>
      </c>
      <c r="D424" s="6" t="s">
        <v>2566</v>
      </c>
      <c r="E424" s="6" t="s">
        <v>248</v>
      </c>
      <c r="F424" s="6">
        <v>4.3868599999999998E-4</v>
      </c>
      <c r="G424" s="6" t="s">
        <v>250</v>
      </c>
      <c r="H424" s="6" t="s">
        <v>248</v>
      </c>
      <c r="I424" s="6" t="s">
        <v>233</v>
      </c>
      <c r="J424" s="6" t="s">
        <v>234</v>
      </c>
      <c r="K424" s="6">
        <v>3</v>
      </c>
    </row>
    <row r="425" spans="1:11" x14ac:dyDescent="0.25">
      <c r="A425" s="6" t="s">
        <v>2567</v>
      </c>
      <c r="B425" s="5" t="s">
        <v>2568</v>
      </c>
      <c r="C425" s="5" t="s">
        <v>2568</v>
      </c>
      <c r="D425" s="6" t="s">
        <v>2569</v>
      </c>
      <c r="E425" s="6" t="s">
        <v>248</v>
      </c>
      <c r="F425" s="6">
        <v>4.3868599999999998E-4</v>
      </c>
      <c r="G425" s="6" t="s">
        <v>250</v>
      </c>
      <c r="H425" s="6" t="s">
        <v>248</v>
      </c>
      <c r="I425" s="6" t="s">
        <v>233</v>
      </c>
      <c r="J425" s="6" t="s">
        <v>234</v>
      </c>
      <c r="K425" s="6">
        <v>3</v>
      </c>
    </row>
    <row r="426" spans="1:11" x14ac:dyDescent="0.25">
      <c r="A426" s="6" t="s">
        <v>2570</v>
      </c>
      <c r="B426" s="5" t="s">
        <v>2571</v>
      </c>
      <c r="C426" s="5" t="s">
        <v>2571</v>
      </c>
      <c r="D426" s="6" t="s">
        <v>2467</v>
      </c>
      <c r="E426" s="6" t="s">
        <v>2571</v>
      </c>
      <c r="F426" s="6">
        <v>8.1312799999999998E-4</v>
      </c>
      <c r="G426" s="6" t="s">
        <v>256</v>
      </c>
      <c r="H426" s="6" t="s">
        <v>254</v>
      </c>
      <c r="I426" s="6" t="s">
        <v>233</v>
      </c>
      <c r="J426" s="6" t="s">
        <v>234</v>
      </c>
      <c r="K426" s="6">
        <v>3</v>
      </c>
    </row>
    <row r="427" spans="1:11" x14ac:dyDescent="0.25">
      <c r="A427" s="6" t="s">
        <v>2572</v>
      </c>
      <c r="B427" s="5" t="s">
        <v>2573</v>
      </c>
      <c r="C427" s="5" t="s">
        <v>2573</v>
      </c>
      <c r="D427" s="6" t="s">
        <v>2574</v>
      </c>
      <c r="E427" s="6" t="s">
        <v>269</v>
      </c>
      <c r="F427" s="6">
        <v>5.2359699999999999E-4</v>
      </c>
      <c r="G427" s="6" t="s">
        <v>271</v>
      </c>
      <c r="H427" s="6" t="s">
        <v>269</v>
      </c>
      <c r="I427" s="6" t="s">
        <v>233</v>
      </c>
      <c r="J427" s="6" t="s">
        <v>234</v>
      </c>
      <c r="K427" s="6">
        <v>3</v>
      </c>
    </row>
    <row r="428" spans="1:11" x14ac:dyDescent="0.25">
      <c r="A428" s="6" t="s">
        <v>2575</v>
      </c>
      <c r="B428" s="5" t="s">
        <v>2576</v>
      </c>
      <c r="C428" s="5" t="s">
        <v>2576</v>
      </c>
      <c r="D428" s="6" t="s">
        <v>2577</v>
      </c>
      <c r="E428" s="6" t="s">
        <v>347</v>
      </c>
      <c r="F428" s="6">
        <v>2.1065654610590999E-4</v>
      </c>
      <c r="G428" s="6" t="s">
        <v>346</v>
      </c>
      <c r="H428" s="6" t="s">
        <v>347</v>
      </c>
      <c r="I428" s="6" t="s">
        <v>233</v>
      </c>
      <c r="J428" s="6" t="s">
        <v>234</v>
      </c>
      <c r="K428" s="6">
        <v>3</v>
      </c>
    </row>
    <row r="429" spans="1:11" x14ac:dyDescent="0.25">
      <c r="A429" s="6" t="s">
        <v>2578</v>
      </c>
      <c r="B429" s="5" t="s">
        <v>2579</v>
      </c>
      <c r="C429" s="5" t="s">
        <v>2579</v>
      </c>
      <c r="D429" s="6" t="s">
        <v>2580</v>
      </c>
      <c r="E429" s="6" t="s">
        <v>254</v>
      </c>
      <c r="F429" s="6">
        <v>8.1312799999999998E-4</v>
      </c>
      <c r="G429" s="6" t="s">
        <v>256</v>
      </c>
      <c r="H429" s="6" t="s">
        <v>254</v>
      </c>
      <c r="I429" s="6" t="s">
        <v>233</v>
      </c>
      <c r="J429" s="6" t="s">
        <v>234</v>
      </c>
      <c r="K429" s="6">
        <v>3</v>
      </c>
    </row>
    <row r="430" spans="1:11" x14ac:dyDescent="0.25">
      <c r="A430" s="6" t="s">
        <v>2581</v>
      </c>
      <c r="B430" s="5" t="s">
        <v>2582</v>
      </c>
      <c r="C430" s="5" t="s">
        <v>2582</v>
      </c>
      <c r="D430" s="6" t="s">
        <v>1694</v>
      </c>
      <c r="E430" s="6" t="s">
        <v>263</v>
      </c>
      <c r="F430" s="6">
        <v>3.0449399999999999E-4</v>
      </c>
      <c r="G430" s="6" t="s">
        <v>265</v>
      </c>
      <c r="H430" s="6" t="s">
        <v>263</v>
      </c>
      <c r="I430" s="6" t="s">
        <v>233</v>
      </c>
      <c r="J430" s="6" t="s">
        <v>234</v>
      </c>
      <c r="K430" s="6">
        <v>3</v>
      </c>
    </row>
    <row r="431" spans="1:11" x14ac:dyDescent="0.25">
      <c r="A431" s="6" t="s">
        <v>2583</v>
      </c>
      <c r="B431" s="5" t="s">
        <v>375</v>
      </c>
      <c r="C431" s="5" t="s">
        <v>375</v>
      </c>
      <c r="D431" s="6" t="s">
        <v>2420</v>
      </c>
      <c r="E431" s="6" t="s">
        <v>257</v>
      </c>
      <c r="F431" s="6">
        <v>6.2829699999999999E-4</v>
      </c>
      <c r="G431" s="6" t="s">
        <v>259</v>
      </c>
      <c r="H431" s="6" t="s">
        <v>257</v>
      </c>
      <c r="I431" s="6" t="s">
        <v>233</v>
      </c>
      <c r="J431" s="6" t="s">
        <v>234</v>
      </c>
      <c r="K431" s="6">
        <v>3</v>
      </c>
    </row>
    <row r="432" spans="1:11" x14ac:dyDescent="0.25">
      <c r="A432" s="6" t="s">
        <v>2584</v>
      </c>
      <c r="B432" s="5" t="s">
        <v>2585</v>
      </c>
      <c r="C432" s="5" t="s">
        <v>2585</v>
      </c>
      <c r="D432" s="6" t="s">
        <v>2586</v>
      </c>
      <c r="E432" s="6" t="s">
        <v>1543</v>
      </c>
      <c r="F432" s="6">
        <v>5.2359699999999999E-5</v>
      </c>
      <c r="G432" s="6" t="s">
        <v>271</v>
      </c>
      <c r="H432" s="6" t="s">
        <v>269</v>
      </c>
      <c r="I432" s="6" t="s">
        <v>233</v>
      </c>
      <c r="J432" s="6" t="s">
        <v>234</v>
      </c>
      <c r="K432" s="6">
        <v>3</v>
      </c>
    </row>
    <row r="433" spans="1:11" x14ac:dyDescent="0.25">
      <c r="A433" s="6" t="s">
        <v>2587</v>
      </c>
      <c r="B433" s="5" t="s">
        <v>2588</v>
      </c>
      <c r="C433" s="5" t="s">
        <v>2588</v>
      </c>
      <c r="D433" s="6" t="s">
        <v>2248</v>
      </c>
      <c r="E433" s="6" t="s">
        <v>245</v>
      </c>
      <c r="F433" s="6">
        <v>1.0475809999999999E-3</v>
      </c>
      <c r="G433" s="6" t="s">
        <v>247</v>
      </c>
      <c r="H433" s="6" t="s">
        <v>245</v>
      </c>
      <c r="I433" s="6" t="s">
        <v>233</v>
      </c>
      <c r="J433" s="6" t="s">
        <v>234</v>
      </c>
      <c r="K433" s="6">
        <v>3</v>
      </c>
    </row>
    <row r="434" spans="1:11" x14ac:dyDescent="0.25">
      <c r="A434" s="6" t="s">
        <v>2589</v>
      </c>
      <c r="B434" s="5" t="s">
        <v>2590</v>
      </c>
      <c r="C434" s="5" t="s">
        <v>2590</v>
      </c>
      <c r="D434" s="6" t="s">
        <v>2591</v>
      </c>
      <c r="E434" s="6" t="s">
        <v>263</v>
      </c>
      <c r="F434" s="6">
        <v>3.0449377823614201E-4</v>
      </c>
      <c r="G434" s="6" t="s">
        <v>265</v>
      </c>
      <c r="H434" s="6" t="s">
        <v>263</v>
      </c>
      <c r="I434" s="6" t="s">
        <v>233</v>
      </c>
      <c r="J434" s="6" t="s">
        <v>234</v>
      </c>
      <c r="K434" s="6">
        <v>3</v>
      </c>
    </row>
    <row r="435" spans="1:11" x14ac:dyDescent="0.25">
      <c r="A435" s="6" t="s">
        <v>2592</v>
      </c>
      <c r="B435" s="5" t="s">
        <v>2593</v>
      </c>
      <c r="C435" s="5" t="s">
        <v>2593</v>
      </c>
      <c r="D435" s="6" t="s">
        <v>2594</v>
      </c>
      <c r="E435" s="6" t="s">
        <v>248</v>
      </c>
      <c r="F435" s="6">
        <v>4.3868599999999998E-4</v>
      </c>
      <c r="G435" s="6" t="s">
        <v>250</v>
      </c>
      <c r="H435" s="6" t="s">
        <v>248</v>
      </c>
      <c r="I435" s="6" t="s">
        <v>233</v>
      </c>
      <c r="J435" s="6" t="s">
        <v>234</v>
      </c>
      <c r="K435" s="6">
        <v>3</v>
      </c>
    </row>
    <row r="436" spans="1:11" x14ac:dyDescent="0.25">
      <c r="A436" s="6" t="s">
        <v>2595</v>
      </c>
      <c r="B436" s="5" t="s">
        <v>2596</v>
      </c>
      <c r="C436" s="5" t="s">
        <v>2596</v>
      </c>
      <c r="D436" s="6" t="s">
        <v>2597</v>
      </c>
      <c r="E436" s="6" t="s">
        <v>254</v>
      </c>
      <c r="F436" s="6">
        <v>8.1312799999999998E-4</v>
      </c>
      <c r="G436" s="6" t="s">
        <v>256</v>
      </c>
      <c r="H436" s="6" t="s">
        <v>254</v>
      </c>
      <c r="I436" s="6" t="s">
        <v>233</v>
      </c>
      <c r="J436" s="6" t="s">
        <v>234</v>
      </c>
      <c r="K436" s="6">
        <v>3</v>
      </c>
    </row>
    <row r="437" spans="1:11" x14ac:dyDescent="0.25">
      <c r="A437" s="6" t="s">
        <v>2598</v>
      </c>
      <c r="B437" s="5" t="s">
        <v>2599</v>
      </c>
      <c r="C437" s="5" t="s">
        <v>2599</v>
      </c>
      <c r="D437" s="6" t="s">
        <v>2600</v>
      </c>
      <c r="E437" s="6" t="s">
        <v>254</v>
      </c>
      <c r="F437" s="6">
        <v>8.1312799999999998E-4</v>
      </c>
      <c r="G437" s="6" t="s">
        <v>256</v>
      </c>
      <c r="H437" s="6" t="s">
        <v>254</v>
      </c>
      <c r="I437" s="6" t="s">
        <v>233</v>
      </c>
      <c r="J437" s="6" t="s">
        <v>234</v>
      </c>
      <c r="K437" s="6">
        <v>3</v>
      </c>
    </row>
    <row r="438" spans="1:11" x14ac:dyDescent="0.25">
      <c r="A438" s="6" t="s">
        <v>2601</v>
      </c>
      <c r="B438" s="5" t="s">
        <v>2602</v>
      </c>
      <c r="C438" s="5" t="s">
        <v>2602</v>
      </c>
      <c r="D438" s="6" t="s">
        <v>2603</v>
      </c>
      <c r="E438" s="6" t="s">
        <v>254</v>
      </c>
      <c r="F438" s="6">
        <v>8.1312799999999998E-4</v>
      </c>
      <c r="G438" s="6" t="s">
        <v>256</v>
      </c>
      <c r="H438" s="6" t="s">
        <v>254</v>
      </c>
      <c r="I438" s="6" t="s">
        <v>233</v>
      </c>
      <c r="J438" s="6" t="s">
        <v>234</v>
      </c>
      <c r="K438" s="6">
        <v>3</v>
      </c>
    </row>
    <row r="439" spans="1:11" x14ac:dyDescent="0.25">
      <c r="A439" s="6" t="s">
        <v>2604</v>
      </c>
      <c r="B439" s="5" t="s">
        <v>448</v>
      </c>
      <c r="C439" s="5" t="s">
        <v>448</v>
      </c>
      <c r="D439" s="6" t="s">
        <v>2605</v>
      </c>
      <c r="E439" s="6" t="s">
        <v>254</v>
      </c>
      <c r="F439" s="6">
        <v>8.1312799999999998E-4</v>
      </c>
      <c r="G439" s="6" t="s">
        <v>256</v>
      </c>
      <c r="H439" s="6" t="s">
        <v>254</v>
      </c>
      <c r="I439" s="6" t="s">
        <v>233</v>
      </c>
      <c r="J439" s="6" t="s">
        <v>234</v>
      </c>
      <c r="K439" s="6">
        <v>3</v>
      </c>
    </row>
    <row r="440" spans="1:11" x14ac:dyDescent="0.25">
      <c r="A440" s="6" t="s">
        <v>2606</v>
      </c>
      <c r="B440" s="5" t="s">
        <v>2607</v>
      </c>
      <c r="C440" s="5" t="s">
        <v>2607</v>
      </c>
      <c r="D440" s="6" t="s">
        <v>2608</v>
      </c>
      <c r="E440" s="6" t="s">
        <v>245</v>
      </c>
      <c r="F440" s="6">
        <v>1.0475809999999999E-3</v>
      </c>
      <c r="G440" s="6" t="s">
        <v>247</v>
      </c>
      <c r="H440" s="6" t="s">
        <v>245</v>
      </c>
      <c r="I440" s="6" t="s">
        <v>233</v>
      </c>
      <c r="J440" s="6" t="s">
        <v>234</v>
      </c>
      <c r="K440" s="6">
        <v>3</v>
      </c>
    </row>
    <row r="441" spans="1:11" x14ac:dyDescent="0.25">
      <c r="A441" s="6" t="s">
        <v>2609</v>
      </c>
      <c r="B441" s="5" t="s">
        <v>376</v>
      </c>
      <c r="C441" s="5" t="s">
        <v>376</v>
      </c>
      <c r="D441" s="6" t="s">
        <v>2610</v>
      </c>
      <c r="E441" s="6" t="s">
        <v>248</v>
      </c>
      <c r="F441" s="6">
        <v>4.3868599999999998E-4</v>
      </c>
      <c r="G441" s="6" t="s">
        <v>250</v>
      </c>
      <c r="H441" s="6" t="s">
        <v>248</v>
      </c>
      <c r="I441" s="6" t="s">
        <v>233</v>
      </c>
      <c r="J441" s="6" t="s">
        <v>234</v>
      </c>
      <c r="K441" s="6">
        <v>3</v>
      </c>
    </row>
    <row r="442" spans="1:11" x14ac:dyDescent="0.25">
      <c r="A442" s="6" t="s">
        <v>2611</v>
      </c>
      <c r="B442" s="5" t="s">
        <v>2612</v>
      </c>
      <c r="C442" s="5" t="s">
        <v>2612</v>
      </c>
      <c r="D442" s="6" t="s">
        <v>2613</v>
      </c>
      <c r="E442" s="6" t="s">
        <v>245</v>
      </c>
      <c r="F442" s="6">
        <v>1.0475809999999999E-3</v>
      </c>
      <c r="G442" s="6" t="s">
        <v>247</v>
      </c>
      <c r="H442" s="6" t="s">
        <v>245</v>
      </c>
      <c r="I442" s="6" t="s">
        <v>233</v>
      </c>
      <c r="J442" s="6" t="s">
        <v>234</v>
      </c>
      <c r="K442" s="6">
        <v>3</v>
      </c>
    </row>
    <row r="443" spans="1:11" x14ac:dyDescent="0.25">
      <c r="A443" s="6" t="s">
        <v>2614</v>
      </c>
      <c r="B443" s="5" t="s">
        <v>449</v>
      </c>
      <c r="C443" s="5" t="s">
        <v>449</v>
      </c>
      <c r="D443" s="6" t="s">
        <v>2615</v>
      </c>
      <c r="E443" s="6" t="s">
        <v>278</v>
      </c>
      <c r="F443" s="6">
        <v>6.2829694864387296E-4</v>
      </c>
      <c r="G443" s="6" t="s">
        <v>280</v>
      </c>
      <c r="H443" s="6" t="s">
        <v>278</v>
      </c>
      <c r="I443" s="6" t="s">
        <v>233</v>
      </c>
      <c r="J443" s="6" t="s">
        <v>234</v>
      </c>
      <c r="K443" s="6">
        <v>3</v>
      </c>
    </row>
    <row r="444" spans="1:11" x14ac:dyDescent="0.25">
      <c r="A444" s="6" t="s">
        <v>2616</v>
      </c>
      <c r="B444" s="5" t="s">
        <v>2617</v>
      </c>
      <c r="C444" s="5" t="s">
        <v>2617</v>
      </c>
      <c r="D444" s="6" t="s">
        <v>2618</v>
      </c>
      <c r="E444" s="6" t="s">
        <v>254</v>
      </c>
      <c r="F444" s="6">
        <v>8.1312799999999998E-4</v>
      </c>
      <c r="G444" s="6" t="s">
        <v>256</v>
      </c>
      <c r="H444" s="6" t="s">
        <v>254</v>
      </c>
      <c r="I444" s="6" t="s">
        <v>233</v>
      </c>
      <c r="J444" s="6" t="s">
        <v>234</v>
      </c>
      <c r="K444" s="6">
        <v>3</v>
      </c>
    </row>
    <row r="445" spans="1:11" x14ac:dyDescent="0.25">
      <c r="A445" s="6" t="s">
        <v>2619</v>
      </c>
      <c r="B445" s="5" t="s">
        <v>2620</v>
      </c>
      <c r="C445" s="5" t="s">
        <v>2620</v>
      </c>
      <c r="D445" s="6" t="s">
        <v>2621</v>
      </c>
      <c r="E445" s="6" t="s">
        <v>248</v>
      </c>
      <c r="F445" s="6">
        <v>4.3868599999999998E-4</v>
      </c>
      <c r="G445" s="6" t="s">
        <v>250</v>
      </c>
      <c r="H445" s="6" t="s">
        <v>248</v>
      </c>
      <c r="I445" s="6" t="s">
        <v>233</v>
      </c>
      <c r="J445" s="6" t="s">
        <v>234</v>
      </c>
      <c r="K445" s="6">
        <v>3</v>
      </c>
    </row>
    <row r="446" spans="1:11" x14ac:dyDescent="0.25">
      <c r="A446" s="6" t="s">
        <v>2622</v>
      </c>
      <c r="B446" s="5" t="s">
        <v>2623</v>
      </c>
      <c r="C446" s="5" t="s">
        <v>2623</v>
      </c>
      <c r="D446" s="6" t="s">
        <v>2624</v>
      </c>
      <c r="E446" s="6" t="s">
        <v>347</v>
      </c>
      <c r="F446" s="6">
        <v>2.1065654610590999E-4</v>
      </c>
      <c r="G446" s="6" t="s">
        <v>346</v>
      </c>
      <c r="H446" s="6" t="s">
        <v>347</v>
      </c>
      <c r="I446" s="6" t="s">
        <v>233</v>
      </c>
      <c r="J446" s="6" t="s">
        <v>234</v>
      </c>
      <c r="K446" s="6">
        <v>3</v>
      </c>
    </row>
    <row r="447" spans="1:11" x14ac:dyDescent="0.25">
      <c r="A447" s="6" t="s">
        <v>2625</v>
      </c>
      <c r="B447" s="5" t="s">
        <v>2626</v>
      </c>
      <c r="C447" s="5" t="s">
        <v>2626</v>
      </c>
      <c r="D447" s="6" t="s">
        <v>1618</v>
      </c>
      <c r="E447" s="6" t="s">
        <v>263</v>
      </c>
      <c r="F447" s="6">
        <v>3.0449399999999999E-4</v>
      </c>
      <c r="G447" s="6" t="s">
        <v>265</v>
      </c>
      <c r="H447" s="6" t="s">
        <v>263</v>
      </c>
      <c r="I447" s="6" t="s">
        <v>233</v>
      </c>
      <c r="J447" s="6" t="s">
        <v>234</v>
      </c>
      <c r="K447" s="6">
        <v>3</v>
      </c>
    </row>
    <row r="448" spans="1:11" x14ac:dyDescent="0.25">
      <c r="A448" s="6" t="s">
        <v>2627</v>
      </c>
      <c r="B448" s="5" t="s">
        <v>2628</v>
      </c>
      <c r="C448" s="5" t="s">
        <v>2628</v>
      </c>
      <c r="D448" s="6" t="s">
        <v>2629</v>
      </c>
      <c r="E448" s="6" t="s">
        <v>408</v>
      </c>
      <c r="F448" s="6">
        <v>1.6713599999999999E-4</v>
      </c>
      <c r="G448" s="6" t="s">
        <v>407</v>
      </c>
      <c r="H448" s="6" t="s">
        <v>408</v>
      </c>
      <c r="I448" s="6" t="s">
        <v>233</v>
      </c>
      <c r="J448" s="6" t="s">
        <v>234</v>
      </c>
      <c r="K448" s="6">
        <v>3</v>
      </c>
    </row>
    <row r="449" spans="1:11" x14ac:dyDescent="0.25">
      <c r="A449" s="6" t="s">
        <v>2630</v>
      </c>
      <c r="B449" s="5" t="s">
        <v>2631</v>
      </c>
      <c r="C449" s="5" t="s">
        <v>2631</v>
      </c>
      <c r="D449" s="6" t="s">
        <v>2513</v>
      </c>
      <c r="E449" s="6" t="s">
        <v>278</v>
      </c>
      <c r="F449" s="6">
        <v>6.2829694864387296E-4</v>
      </c>
      <c r="G449" s="6" t="s">
        <v>280</v>
      </c>
      <c r="H449" s="6" t="s">
        <v>278</v>
      </c>
      <c r="I449" s="6" t="s">
        <v>233</v>
      </c>
      <c r="J449" s="6" t="s">
        <v>234</v>
      </c>
      <c r="K449" s="6">
        <v>3</v>
      </c>
    </row>
    <row r="450" spans="1:11" x14ac:dyDescent="0.25">
      <c r="A450" s="6" t="s">
        <v>2632</v>
      </c>
      <c r="B450" s="5" t="s">
        <v>2633</v>
      </c>
      <c r="C450" s="5" t="s">
        <v>2633</v>
      </c>
      <c r="D450" s="6" t="s">
        <v>2302</v>
      </c>
      <c r="E450" s="6" t="s">
        <v>414</v>
      </c>
      <c r="F450" s="6">
        <v>3.1322198387294099E-4</v>
      </c>
      <c r="G450" s="6" t="s">
        <v>413</v>
      </c>
      <c r="H450" s="6" t="s">
        <v>414</v>
      </c>
      <c r="I450" s="6" t="s">
        <v>233</v>
      </c>
      <c r="J450" s="6" t="s">
        <v>234</v>
      </c>
      <c r="K450" s="6">
        <v>3</v>
      </c>
    </row>
    <row r="451" spans="1:11" x14ac:dyDescent="0.25">
      <c r="A451" s="6" t="s">
        <v>2634</v>
      </c>
      <c r="B451" s="5" t="s">
        <v>377</v>
      </c>
      <c r="C451" s="5" t="s">
        <v>377</v>
      </c>
      <c r="D451" s="6" t="s">
        <v>2635</v>
      </c>
      <c r="E451" s="6" t="s">
        <v>248</v>
      </c>
      <c r="F451" s="6">
        <v>4.3868599999999998E-4</v>
      </c>
      <c r="G451" s="6" t="s">
        <v>250</v>
      </c>
      <c r="H451" s="6" t="s">
        <v>248</v>
      </c>
      <c r="I451" s="6" t="s">
        <v>233</v>
      </c>
      <c r="J451" s="6" t="s">
        <v>234</v>
      </c>
      <c r="K451" s="6">
        <v>3</v>
      </c>
    </row>
    <row r="452" spans="1:11" x14ac:dyDescent="0.25">
      <c r="A452" s="6" t="s">
        <v>2636</v>
      </c>
      <c r="B452" s="5" t="s">
        <v>2637</v>
      </c>
      <c r="C452" s="5" t="s">
        <v>2637</v>
      </c>
      <c r="D452" s="6" t="s">
        <v>1740</v>
      </c>
      <c r="E452" s="6" t="s">
        <v>245</v>
      </c>
      <c r="F452" s="6">
        <v>1.0475809999999999E-3</v>
      </c>
      <c r="G452" s="6" t="s">
        <v>247</v>
      </c>
      <c r="H452" s="6" t="s">
        <v>245</v>
      </c>
      <c r="I452" s="6" t="s">
        <v>233</v>
      </c>
      <c r="J452" s="6" t="s">
        <v>234</v>
      </c>
      <c r="K452" s="6">
        <v>3</v>
      </c>
    </row>
    <row r="453" spans="1:11" x14ac:dyDescent="0.25">
      <c r="A453" s="6" t="s">
        <v>2638</v>
      </c>
      <c r="B453" s="5" t="s">
        <v>2639</v>
      </c>
      <c r="C453" s="5" t="s">
        <v>2639</v>
      </c>
      <c r="D453" s="6" t="s">
        <v>2640</v>
      </c>
      <c r="E453" s="6" t="s">
        <v>2639</v>
      </c>
      <c r="F453" s="6">
        <v>3.1322199999999999E-4</v>
      </c>
      <c r="G453" s="6" t="s">
        <v>413</v>
      </c>
      <c r="H453" s="6" t="s">
        <v>414</v>
      </c>
      <c r="I453" s="6" t="s">
        <v>233</v>
      </c>
      <c r="J453" s="6" t="s">
        <v>234</v>
      </c>
      <c r="K453" s="6">
        <v>3</v>
      </c>
    </row>
    <row r="454" spans="1:11" x14ac:dyDescent="0.25">
      <c r="A454" s="6" t="s">
        <v>2641</v>
      </c>
      <c r="B454" s="5" t="s">
        <v>2642</v>
      </c>
      <c r="C454" s="5" t="s">
        <v>2642</v>
      </c>
      <c r="D454" s="6" t="s">
        <v>2209</v>
      </c>
      <c r="E454" s="6" t="s">
        <v>248</v>
      </c>
      <c r="F454" s="6">
        <v>4.3868599999999998E-4</v>
      </c>
      <c r="G454" s="6" t="s">
        <v>250</v>
      </c>
      <c r="H454" s="6" t="s">
        <v>248</v>
      </c>
      <c r="I454" s="6" t="s">
        <v>233</v>
      </c>
      <c r="J454" s="6" t="s">
        <v>234</v>
      </c>
      <c r="K454" s="6">
        <v>3</v>
      </c>
    </row>
    <row r="455" spans="1:11" x14ac:dyDescent="0.25">
      <c r="A455" s="6" t="s">
        <v>2643</v>
      </c>
      <c r="B455" s="5" t="s">
        <v>2644</v>
      </c>
      <c r="C455" s="5" t="s">
        <v>2644</v>
      </c>
      <c r="D455" s="6" t="s">
        <v>2645</v>
      </c>
      <c r="E455" s="6" t="s">
        <v>245</v>
      </c>
      <c r="F455" s="6">
        <v>1.0475809999999999E-3</v>
      </c>
      <c r="G455" s="6" t="s">
        <v>247</v>
      </c>
      <c r="H455" s="6" t="s">
        <v>245</v>
      </c>
      <c r="I455" s="6" t="s">
        <v>233</v>
      </c>
      <c r="J455" s="6" t="s">
        <v>234</v>
      </c>
      <c r="K455" s="6">
        <v>3</v>
      </c>
    </row>
    <row r="456" spans="1:11" x14ac:dyDescent="0.25">
      <c r="A456" s="6" t="s">
        <v>2646</v>
      </c>
      <c r="B456" s="5" t="s">
        <v>2647</v>
      </c>
      <c r="C456" s="5" t="s">
        <v>2647</v>
      </c>
      <c r="D456" s="6" t="s">
        <v>2648</v>
      </c>
      <c r="E456" s="6" t="s">
        <v>254</v>
      </c>
      <c r="F456" s="6">
        <v>8.1312799999999998E-4</v>
      </c>
      <c r="G456" s="6" t="s">
        <v>256</v>
      </c>
      <c r="H456" s="6" t="s">
        <v>254</v>
      </c>
      <c r="I456" s="6" t="s">
        <v>233</v>
      </c>
      <c r="J456" s="6" t="s">
        <v>234</v>
      </c>
      <c r="K456" s="6">
        <v>3</v>
      </c>
    </row>
    <row r="457" spans="1:11" ht="30" x14ac:dyDescent="0.25">
      <c r="A457" s="6" t="s">
        <v>2649</v>
      </c>
      <c r="B457" s="5" t="s">
        <v>2650</v>
      </c>
      <c r="C457" s="5" t="s">
        <v>2650</v>
      </c>
      <c r="D457" s="6" t="s">
        <v>2651</v>
      </c>
      <c r="E457" s="6" t="s">
        <v>245</v>
      </c>
      <c r="F457" s="6">
        <v>4.3868599999999998E-4</v>
      </c>
      <c r="G457" s="6" t="s">
        <v>247</v>
      </c>
      <c r="H457" s="6" t="s">
        <v>245</v>
      </c>
      <c r="I457" s="6" t="s">
        <v>233</v>
      </c>
      <c r="J457" s="6" t="s">
        <v>234</v>
      </c>
      <c r="K457" s="6">
        <v>3</v>
      </c>
    </row>
    <row r="458" spans="1:11" x14ac:dyDescent="0.25">
      <c r="A458" s="6" t="s">
        <v>2652</v>
      </c>
      <c r="B458" s="5" t="s">
        <v>2653</v>
      </c>
      <c r="C458" s="5" t="s">
        <v>2653</v>
      </c>
      <c r="D458" s="6" t="s">
        <v>2654</v>
      </c>
      <c r="E458" s="6" t="s">
        <v>245</v>
      </c>
      <c r="F458" s="6">
        <v>1.0475809999999999E-3</v>
      </c>
      <c r="G458" s="6" t="s">
        <v>247</v>
      </c>
      <c r="H458" s="6" t="s">
        <v>245</v>
      </c>
      <c r="I458" s="6" t="s">
        <v>233</v>
      </c>
      <c r="J458" s="6" t="s">
        <v>234</v>
      </c>
      <c r="K458" s="6">
        <v>3</v>
      </c>
    </row>
    <row r="459" spans="1:11" x14ac:dyDescent="0.25">
      <c r="A459" s="6" t="s">
        <v>2655</v>
      </c>
      <c r="B459" s="5" t="s">
        <v>2656</v>
      </c>
      <c r="C459" s="5" t="s">
        <v>2656</v>
      </c>
      <c r="D459" s="6" t="s">
        <v>2657</v>
      </c>
      <c r="E459" s="6" t="s">
        <v>347</v>
      </c>
      <c r="F459" s="6">
        <v>2.10657E-4</v>
      </c>
      <c r="G459" s="6" t="s">
        <v>346</v>
      </c>
      <c r="H459" s="6" t="s">
        <v>347</v>
      </c>
      <c r="I459" s="6" t="s">
        <v>233</v>
      </c>
      <c r="J459" s="6" t="s">
        <v>234</v>
      </c>
      <c r="K459" s="6">
        <v>3</v>
      </c>
    </row>
    <row r="460" spans="1:11" x14ac:dyDescent="0.25">
      <c r="A460" s="6" t="s">
        <v>2658</v>
      </c>
      <c r="B460" s="5" t="s">
        <v>2659</v>
      </c>
      <c r="C460" s="5" t="s">
        <v>2659</v>
      </c>
      <c r="D460" s="6" t="s">
        <v>2660</v>
      </c>
      <c r="E460" s="6" t="s">
        <v>269</v>
      </c>
      <c r="F460" s="6">
        <v>5.2359699999999999E-4</v>
      </c>
      <c r="G460" s="6" t="s">
        <v>271</v>
      </c>
      <c r="H460" s="6" t="s">
        <v>269</v>
      </c>
      <c r="I460" s="6" t="s">
        <v>233</v>
      </c>
      <c r="J460" s="6" t="s">
        <v>234</v>
      </c>
      <c r="K460" s="6">
        <v>3</v>
      </c>
    </row>
    <row r="461" spans="1:11" x14ac:dyDescent="0.25">
      <c r="A461" s="6" t="s">
        <v>2661</v>
      </c>
      <c r="B461" s="5" t="s">
        <v>394</v>
      </c>
      <c r="C461" s="5" t="s">
        <v>394</v>
      </c>
      <c r="D461" s="6" t="s">
        <v>2662</v>
      </c>
      <c r="E461" s="6" t="s">
        <v>278</v>
      </c>
      <c r="F461" s="6">
        <v>6.2829699999999999E-4</v>
      </c>
      <c r="G461" s="6" t="s">
        <v>280</v>
      </c>
      <c r="H461" s="6" t="s">
        <v>278</v>
      </c>
      <c r="I461" s="6" t="s">
        <v>233</v>
      </c>
      <c r="J461" s="6" t="s">
        <v>234</v>
      </c>
      <c r="K461" s="6">
        <v>3</v>
      </c>
    </row>
    <row r="462" spans="1:11" x14ac:dyDescent="0.25">
      <c r="A462" s="6" t="s">
        <v>2663</v>
      </c>
      <c r="B462" s="5" t="s">
        <v>2664</v>
      </c>
      <c r="C462" s="5" t="s">
        <v>2664</v>
      </c>
      <c r="D462" s="6" t="s">
        <v>2665</v>
      </c>
      <c r="E462" s="6" t="s">
        <v>248</v>
      </c>
      <c r="F462" s="6">
        <v>4.3868599999999998E-4</v>
      </c>
      <c r="G462" s="6" t="s">
        <v>250</v>
      </c>
      <c r="H462" s="6" t="s">
        <v>248</v>
      </c>
      <c r="I462" s="6" t="s">
        <v>233</v>
      </c>
      <c r="J462" s="6" t="s">
        <v>234</v>
      </c>
      <c r="K462" s="6">
        <v>3</v>
      </c>
    </row>
    <row r="463" spans="1:11" x14ac:dyDescent="0.25">
      <c r="A463" s="6" t="s">
        <v>2666</v>
      </c>
      <c r="B463" s="5" t="s">
        <v>2667</v>
      </c>
      <c r="C463" s="5" t="s">
        <v>2667</v>
      </c>
      <c r="D463" s="6" t="s">
        <v>2668</v>
      </c>
      <c r="E463" s="6" t="s">
        <v>269</v>
      </c>
      <c r="F463" s="6">
        <v>5.2359699999999999E-4</v>
      </c>
      <c r="G463" s="6" t="s">
        <v>271</v>
      </c>
      <c r="H463" s="6" t="s">
        <v>269</v>
      </c>
      <c r="I463" s="6" t="s">
        <v>233</v>
      </c>
      <c r="J463" s="6" t="s">
        <v>234</v>
      </c>
      <c r="K463" s="6">
        <v>3</v>
      </c>
    </row>
    <row r="464" spans="1:11" x14ac:dyDescent="0.25">
      <c r="A464" s="6" t="s">
        <v>2669</v>
      </c>
      <c r="B464" s="5" t="s">
        <v>2670</v>
      </c>
      <c r="C464" s="5" t="s">
        <v>2670</v>
      </c>
      <c r="D464" s="6" t="s">
        <v>2671</v>
      </c>
      <c r="E464" s="6" t="s">
        <v>257</v>
      </c>
      <c r="F464" s="6">
        <v>6.2829699999999999E-4</v>
      </c>
      <c r="G464" s="6" t="s">
        <v>259</v>
      </c>
      <c r="H464" s="6" t="s">
        <v>257</v>
      </c>
      <c r="I464" s="6" t="s">
        <v>233</v>
      </c>
      <c r="J464" s="6" t="s">
        <v>234</v>
      </c>
      <c r="K464" s="6">
        <v>3</v>
      </c>
    </row>
    <row r="465" spans="1:11" x14ac:dyDescent="0.25">
      <c r="A465" s="6" t="s">
        <v>2672</v>
      </c>
      <c r="B465" s="5" t="s">
        <v>2673</v>
      </c>
      <c r="C465" s="5" t="s">
        <v>2673</v>
      </c>
      <c r="D465" s="6" t="s">
        <v>2674</v>
      </c>
      <c r="E465" s="6" t="s">
        <v>245</v>
      </c>
      <c r="F465" s="6">
        <v>1.0475809999999999E-3</v>
      </c>
      <c r="G465" s="6" t="s">
        <v>247</v>
      </c>
      <c r="H465" s="6" t="s">
        <v>245</v>
      </c>
      <c r="I465" s="6" t="s">
        <v>233</v>
      </c>
      <c r="J465" s="6" t="s">
        <v>234</v>
      </c>
      <c r="K465" s="6">
        <v>3</v>
      </c>
    </row>
    <row r="466" spans="1:11" x14ac:dyDescent="0.25">
      <c r="A466" s="6" t="s">
        <v>2675</v>
      </c>
      <c r="B466" s="5" t="s">
        <v>2676</v>
      </c>
      <c r="C466" s="5" t="s">
        <v>2676</v>
      </c>
      <c r="D466" s="6" t="s">
        <v>2677</v>
      </c>
      <c r="E466" s="6" t="s">
        <v>275</v>
      </c>
      <c r="F466" s="6">
        <v>7.0538700000000003E-4</v>
      </c>
      <c r="G466" s="6" t="s">
        <v>277</v>
      </c>
      <c r="H466" s="6" t="s">
        <v>275</v>
      </c>
      <c r="I466" s="6" t="s">
        <v>233</v>
      </c>
      <c r="J466" s="6" t="s">
        <v>234</v>
      </c>
      <c r="K466" s="6">
        <v>3</v>
      </c>
    </row>
    <row r="467" spans="1:11" x14ac:dyDescent="0.25">
      <c r="A467" s="6" t="s">
        <v>2678</v>
      </c>
      <c r="B467" s="5" t="s">
        <v>2679</v>
      </c>
      <c r="C467" s="5" t="s">
        <v>2679</v>
      </c>
      <c r="D467" s="6" t="s">
        <v>2680</v>
      </c>
      <c r="E467" s="6" t="s">
        <v>248</v>
      </c>
      <c r="F467" s="6">
        <v>4.3868599999999998E-4</v>
      </c>
      <c r="G467" s="6" t="s">
        <v>250</v>
      </c>
      <c r="H467" s="6" t="s">
        <v>248</v>
      </c>
      <c r="I467" s="6" t="s">
        <v>233</v>
      </c>
      <c r="J467" s="6" t="s">
        <v>234</v>
      </c>
      <c r="K467" s="6">
        <v>3</v>
      </c>
    </row>
    <row r="468" spans="1:11" x14ac:dyDescent="0.25">
      <c r="A468" s="6" t="s">
        <v>2681</v>
      </c>
      <c r="B468" s="5" t="s">
        <v>2682</v>
      </c>
      <c r="C468" s="5" t="s">
        <v>2682</v>
      </c>
      <c r="D468" s="6" t="s">
        <v>2683</v>
      </c>
      <c r="E468" s="6" t="s">
        <v>245</v>
      </c>
      <c r="F468" s="6">
        <v>1.0475809999999999E-3</v>
      </c>
      <c r="G468" s="6" t="s">
        <v>247</v>
      </c>
      <c r="H468" s="6" t="s">
        <v>245</v>
      </c>
      <c r="I468" s="6" t="s">
        <v>233</v>
      </c>
      <c r="J468" s="6" t="s">
        <v>234</v>
      </c>
      <c r="K468" s="6">
        <v>3</v>
      </c>
    </row>
    <row r="469" spans="1:11" x14ac:dyDescent="0.25">
      <c r="A469" s="6" t="s">
        <v>2684</v>
      </c>
      <c r="B469" s="5" t="s">
        <v>2685</v>
      </c>
      <c r="C469" s="5" t="s">
        <v>2685</v>
      </c>
      <c r="D469" s="6" t="s">
        <v>2686</v>
      </c>
      <c r="E469" s="6" t="s">
        <v>263</v>
      </c>
      <c r="F469" s="6">
        <v>3.0449377823614201E-4</v>
      </c>
      <c r="G469" s="6" t="s">
        <v>265</v>
      </c>
      <c r="H469" s="6" t="s">
        <v>263</v>
      </c>
      <c r="I469" s="6" t="s">
        <v>233</v>
      </c>
      <c r="J469" s="6" t="s">
        <v>234</v>
      </c>
      <c r="K469" s="6">
        <v>3</v>
      </c>
    </row>
    <row r="470" spans="1:11" x14ac:dyDescent="0.25">
      <c r="A470" s="6" t="s">
        <v>2687</v>
      </c>
      <c r="B470" s="5" t="s">
        <v>2688</v>
      </c>
      <c r="C470" s="5" t="s">
        <v>2688</v>
      </c>
      <c r="D470" s="6" t="s">
        <v>2689</v>
      </c>
      <c r="E470" s="6" t="s">
        <v>269</v>
      </c>
      <c r="F470" s="6">
        <v>5.2359699999999999E-4</v>
      </c>
      <c r="G470" s="6" t="s">
        <v>271</v>
      </c>
      <c r="H470" s="6" t="s">
        <v>269</v>
      </c>
      <c r="I470" s="6" t="s">
        <v>233</v>
      </c>
      <c r="J470" s="6" t="s">
        <v>234</v>
      </c>
      <c r="K470" s="6">
        <v>3</v>
      </c>
    </row>
    <row r="471" spans="1:11" x14ac:dyDescent="0.25">
      <c r="A471" s="6" t="s">
        <v>2690</v>
      </c>
      <c r="B471" s="5" t="s">
        <v>2691</v>
      </c>
      <c r="C471" s="5" t="s">
        <v>2691</v>
      </c>
      <c r="D471" s="6" t="s">
        <v>2692</v>
      </c>
      <c r="E471" s="6" t="s">
        <v>254</v>
      </c>
      <c r="F471" s="6">
        <v>8.1312799999999998E-4</v>
      </c>
      <c r="G471" s="6" t="s">
        <v>256</v>
      </c>
      <c r="H471" s="6" t="s">
        <v>254</v>
      </c>
      <c r="I471" s="6" t="s">
        <v>233</v>
      </c>
      <c r="J471" s="6" t="s">
        <v>234</v>
      </c>
      <c r="K471" s="6">
        <v>3</v>
      </c>
    </row>
    <row r="472" spans="1:11" x14ac:dyDescent="0.25">
      <c r="A472" s="6" t="s">
        <v>2693</v>
      </c>
      <c r="B472" s="5" t="s">
        <v>2694</v>
      </c>
      <c r="C472" s="5" t="s">
        <v>2694</v>
      </c>
      <c r="D472" s="6" t="s">
        <v>2695</v>
      </c>
      <c r="E472" s="6" t="s">
        <v>245</v>
      </c>
      <c r="F472" s="6">
        <v>1.0475809999999999E-3</v>
      </c>
      <c r="G472" s="6" t="s">
        <v>247</v>
      </c>
      <c r="H472" s="6" t="s">
        <v>245</v>
      </c>
      <c r="I472" s="6" t="s">
        <v>233</v>
      </c>
      <c r="J472" s="6" t="s">
        <v>234</v>
      </c>
      <c r="K472" s="6">
        <v>3</v>
      </c>
    </row>
    <row r="473" spans="1:11" x14ac:dyDescent="0.25">
      <c r="A473" s="6" t="s">
        <v>2696</v>
      </c>
      <c r="B473" s="5" t="s">
        <v>2697</v>
      </c>
      <c r="C473" s="5" t="s">
        <v>2697</v>
      </c>
      <c r="D473" s="6" t="s">
        <v>2698</v>
      </c>
      <c r="E473" s="6" t="s">
        <v>254</v>
      </c>
      <c r="F473" s="6">
        <v>8.1312799999999998E-4</v>
      </c>
      <c r="G473" s="6" t="s">
        <v>256</v>
      </c>
      <c r="H473" s="6" t="s">
        <v>254</v>
      </c>
      <c r="I473" s="6" t="s">
        <v>233</v>
      </c>
      <c r="J473" s="6" t="s">
        <v>234</v>
      </c>
      <c r="K473" s="6">
        <v>3</v>
      </c>
    </row>
    <row r="474" spans="1:11" x14ac:dyDescent="0.25">
      <c r="A474" s="6" t="s">
        <v>2699</v>
      </c>
      <c r="B474" s="5" t="s">
        <v>2700</v>
      </c>
      <c r="C474" s="5" t="s">
        <v>2700</v>
      </c>
      <c r="D474" s="6" t="s">
        <v>2031</v>
      </c>
      <c r="E474" s="6" t="s">
        <v>254</v>
      </c>
      <c r="F474" s="6">
        <v>8.1312799999999998E-4</v>
      </c>
      <c r="G474" s="6" t="s">
        <v>256</v>
      </c>
      <c r="H474" s="6" t="s">
        <v>254</v>
      </c>
      <c r="I474" s="6" t="s">
        <v>233</v>
      </c>
      <c r="J474" s="6" t="s">
        <v>234</v>
      </c>
      <c r="K474" s="6">
        <v>3</v>
      </c>
    </row>
    <row r="475" spans="1:11" x14ac:dyDescent="0.25">
      <c r="A475" s="6" t="s">
        <v>2701</v>
      </c>
      <c r="B475" s="5" t="s">
        <v>2702</v>
      </c>
      <c r="C475" s="5" t="s">
        <v>2702</v>
      </c>
      <c r="D475" s="6" t="s">
        <v>2703</v>
      </c>
      <c r="E475" s="6" t="s">
        <v>347</v>
      </c>
      <c r="F475" s="6">
        <v>2.1065654610590999E-4</v>
      </c>
      <c r="G475" s="6" t="s">
        <v>346</v>
      </c>
      <c r="H475" s="6" t="s">
        <v>347</v>
      </c>
      <c r="I475" s="6" t="s">
        <v>233</v>
      </c>
      <c r="J475" s="6" t="s">
        <v>234</v>
      </c>
      <c r="K475" s="6">
        <v>3</v>
      </c>
    </row>
    <row r="476" spans="1:11" x14ac:dyDescent="0.25">
      <c r="A476" s="6" t="s">
        <v>2704</v>
      </c>
      <c r="B476" s="5" t="s">
        <v>2705</v>
      </c>
      <c r="C476" s="5" t="s">
        <v>2705</v>
      </c>
      <c r="D476" s="6" t="s">
        <v>2706</v>
      </c>
      <c r="E476" s="6" t="s">
        <v>269</v>
      </c>
      <c r="F476" s="6">
        <v>5.2359699999999999E-4</v>
      </c>
      <c r="G476" s="6" t="s">
        <v>271</v>
      </c>
      <c r="H476" s="6" t="s">
        <v>269</v>
      </c>
      <c r="I476" s="6" t="s">
        <v>233</v>
      </c>
      <c r="J476" s="6" t="s">
        <v>234</v>
      </c>
      <c r="K476" s="6">
        <v>3</v>
      </c>
    </row>
    <row r="477" spans="1:11" x14ac:dyDescent="0.25">
      <c r="A477" s="6" t="s">
        <v>2707</v>
      </c>
      <c r="B477" s="5" t="s">
        <v>2708</v>
      </c>
      <c r="C477" s="5" t="s">
        <v>2708</v>
      </c>
      <c r="D477" s="6" t="s">
        <v>2709</v>
      </c>
      <c r="E477" s="6" t="s">
        <v>269</v>
      </c>
      <c r="F477" s="6">
        <v>5.2359715367522E-4</v>
      </c>
      <c r="G477" s="6" t="s">
        <v>271</v>
      </c>
      <c r="H477" s="6" t="s">
        <v>269</v>
      </c>
      <c r="I477" s="6" t="s">
        <v>233</v>
      </c>
      <c r="J477" s="6" t="s">
        <v>234</v>
      </c>
      <c r="K477" s="6">
        <v>3</v>
      </c>
    </row>
    <row r="478" spans="1:11" x14ac:dyDescent="0.25">
      <c r="A478" s="6" t="s">
        <v>2710</v>
      </c>
      <c r="B478" s="5" t="s">
        <v>2711</v>
      </c>
      <c r="C478" s="5" t="s">
        <v>2711</v>
      </c>
      <c r="D478" s="6" t="s">
        <v>2712</v>
      </c>
      <c r="E478" s="6" t="s">
        <v>269</v>
      </c>
      <c r="F478" s="6">
        <v>5.2359699999999999E-4</v>
      </c>
      <c r="G478" s="6" t="s">
        <v>271</v>
      </c>
      <c r="H478" s="6" t="s">
        <v>269</v>
      </c>
      <c r="I478" s="6" t="s">
        <v>233</v>
      </c>
      <c r="J478" s="6" t="s">
        <v>234</v>
      </c>
      <c r="K478" s="6">
        <v>3</v>
      </c>
    </row>
    <row r="479" spans="1:11" x14ac:dyDescent="0.25">
      <c r="A479" s="6" t="s">
        <v>2713</v>
      </c>
      <c r="B479" s="5" t="s">
        <v>2714</v>
      </c>
      <c r="C479" s="5" t="s">
        <v>2714</v>
      </c>
      <c r="D479" s="6" t="s">
        <v>2715</v>
      </c>
      <c r="E479" s="6" t="s">
        <v>269</v>
      </c>
      <c r="F479" s="6">
        <v>5.2359699999999999E-4</v>
      </c>
      <c r="G479" s="6" t="s">
        <v>271</v>
      </c>
      <c r="H479" s="6" t="s">
        <v>269</v>
      </c>
      <c r="I479" s="6" t="s">
        <v>233</v>
      </c>
      <c r="J479" s="6" t="s">
        <v>234</v>
      </c>
      <c r="K479" s="6">
        <v>3</v>
      </c>
    </row>
    <row r="480" spans="1:11" x14ac:dyDescent="0.25">
      <c r="A480" s="6" t="s">
        <v>2716</v>
      </c>
      <c r="B480" s="5" t="s">
        <v>2717</v>
      </c>
      <c r="C480" s="5" t="s">
        <v>2717</v>
      </c>
      <c r="D480" s="6" t="s">
        <v>2718</v>
      </c>
      <c r="E480" s="6" t="s">
        <v>269</v>
      </c>
      <c r="F480" s="6">
        <v>5.2359699999999999E-4</v>
      </c>
      <c r="G480" s="6" t="s">
        <v>271</v>
      </c>
      <c r="H480" s="6" t="s">
        <v>269</v>
      </c>
      <c r="I480" s="6" t="s">
        <v>233</v>
      </c>
      <c r="J480" s="6" t="s">
        <v>234</v>
      </c>
      <c r="K480" s="6">
        <v>3</v>
      </c>
    </row>
    <row r="481" spans="1:11" x14ac:dyDescent="0.25">
      <c r="A481" s="6" t="s">
        <v>2719</v>
      </c>
      <c r="B481" s="5" t="s">
        <v>2720</v>
      </c>
      <c r="C481" s="5" t="s">
        <v>2720</v>
      </c>
      <c r="D481" s="6" t="s">
        <v>1716</v>
      </c>
      <c r="E481" s="6" t="s">
        <v>245</v>
      </c>
      <c r="F481" s="6">
        <v>1.0475809999999999E-3</v>
      </c>
      <c r="G481" s="6" t="s">
        <v>247</v>
      </c>
      <c r="H481" s="6" t="s">
        <v>245</v>
      </c>
      <c r="I481" s="6" t="s">
        <v>233</v>
      </c>
      <c r="J481" s="6" t="s">
        <v>234</v>
      </c>
      <c r="K481" s="6">
        <v>3</v>
      </c>
    </row>
    <row r="482" spans="1:11" ht="30" x14ac:dyDescent="0.25">
      <c r="A482" s="6" t="s">
        <v>2721</v>
      </c>
      <c r="B482" s="5" t="s">
        <v>2722</v>
      </c>
      <c r="C482" s="5" t="s">
        <v>2722</v>
      </c>
      <c r="D482" s="6" t="s">
        <v>2723</v>
      </c>
      <c r="E482" s="6" t="s">
        <v>257</v>
      </c>
      <c r="F482" s="6">
        <v>6.2829699999999999E-4</v>
      </c>
      <c r="G482" s="6" t="s">
        <v>259</v>
      </c>
      <c r="H482" s="6" t="s">
        <v>257</v>
      </c>
      <c r="I482" s="6" t="s">
        <v>233</v>
      </c>
      <c r="J482" s="6" t="s">
        <v>234</v>
      </c>
      <c r="K482" s="6">
        <v>3</v>
      </c>
    </row>
    <row r="483" spans="1:11" x14ac:dyDescent="0.25">
      <c r="A483" s="6" t="s">
        <v>2724</v>
      </c>
      <c r="B483" s="5" t="s">
        <v>2725</v>
      </c>
      <c r="C483" s="5" t="s">
        <v>2725</v>
      </c>
      <c r="D483" s="6" t="s">
        <v>2726</v>
      </c>
      <c r="E483" s="6" t="s">
        <v>254</v>
      </c>
      <c r="F483" s="6">
        <v>8.1312799999999998E-4</v>
      </c>
      <c r="G483" s="6" t="s">
        <v>256</v>
      </c>
      <c r="H483" s="6" t="s">
        <v>254</v>
      </c>
      <c r="I483" s="6" t="s">
        <v>233</v>
      </c>
      <c r="J483" s="6" t="s">
        <v>234</v>
      </c>
      <c r="K483" s="6">
        <v>3</v>
      </c>
    </row>
    <row r="484" spans="1:11" x14ac:dyDescent="0.25">
      <c r="A484" s="6" t="s">
        <v>2727</v>
      </c>
      <c r="B484" s="5" t="s">
        <v>2728</v>
      </c>
      <c r="C484" s="5" t="s">
        <v>2728</v>
      </c>
      <c r="D484" s="6" t="s">
        <v>1624</v>
      </c>
      <c r="E484" s="6" t="s">
        <v>248</v>
      </c>
      <c r="F484" s="6">
        <v>4.3868599999999998E-4</v>
      </c>
      <c r="G484" s="6" t="s">
        <v>250</v>
      </c>
      <c r="H484" s="6" t="s">
        <v>248</v>
      </c>
      <c r="I484" s="6" t="s">
        <v>233</v>
      </c>
      <c r="J484" s="6" t="s">
        <v>234</v>
      </c>
      <c r="K484" s="6">
        <v>3</v>
      </c>
    </row>
    <row r="485" spans="1:11" ht="30" x14ac:dyDescent="0.25">
      <c r="A485" s="6" t="s">
        <v>2729</v>
      </c>
      <c r="B485" s="5" t="s">
        <v>2730</v>
      </c>
      <c r="C485" s="5" t="s">
        <v>2730</v>
      </c>
      <c r="D485" s="6" t="s">
        <v>1505</v>
      </c>
      <c r="E485" s="6" t="s">
        <v>269</v>
      </c>
      <c r="F485" s="6">
        <v>5.2359699999999999E-4</v>
      </c>
      <c r="G485" s="6" t="s">
        <v>271</v>
      </c>
      <c r="H485" s="6" t="s">
        <v>269</v>
      </c>
      <c r="I485" s="6" t="s">
        <v>233</v>
      </c>
      <c r="J485" s="6" t="s">
        <v>234</v>
      </c>
      <c r="K485" s="6">
        <v>3</v>
      </c>
    </row>
    <row r="486" spans="1:11" x14ac:dyDescent="0.25">
      <c r="A486" s="6" t="s">
        <v>2731</v>
      </c>
      <c r="B486" s="5" t="s">
        <v>378</v>
      </c>
      <c r="C486" s="5" t="s">
        <v>378</v>
      </c>
      <c r="D486" s="6" t="s">
        <v>2732</v>
      </c>
      <c r="E486" s="6" t="s">
        <v>302</v>
      </c>
      <c r="F486" s="6">
        <v>6.3438500000000001E-4</v>
      </c>
      <c r="G486" s="6" t="s">
        <v>304</v>
      </c>
      <c r="H486" s="6" t="s">
        <v>302</v>
      </c>
      <c r="I486" s="6" t="s">
        <v>233</v>
      </c>
      <c r="J486" s="6" t="s">
        <v>234</v>
      </c>
      <c r="K486" s="6">
        <v>3</v>
      </c>
    </row>
    <row r="487" spans="1:11" x14ac:dyDescent="0.25">
      <c r="A487" s="6" t="s">
        <v>2733</v>
      </c>
      <c r="B487" s="5" t="s">
        <v>2734</v>
      </c>
      <c r="C487" s="5" t="s">
        <v>2734</v>
      </c>
      <c r="D487" s="6" t="s">
        <v>2735</v>
      </c>
      <c r="E487" s="6" t="s">
        <v>245</v>
      </c>
      <c r="F487" s="6">
        <v>1.0475809999999999E-3</v>
      </c>
      <c r="G487" s="6" t="s">
        <v>247</v>
      </c>
      <c r="H487" s="6" t="s">
        <v>245</v>
      </c>
      <c r="I487" s="6" t="s">
        <v>233</v>
      </c>
      <c r="J487" s="6" t="s">
        <v>234</v>
      </c>
      <c r="K487" s="6">
        <v>3</v>
      </c>
    </row>
    <row r="488" spans="1:11" x14ac:dyDescent="0.25">
      <c r="A488" s="6" t="s">
        <v>2736</v>
      </c>
      <c r="B488" s="5" t="s">
        <v>2737</v>
      </c>
      <c r="C488" s="5" t="s">
        <v>2737</v>
      </c>
      <c r="D488" s="6" t="s">
        <v>2738</v>
      </c>
      <c r="E488" s="6" t="s">
        <v>466</v>
      </c>
      <c r="F488" s="6">
        <v>2.2128299999999999E-4</v>
      </c>
      <c r="G488" s="6" t="s">
        <v>465</v>
      </c>
      <c r="H488" s="6" t="s">
        <v>466</v>
      </c>
      <c r="I488" s="6" t="s">
        <v>233</v>
      </c>
      <c r="J488" s="6" t="s">
        <v>234</v>
      </c>
      <c r="K488" s="6">
        <v>3</v>
      </c>
    </row>
    <row r="489" spans="1:11" x14ac:dyDescent="0.25">
      <c r="A489" s="6" t="s">
        <v>2739</v>
      </c>
      <c r="B489" s="5" t="s">
        <v>2740</v>
      </c>
      <c r="C489" s="5" t="s">
        <v>2740</v>
      </c>
      <c r="D489" s="6" t="s">
        <v>1618</v>
      </c>
      <c r="E489" s="6" t="s">
        <v>263</v>
      </c>
      <c r="F489" s="6">
        <v>3.0449399999999999E-4</v>
      </c>
      <c r="G489" s="6" t="s">
        <v>265</v>
      </c>
      <c r="H489" s="6" t="s">
        <v>263</v>
      </c>
      <c r="I489" s="6" t="s">
        <v>233</v>
      </c>
      <c r="J489" s="6" t="s">
        <v>234</v>
      </c>
      <c r="K489" s="6">
        <v>3</v>
      </c>
    </row>
    <row r="490" spans="1:11" x14ac:dyDescent="0.25">
      <c r="A490" s="6" t="s">
        <v>2741</v>
      </c>
      <c r="B490" s="5" t="s">
        <v>379</v>
      </c>
      <c r="C490" s="5" t="s">
        <v>379</v>
      </c>
      <c r="D490" s="6" t="s">
        <v>2742</v>
      </c>
      <c r="E490" s="6" t="s">
        <v>257</v>
      </c>
      <c r="F490" s="6">
        <v>6.2829699999999999E-4</v>
      </c>
      <c r="G490" s="6" t="s">
        <v>259</v>
      </c>
      <c r="H490" s="6" t="s">
        <v>257</v>
      </c>
      <c r="I490" s="6" t="s">
        <v>233</v>
      </c>
      <c r="J490" s="6" t="s">
        <v>234</v>
      </c>
      <c r="K490" s="6">
        <v>3</v>
      </c>
    </row>
    <row r="491" spans="1:11" ht="30" x14ac:dyDescent="0.25">
      <c r="A491" s="6" t="s">
        <v>2743</v>
      </c>
      <c r="B491" s="5" t="s">
        <v>2744</v>
      </c>
      <c r="C491" s="5" t="s">
        <v>2744</v>
      </c>
      <c r="D491" s="6" t="s">
        <v>2745</v>
      </c>
      <c r="E491" s="6" t="s">
        <v>248</v>
      </c>
      <c r="F491" s="6">
        <v>4.3868599999999998E-4</v>
      </c>
      <c r="G491" s="6" t="s">
        <v>250</v>
      </c>
      <c r="H491" s="6" t="s">
        <v>248</v>
      </c>
      <c r="I491" s="6" t="s">
        <v>233</v>
      </c>
      <c r="J491" s="6" t="s">
        <v>234</v>
      </c>
      <c r="K491" s="6">
        <v>3</v>
      </c>
    </row>
    <row r="492" spans="1:11" x14ac:dyDescent="0.25">
      <c r="A492" s="6" t="s">
        <v>2746</v>
      </c>
      <c r="B492" s="5" t="s">
        <v>2747</v>
      </c>
      <c r="C492" s="5" t="s">
        <v>2747</v>
      </c>
      <c r="D492" s="6" t="s">
        <v>2748</v>
      </c>
      <c r="E492" s="6" t="s">
        <v>254</v>
      </c>
      <c r="F492" s="6">
        <v>8.1312799999999998E-4</v>
      </c>
      <c r="G492" s="6" t="s">
        <v>256</v>
      </c>
      <c r="H492" s="6" t="s">
        <v>254</v>
      </c>
      <c r="I492" s="6" t="s">
        <v>233</v>
      </c>
      <c r="J492" s="6" t="s">
        <v>234</v>
      </c>
      <c r="K492" s="6">
        <v>3</v>
      </c>
    </row>
    <row r="493" spans="1:11" x14ac:dyDescent="0.25">
      <c r="A493" s="6" t="s">
        <v>2749</v>
      </c>
      <c r="B493" s="5" t="s">
        <v>2750</v>
      </c>
      <c r="C493" s="5" t="s">
        <v>2750</v>
      </c>
      <c r="D493" s="6" t="s">
        <v>2082</v>
      </c>
      <c r="E493" s="6" t="s">
        <v>347</v>
      </c>
      <c r="F493" s="6">
        <v>2.1065654610590999E-4</v>
      </c>
      <c r="G493" s="6" t="s">
        <v>346</v>
      </c>
      <c r="H493" s="6" t="s">
        <v>347</v>
      </c>
      <c r="I493" s="6" t="s">
        <v>233</v>
      </c>
      <c r="J493" s="6" t="s">
        <v>234</v>
      </c>
      <c r="K493" s="6">
        <v>3</v>
      </c>
    </row>
    <row r="494" spans="1:11" x14ac:dyDescent="0.25">
      <c r="A494" s="6" t="s">
        <v>2751</v>
      </c>
      <c r="B494" s="5" t="s">
        <v>2752</v>
      </c>
      <c r="C494" s="5" t="s">
        <v>2752</v>
      </c>
      <c r="D494" s="6" t="s">
        <v>2753</v>
      </c>
      <c r="E494" s="6" t="s">
        <v>254</v>
      </c>
      <c r="F494" s="6">
        <v>8.13127547566152E-4</v>
      </c>
      <c r="G494" s="6" t="s">
        <v>256</v>
      </c>
      <c r="H494" s="6" t="s">
        <v>254</v>
      </c>
      <c r="I494" s="6" t="s">
        <v>233</v>
      </c>
      <c r="J494" s="6" t="s">
        <v>234</v>
      </c>
      <c r="K494" s="6">
        <v>3</v>
      </c>
    </row>
    <row r="495" spans="1:11" x14ac:dyDescent="0.25">
      <c r="A495" s="6" t="s">
        <v>2754</v>
      </c>
      <c r="B495" s="5" t="s">
        <v>2755</v>
      </c>
      <c r="C495" s="5" t="s">
        <v>2755</v>
      </c>
      <c r="D495" s="6" t="s">
        <v>2756</v>
      </c>
      <c r="E495" s="6" t="s">
        <v>269</v>
      </c>
      <c r="F495" s="6">
        <v>5.2359699999999999E-4</v>
      </c>
      <c r="G495" s="6" t="s">
        <v>271</v>
      </c>
      <c r="H495" s="6" t="s">
        <v>269</v>
      </c>
      <c r="I495" s="6" t="s">
        <v>233</v>
      </c>
      <c r="J495" s="6" t="s">
        <v>234</v>
      </c>
      <c r="K495" s="6">
        <v>3</v>
      </c>
    </row>
    <row r="496" spans="1:11" x14ac:dyDescent="0.25">
      <c r="A496" s="6" t="s">
        <v>2757</v>
      </c>
      <c r="B496" s="5" t="s">
        <v>2758</v>
      </c>
      <c r="C496" s="5" t="s">
        <v>2758</v>
      </c>
      <c r="D496" s="6" t="s">
        <v>2759</v>
      </c>
      <c r="E496" s="6" t="s">
        <v>269</v>
      </c>
      <c r="F496" s="6">
        <v>5.2359699999999999E-4</v>
      </c>
      <c r="G496" s="6" t="s">
        <v>271</v>
      </c>
      <c r="H496" s="6" t="s">
        <v>269</v>
      </c>
      <c r="I496" s="6" t="s">
        <v>233</v>
      </c>
      <c r="J496" s="6" t="s">
        <v>234</v>
      </c>
      <c r="K496" s="6">
        <v>3</v>
      </c>
    </row>
    <row r="497" spans="1:11" x14ac:dyDescent="0.25">
      <c r="A497" s="6" t="s">
        <v>2760</v>
      </c>
      <c r="B497" s="5" t="s">
        <v>2761</v>
      </c>
      <c r="C497" s="5" t="s">
        <v>2761</v>
      </c>
      <c r="D497" s="6" t="s">
        <v>2762</v>
      </c>
      <c r="E497" s="6" t="s">
        <v>269</v>
      </c>
      <c r="F497" s="6">
        <v>5.2359699999999999E-4</v>
      </c>
      <c r="G497" s="6" t="s">
        <v>271</v>
      </c>
      <c r="H497" s="6" t="s">
        <v>269</v>
      </c>
      <c r="I497" s="6" t="s">
        <v>233</v>
      </c>
      <c r="J497" s="6" t="s">
        <v>234</v>
      </c>
      <c r="K497" s="6">
        <v>3</v>
      </c>
    </row>
    <row r="498" spans="1:11" x14ac:dyDescent="0.25">
      <c r="A498" s="6" t="s">
        <v>2763</v>
      </c>
      <c r="B498" s="5" t="s">
        <v>2764</v>
      </c>
      <c r="C498" s="5" t="s">
        <v>2764</v>
      </c>
      <c r="D498" s="6" t="s">
        <v>2765</v>
      </c>
      <c r="E498" s="6" t="s">
        <v>248</v>
      </c>
      <c r="F498" s="6">
        <v>4.3868599999999998E-4</v>
      </c>
      <c r="G498" s="6" t="s">
        <v>250</v>
      </c>
      <c r="H498" s="6" t="s">
        <v>248</v>
      </c>
      <c r="I498" s="6" t="s">
        <v>233</v>
      </c>
      <c r="J498" s="6" t="s">
        <v>234</v>
      </c>
      <c r="K498" s="6">
        <v>3</v>
      </c>
    </row>
    <row r="499" spans="1:11" x14ac:dyDescent="0.25">
      <c r="A499" s="6" t="s">
        <v>2766</v>
      </c>
      <c r="B499" s="5" t="s">
        <v>2767</v>
      </c>
      <c r="C499" s="5" t="s">
        <v>2767</v>
      </c>
      <c r="D499" s="6" t="s">
        <v>2768</v>
      </c>
      <c r="E499" s="6" t="s">
        <v>254</v>
      </c>
      <c r="F499" s="6">
        <v>8.1312799999999998E-4</v>
      </c>
      <c r="G499" s="6" t="s">
        <v>256</v>
      </c>
      <c r="H499" s="6" t="s">
        <v>254</v>
      </c>
      <c r="I499" s="6" t="s">
        <v>233</v>
      </c>
      <c r="J499" s="6" t="s">
        <v>234</v>
      </c>
      <c r="K499" s="6">
        <v>3</v>
      </c>
    </row>
    <row r="500" spans="1:11" x14ac:dyDescent="0.25">
      <c r="A500" s="6" t="s">
        <v>2769</v>
      </c>
      <c r="B500" s="5" t="s">
        <v>2770</v>
      </c>
      <c r="C500" s="5" t="s">
        <v>2770</v>
      </c>
      <c r="D500" s="6" t="s">
        <v>2771</v>
      </c>
      <c r="E500" s="6" t="s">
        <v>269</v>
      </c>
      <c r="F500" s="6">
        <v>5.2359699999999999E-4</v>
      </c>
      <c r="G500" s="6" t="s">
        <v>271</v>
      </c>
      <c r="H500" s="6" t="s">
        <v>269</v>
      </c>
      <c r="I500" s="6" t="s">
        <v>233</v>
      </c>
      <c r="J500" s="6" t="s">
        <v>234</v>
      </c>
      <c r="K500" s="6">
        <v>3</v>
      </c>
    </row>
    <row r="501" spans="1:11" x14ac:dyDescent="0.25">
      <c r="A501" s="6" t="s">
        <v>2772</v>
      </c>
      <c r="B501" s="5" t="s">
        <v>380</v>
      </c>
      <c r="C501" s="5" t="s">
        <v>380</v>
      </c>
      <c r="D501" s="6" t="s">
        <v>2603</v>
      </c>
      <c r="E501" s="6" t="s">
        <v>254</v>
      </c>
      <c r="F501" s="6">
        <v>8.1312799999999998E-4</v>
      </c>
      <c r="G501" s="6" t="s">
        <v>256</v>
      </c>
      <c r="H501" s="6" t="s">
        <v>254</v>
      </c>
      <c r="I501" s="6" t="s">
        <v>233</v>
      </c>
      <c r="J501" s="6" t="s">
        <v>234</v>
      </c>
      <c r="K501" s="6">
        <v>3</v>
      </c>
    </row>
    <row r="502" spans="1:11" x14ac:dyDescent="0.25">
      <c r="A502" s="6" t="s">
        <v>2773</v>
      </c>
      <c r="B502" s="5" t="s">
        <v>2774</v>
      </c>
      <c r="C502" s="5" t="s">
        <v>2774</v>
      </c>
      <c r="D502" s="6" t="s">
        <v>2775</v>
      </c>
      <c r="E502" s="6" t="s">
        <v>248</v>
      </c>
      <c r="F502" s="6">
        <v>4.3868599999999998E-4</v>
      </c>
      <c r="G502" s="6" t="s">
        <v>250</v>
      </c>
      <c r="H502" s="6" t="s">
        <v>248</v>
      </c>
      <c r="I502" s="6" t="s">
        <v>233</v>
      </c>
      <c r="J502" s="6" t="s">
        <v>234</v>
      </c>
      <c r="K502" s="6">
        <v>3</v>
      </c>
    </row>
    <row r="503" spans="1:11" x14ac:dyDescent="0.25">
      <c r="A503" s="6" t="s">
        <v>2776</v>
      </c>
      <c r="B503" s="5" t="s">
        <v>2777</v>
      </c>
      <c r="C503" s="5" t="s">
        <v>2777</v>
      </c>
      <c r="D503" s="6" t="s">
        <v>1902</v>
      </c>
      <c r="E503" s="6" t="s">
        <v>263</v>
      </c>
      <c r="F503" s="6">
        <v>3.0449399999999999E-4</v>
      </c>
      <c r="G503" s="6" t="s">
        <v>265</v>
      </c>
      <c r="H503" s="6" t="s">
        <v>263</v>
      </c>
      <c r="I503" s="6" t="s">
        <v>233</v>
      </c>
      <c r="J503" s="6" t="s">
        <v>234</v>
      </c>
      <c r="K503" s="6">
        <v>3</v>
      </c>
    </row>
    <row r="504" spans="1:11" ht="30" x14ac:dyDescent="0.25">
      <c r="A504" s="6" t="s">
        <v>2778</v>
      </c>
      <c r="B504" s="5" t="s">
        <v>2779</v>
      </c>
      <c r="C504" s="5" t="s">
        <v>2779</v>
      </c>
      <c r="D504" s="6" t="s">
        <v>2008</v>
      </c>
      <c r="E504" s="6" t="s">
        <v>347</v>
      </c>
      <c r="F504" s="6">
        <v>2.10657E-4</v>
      </c>
      <c r="G504" s="6" t="s">
        <v>346</v>
      </c>
      <c r="H504" s="6" t="s">
        <v>347</v>
      </c>
      <c r="I504" s="6" t="s">
        <v>233</v>
      </c>
      <c r="J504" s="6" t="s">
        <v>234</v>
      </c>
      <c r="K504" s="6">
        <v>3</v>
      </c>
    </row>
    <row r="505" spans="1:11" x14ac:dyDescent="0.25">
      <c r="A505" s="6" t="s">
        <v>2780</v>
      </c>
      <c r="B505" s="5" t="s">
        <v>2781</v>
      </c>
      <c r="C505" s="5" t="s">
        <v>2781</v>
      </c>
      <c r="D505" s="6" t="s">
        <v>2782</v>
      </c>
      <c r="E505" s="6" t="s">
        <v>245</v>
      </c>
      <c r="F505" s="6">
        <v>1.0475809999999999E-3</v>
      </c>
      <c r="G505" s="6" t="s">
        <v>247</v>
      </c>
      <c r="H505" s="6" t="s">
        <v>245</v>
      </c>
      <c r="I505" s="6" t="s">
        <v>233</v>
      </c>
      <c r="J505" s="6" t="s">
        <v>234</v>
      </c>
      <c r="K505" s="6">
        <v>3</v>
      </c>
    </row>
    <row r="506" spans="1:11" x14ac:dyDescent="0.25">
      <c r="A506" s="6" t="s">
        <v>2783</v>
      </c>
      <c r="B506" s="5" t="s">
        <v>2784</v>
      </c>
      <c r="C506" s="5" t="s">
        <v>2784</v>
      </c>
      <c r="D506" s="6" t="s">
        <v>2785</v>
      </c>
      <c r="E506" s="6" t="s">
        <v>254</v>
      </c>
      <c r="F506" s="6">
        <v>8.1312799999999998E-4</v>
      </c>
      <c r="G506" s="6" t="s">
        <v>256</v>
      </c>
      <c r="H506" s="6" t="s">
        <v>254</v>
      </c>
      <c r="I506" s="6" t="s">
        <v>233</v>
      </c>
      <c r="J506" s="6" t="s">
        <v>234</v>
      </c>
      <c r="K506" s="6">
        <v>3</v>
      </c>
    </row>
    <row r="507" spans="1:11" x14ac:dyDescent="0.25">
      <c r="A507" s="6" t="s">
        <v>2786</v>
      </c>
      <c r="B507" s="5" t="s">
        <v>2787</v>
      </c>
      <c r="C507" s="5" t="s">
        <v>2787</v>
      </c>
      <c r="D507" s="6" t="s">
        <v>2788</v>
      </c>
      <c r="E507" s="6"/>
      <c r="F507" s="6"/>
      <c r="G507" s="6"/>
      <c r="H507" s="6"/>
      <c r="I507" s="6" t="s">
        <v>233</v>
      </c>
      <c r="J507" s="6" t="s">
        <v>234</v>
      </c>
      <c r="K507" s="6">
        <v>3</v>
      </c>
    </row>
    <row r="508" spans="1:11" x14ac:dyDescent="0.25">
      <c r="A508" s="6" t="s">
        <v>2789</v>
      </c>
      <c r="B508" s="5" t="s">
        <v>2790</v>
      </c>
      <c r="C508" s="5" t="s">
        <v>2790</v>
      </c>
      <c r="D508" s="6" t="s">
        <v>2791</v>
      </c>
      <c r="E508" s="6" t="s">
        <v>245</v>
      </c>
      <c r="F508" s="6">
        <v>1.0475809999999999E-3</v>
      </c>
      <c r="G508" s="6" t="s">
        <v>247</v>
      </c>
      <c r="H508" s="6" t="s">
        <v>245</v>
      </c>
      <c r="I508" s="6" t="s">
        <v>233</v>
      </c>
      <c r="J508" s="6" t="s">
        <v>234</v>
      </c>
      <c r="K508" s="6">
        <v>3</v>
      </c>
    </row>
    <row r="509" spans="1:11" x14ac:dyDescent="0.25">
      <c r="A509" s="6" t="s">
        <v>2792</v>
      </c>
      <c r="B509" s="5" t="s">
        <v>1056</v>
      </c>
      <c r="C509" s="5" t="s">
        <v>1056</v>
      </c>
      <c r="D509" s="6" t="s">
        <v>1761</v>
      </c>
      <c r="E509" s="6" t="s">
        <v>263</v>
      </c>
      <c r="F509" s="6">
        <v>3.0449399999999999E-4</v>
      </c>
      <c r="G509" s="6" t="s">
        <v>265</v>
      </c>
      <c r="H509" s="6" t="s">
        <v>263</v>
      </c>
      <c r="I509" s="6" t="s">
        <v>233</v>
      </c>
      <c r="J509" s="6" t="s">
        <v>234</v>
      </c>
      <c r="K509" s="6">
        <v>3</v>
      </c>
    </row>
    <row r="510" spans="1:11" x14ac:dyDescent="0.25">
      <c r="A510" s="6" t="s">
        <v>2793</v>
      </c>
      <c r="B510" s="5" t="s">
        <v>2794</v>
      </c>
      <c r="C510" s="5" t="s">
        <v>2794</v>
      </c>
      <c r="D510" s="6" t="s">
        <v>1694</v>
      </c>
      <c r="E510" s="6" t="s">
        <v>263</v>
      </c>
      <c r="F510" s="6">
        <v>3.0449399999999999E-4</v>
      </c>
      <c r="G510" s="6" t="s">
        <v>265</v>
      </c>
      <c r="H510" s="6" t="s">
        <v>263</v>
      </c>
      <c r="I510" s="6" t="s">
        <v>233</v>
      </c>
      <c r="J510" s="6" t="s">
        <v>234</v>
      </c>
      <c r="K510" s="6">
        <v>3</v>
      </c>
    </row>
    <row r="511" spans="1:11" x14ac:dyDescent="0.25">
      <c r="A511" s="6" t="s">
        <v>2795</v>
      </c>
      <c r="B511" s="5" t="s">
        <v>2796</v>
      </c>
      <c r="C511" s="5" t="s">
        <v>2796</v>
      </c>
      <c r="D511" s="6" t="s">
        <v>2651</v>
      </c>
      <c r="E511" s="6" t="s">
        <v>245</v>
      </c>
      <c r="F511" s="6">
        <v>4.3868599999999998E-4</v>
      </c>
      <c r="G511" s="6" t="s">
        <v>247</v>
      </c>
      <c r="H511" s="6" t="s">
        <v>245</v>
      </c>
      <c r="I511" s="6" t="s">
        <v>233</v>
      </c>
      <c r="J511" s="6" t="s">
        <v>234</v>
      </c>
      <c r="K511" s="6">
        <v>3</v>
      </c>
    </row>
    <row r="512" spans="1:11" x14ac:dyDescent="0.25">
      <c r="A512" s="6" t="s">
        <v>2797</v>
      </c>
      <c r="B512" s="5" t="s">
        <v>2798</v>
      </c>
      <c r="C512" s="5" t="s">
        <v>2798</v>
      </c>
      <c r="D512" s="6" t="s">
        <v>2173</v>
      </c>
      <c r="E512" s="6" t="s">
        <v>2798</v>
      </c>
      <c r="F512" s="6">
        <v>8.1312799999999998E-4</v>
      </c>
      <c r="G512" s="6" t="s">
        <v>256</v>
      </c>
      <c r="H512" s="6" t="s">
        <v>254</v>
      </c>
      <c r="I512" s="6" t="s">
        <v>233</v>
      </c>
      <c r="J512" s="6" t="s">
        <v>234</v>
      </c>
      <c r="K512" s="6">
        <v>3</v>
      </c>
    </row>
    <row r="513" spans="1:11" ht="30" x14ac:dyDescent="0.25">
      <c r="A513" s="6" t="s">
        <v>2799</v>
      </c>
      <c r="B513" s="5" t="s">
        <v>2800</v>
      </c>
      <c r="C513" s="5" t="s">
        <v>2800</v>
      </c>
      <c r="D513" s="6" t="s">
        <v>2801</v>
      </c>
      <c r="E513" s="6" t="s">
        <v>269</v>
      </c>
      <c r="F513" s="6">
        <v>5.2359699999999999E-4</v>
      </c>
      <c r="G513" s="6" t="s">
        <v>271</v>
      </c>
      <c r="H513" s="6" t="s">
        <v>269</v>
      </c>
      <c r="I513" s="6" t="s">
        <v>233</v>
      </c>
      <c r="J513" s="6" t="s">
        <v>234</v>
      </c>
      <c r="K513" s="6">
        <v>3</v>
      </c>
    </row>
    <row r="514" spans="1:11" x14ac:dyDescent="0.25">
      <c r="A514" s="6" t="s">
        <v>2802</v>
      </c>
      <c r="B514" s="5" t="s">
        <v>2803</v>
      </c>
      <c r="C514" s="5" t="s">
        <v>2803</v>
      </c>
      <c r="D514" s="6" t="s">
        <v>2804</v>
      </c>
      <c r="E514" s="6" t="s">
        <v>347</v>
      </c>
      <c r="F514" s="6">
        <v>2.1065654610590999E-4</v>
      </c>
      <c r="G514" s="6" t="s">
        <v>346</v>
      </c>
      <c r="H514" s="6" t="s">
        <v>347</v>
      </c>
      <c r="I514" s="6" t="s">
        <v>233</v>
      </c>
      <c r="J514" s="6" t="s">
        <v>234</v>
      </c>
      <c r="K514" s="6">
        <v>3</v>
      </c>
    </row>
    <row r="515" spans="1:11" x14ac:dyDescent="0.25">
      <c r="A515" s="6" t="s">
        <v>2805</v>
      </c>
      <c r="B515" s="5" t="s">
        <v>387</v>
      </c>
      <c r="C515" s="5" t="s">
        <v>387</v>
      </c>
      <c r="D515" s="6" t="s">
        <v>2806</v>
      </c>
      <c r="E515" s="6" t="s">
        <v>248</v>
      </c>
      <c r="F515" s="6">
        <v>4.3868599999999998E-4</v>
      </c>
      <c r="G515" s="6" t="s">
        <v>250</v>
      </c>
      <c r="H515" s="6" t="s">
        <v>248</v>
      </c>
      <c r="I515" s="6" t="s">
        <v>233</v>
      </c>
      <c r="J515" s="6" t="s">
        <v>234</v>
      </c>
      <c r="K515" s="6">
        <v>3</v>
      </c>
    </row>
    <row r="516" spans="1:11" x14ac:dyDescent="0.25">
      <c r="A516" s="6" t="s">
        <v>2807</v>
      </c>
      <c r="B516" s="5" t="s">
        <v>2808</v>
      </c>
      <c r="C516" s="5" t="s">
        <v>2808</v>
      </c>
      <c r="D516" s="6" t="s">
        <v>2809</v>
      </c>
      <c r="E516" s="6" t="s">
        <v>254</v>
      </c>
      <c r="F516" s="6">
        <v>8.1312799999999998E-4</v>
      </c>
      <c r="G516" s="6" t="s">
        <v>256</v>
      </c>
      <c r="H516" s="6" t="s">
        <v>254</v>
      </c>
      <c r="I516" s="6" t="s">
        <v>233</v>
      </c>
      <c r="J516" s="6" t="s">
        <v>234</v>
      </c>
      <c r="K516" s="6">
        <v>3</v>
      </c>
    </row>
    <row r="517" spans="1:11" x14ac:dyDescent="0.25">
      <c r="A517" s="6" t="s">
        <v>2810</v>
      </c>
      <c r="B517" s="5" t="s">
        <v>2811</v>
      </c>
      <c r="C517" s="5" t="s">
        <v>2811</v>
      </c>
      <c r="D517" s="6" t="s">
        <v>2812</v>
      </c>
      <c r="E517" s="6" t="s">
        <v>254</v>
      </c>
      <c r="F517" s="6">
        <v>8.1312799999999998E-4</v>
      </c>
      <c r="G517" s="6" t="s">
        <v>256</v>
      </c>
      <c r="H517" s="6" t="s">
        <v>254</v>
      </c>
      <c r="I517" s="6" t="s">
        <v>233</v>
      </c>
      <c r="J517" s="6" t="s">
        <v>234</v>
      </c>
      <c r="K517" s="6">
        <v>3</v>
      </c>
    </row>
    <row r="518" spans="1:11" x14ac:dyDescent="0.25">
      <c r="A518" s="6" t="s">
        <v>2813</v>
      </c>
      <c r="B518" s="5" t="s">
        <v>2814</v>
      </c>
      <c r="C518" s="5" t="s">
        <v>2814</v>
      </c>
      <c r="D518" s="6" t="s">
        <v>2759</v>
      </c>
      <c r="E518" s="6" t="s">
        <v>269</v>
      </c>
      <c r="F518" s="6">
        <v>5.2359699999999999E-4</v>
      </c>
      <c r="G518" s="6" t="s">
        <v>271</v>
      </c>
      <c r="H518" s="6" t="s">
        <v>269</v>
      </c>
      <c r="I518" s="6" t="s">
        <v>233</v>
      </c>
      <c r="J518" s="6" t="s">
        <v>234</v>
      </c>
      <c r="K518" s="6">
        <v>3</v>
      </c>
    </row>
    <row r="519" spans="1:11" x14ac:dyDescent="0.25">
      <c r="A519" s="6" t="s">
        <v>2815</v>
      </c>
      <c r="B519" s="5" t="s">
        <v>2816</v>
      </c>
      <c r="C519" s="5" t="s">
        <v>2816</v>
      </c>
      <c r="D519" s="6" t="s">
        <v>2668</v>
      </c>
      <c r="E519" s="6" t="s">
        <v>269</v>
      </c>
      <c r="F519" s="6">
        <v>5.2359699999999999E-4</v>
      </c>
      <c r="G519" s="6" t="s">
        <v>271</v>
      </c>
      <c r="H519" s="6" t="s">
        <v>269</v>
      </c>
      <c r="I519" s="6" t="s">
        <v>233</v>
      </c>
      <c r="J519" s="6" t="s">
        <v>234</v>
      </c>
      <c r="K519" s="6">
        <v>3</v>
      </c>
    </row>
    <row r="520" spans="1:11" x14ac:dyDescent="0.25">
      <c r="A520" s="6" t="s">
        <v>2817</v>
      </c>
      <c r="B520" s="5" t="s">
        <v>2818</v>
      </c>
      <c r="C520" s="5" t="s">
        <v>2818</v>
      </c>
      <c r="D520" s="6" t="s">
        <v>2819</v>
      </c>
      <c r="E520" s="6" t="s">
        <v>245</v>
      </c>
      <c r="F520" s="6">
        <v>1.0475809999999999E-3</v>
      </c>
      <c r="G520" s="6" t="s">
        <v>247</v>
      </c>
      <c r="H520" s="6" t="s">
        <v>245</v>
      </c>
      <c r="I520" s="6" t="s">
        <v>233</v>
      </c>
      <c r="J520" s="6" t="s">
        <v>234</v>
      </c>
      <c r="K520" s="6">
        <v>3</v>
      </c>
    </row>
    <row r="521" spans="1:11" x14ac:dyDescent="0.25">
      <c r="A521" s="6" t="s">
        <v>2820</v>
      </c>
      <c r="B521" s="5" t="s">
        <v>2821</v>
      </c>
      <c r="C521" s="5" t="s">
        <v>2821</v>
      </c>
      <c r="D521" s="6" t="s">
        <v>2822</v>
      </c>
      <c r="E521" s="6" t="s">
        <v>275</v>
      </c>
      <c r="F521" s="6">
        <v>7.0538700000000003E-4</v>
      </c>
      <c r="G521" s="6" t="s">
        <v>277</v>
      </c>
      <c r="H521" s="6" t="s">
        <v>275</v>
      </c>
      <c r="I521" s="6" t="s">
        <v>233</v>
      </c>
      <c r="J521" s="6" t="s">
        <v>234</v>
      </c>
      <c r="K521" s="6">
        <v>3</v>
      </c>
    </row>
    <row r="522" spans="1:11" x14ac:dyDescent="0.25">
      <c r="A522" s="6" t="s">
        <v>2823</v>
      </c>
      <c r="B522" s="5" t="s">
        <v>2824</v>
      </c>
      <c r="C522" s="5" t="s">
        <v>2824</v>
      </c>
      <c r="D522" s="6" t="s">
        <v>2825</v>
      </c>
      <c r="E522" s="6" t="s">
        <v>245</v>
      </c>
      <c r="F522" s="6">
        <v>1.0475809999999999E-3</v>
      </c>
      <c r="G522" s="6" t="s">
        <v>247</v>
      </c>
      <c r="H522" s="6" t="s">
        <v>245</v>
      </c>
      <c r="I522" s="6" t="s">
        <v>233</v>
      </c>
      <c r="J522" s="6" t="s">
        <v>234</v>
      </c>
      <c r="K522" s="6">
        <v>3</v>
      </c>
    </row>
    <row r="523" spans="1:11" x14ac:dyDescent="0.25">
      <c r="A523" s="6" t="s">
        <v>2826</v>
      </c>
      <c r="B523" s="5" t="s">
        <v>2827</v>
      </c>
      <c r="C523" s="5" t="s">
        <v>2827</v>
      </c>
      <c r="D523" s="6" t="s">
        <v>2828</v>
      </c>
      <c r="E523" s="6" t="s">
        <v>254</v>
      </c>
      <c r="F523" s="6">
        <v>8.1312799999999998E-4</v>
      </c>
      <c r="G523" s="6" t="s">
        <v>256</v>
      </c>
      <c r="H523" s="6" t="s">
        <v>254</v>
      </c>
      <c r="I523" s="6" t="s">
        <v>233</v>
      </c>
      <c r="J523" s="6" t="s">
        <v>234</v>
      </c>
      <c r="K523" s="6">
        <v>3</v>
      </c>
    </row>
    <row r="524" spans="1:11" x14ac:dyDescent="0.25">
      <c r="A524" s="6" t="s">
        <v>2829</v>
      </c>
      <c r="B524" s="5" t="s">
        <v>2830</v>
      </c>
      <c r="C524" s="5" t="s">
        <v>2830</v>
      </c>
      <c r="D524" s="6" t="s">
        <v>2831</v>
      </c>
      <c r="E524" s="6" t="s">
        <v>347</v>
      </c>
      <c r="F524" s="6">
        <v>2.1065654610590999E-4</v>
      </c>
      <c r="G524" s="6" t="s">
        <v>346</v>
      </c>
      <c r="H524" s="6" t="s">
        <v>347</v>
      </c>
      <c r="I524" s="6" t="s">
        <v>233</v>
      </c>
      <c r="J524" s="6" t="s">
        <v>234</v>
      </c>
      <c r="K524" s="6">
        <v>3</v>
      </c>
    </row>
    <row r="525" spans="1:11" x14ac:dyDescent="0.25">
      <c r="A525" s="6" t="s">
        <v>2832</v>
      </c>
      <c r="B525" s="5" t="s">
        <v>2833</v>
      </c>
      <c r="C525" s="5" t="s">
        <v>2833</v>
      </c>
      <c r="D525" s="6" t="s">
        <v>1872</v>
      </c>
      <c r="E525" s="6" t="s">
        <v>269</v>
      </c>
      <c r="F525" s="6">
        <v>5.2359699999999999E-4</v>
      </c>
      <c r="G525" s="6" t="s">
        <v>271</v>
      </c>
      <c r="H525" s="6" t="s">
        <v>269</v>
      </c>
      <c r="I525" s="6" t="s">
        <v>233</v>
      </c>
      <c r="J525" s="6" t="s">
        <v>234</v>
      </c>
      <c r="K525" s="6">
        <v>3</v>
      </c>
    </row>
    <row r="526" spans="1:11" x14ac:dyDescent="0.25">
      <c r="A526" s="6" t="s">
        <v>2834</v>
      </c>
      <c r="B526" s="5" t="s">
        <v>2835</v>
      </c>
      <c r="C526" s="5" t="s">
        <v>2835</v>
      </c>
      <c r="D526" s="6" t="s">
        <v>1889</v>
      </c>
      <c r="E526" s="6" t="s">
        <v>248</v>
      </c>
      <c r="F526" s="6">
        <v>4.3868599999999998E-4</v>
      </c>
      <c r="G526" s="6" t="s">
        <v>250</v>
      </c>
      <c r="H526" s="6" t="s">
        <v>248</v>
      </c>
      <c r="I526" s="6" t="s">
        <v>233</v>
      </c>
      <c r="J526" s="6" t="s">
        <v>234</v>
      </c>
      <c r="K526" s="6">
        <v>3</v>
      </c>
    </row>
    <row r="527" spans="1:11" x14ac:dyDescent="0.25">
      <c r="A527" s="6" t="s">
        <v>2836</v>
      </c>
      <c r="B527" s="5" t="s">
        <v>2837</v>
      </c>
      <c r="C527" s="5" t="s">
        <v>2837</v>
      </c>
      <c r="D527" s="6" t="s">
        <v>1758</v>
      </c>
      <c r="E527" s="6" t="s">
        <v>254</v>
      </c>
      <c r="F527" s="6">
        <v>8.1312799999999998E-4</v>
      </c>
      <c r="G527" s="6" t="s">
        <v>256</v>
      </c>
      <c r="H527" s="6" t="s">
        <v>254</v>
      </c>
      <c r="I527" s="6" t="s">
        <v>233</v>
      </c>
      <c r="J527" s="6" t="s">
        <v>234</v>
      </c>
      <c r="K527" s="6">
        <v>3</v>
      </c>
    </row>
    <row r="528" spans="1:11" ht="30" x14ac:dyDescent="0.25">
      <c r="A528" s="6" t="s">
        <v>2838</v>
      </c>
      <c r="B528" s="5" t="s">
        <v>2839</v>
      </c>
      <c r="C528" s="5" t="s">
        <v>2839</v>
      </c>
      <c r="D528" s="6" t="s">
        <v>2840</v>
      </c>
      <c r="E528" s="6" t="s">
        <v>248</v>
      </c>
      <c r="F528" s="6">
        <v>4.3868599999999998E-4</v>
      </c>
      <c r="G528" s="6" t="s">
        <v>250</v>
      </c>
      <c r="H528" s="6" t="s">
        <v>248</v>
      </c>
      <c r="I528" s="6" t="s">
        <v>233</v>
      </c>
      <c r="J528" s="6" t="s">
        <v>234</v>
      </c>
      <c r="K528" s="6">
        <v>3</v>
      </c>
    </row>
    <row r="529" spans="1:11" x14ac:dyDescent="0.25">
      <c r="A529" s="6" t="s">
        <v>2841</v>
      </c>
      <c r="B529" s="5" t="s">
        <v>2842</v>
      </c>
      <c r="C529" s="5" t="s">
        <v>2842</v>
      </c>
      <c r="D529" s="6" t="s">
        <v>2843</v>
      </c>
      <c r="E529" s="6" t="s">
        <v>254</v>
      </c>
      <c r="F529" s="6">
        <v>8.1312799999999998E-4</v>
      </c>
      <c r="G529" s="6" t="s">
        <v>256</v>
      </c>
      <c r="H529" s="6" t="s">
        <v>254</v>
      </c>
      <c r="I529" s="6" t="s">
        <v>233</v>
      </c>
      <c r="J529" s="6" t="s">
        <v>234</v>
      </c>
      <c r="K529" s="6">
        <v>3</v>
      </c>
    </row>
    <row r="530" spans="1:11" x14ac:dyDescent="0.25">
      <c r="A530" s="6" t="s">
        <v>2844</v>
      </c>
      <c r="B530" s="5" t="s">
        <v>2845</v>
      </c>
      <c r="C530" s="5" t="s">
        <v>2845</v>
      </c>
      <c r="D530" s="6" t="s">
        <v>2846</v>
      </c>
      <c r="E530" s="6" t="s">
        <v>254</v>
      </c>
      <c r="F530" s="6">
        <v>8.1312799999999998E-4</v>
      </c>
      <c r="G530" s="6" t="s">
        <v>256</v>
      </c>
      <c r="H530" s="6" t="s">
        <v>254</v>
      </c>
      <c r="I530" s="6" t="s">
        <v>233</v>
      </c>
      <c r="J530" s="6" t="s">
        <v>234</v>
      </c>
      <c r="K530" s="6">
        <v>3</v>
      </c>
    </row>
    <row r="531" spans="1:11" x14ac:dyDescent="0.25">
      <c r="A531" s="6" t="s">
        <v>2847</v>
      </c>
      <c r="B531" s="5" t="s">
        <v>2848</v>
      </c>
      <c r="C531" s="5" t="s">
        <v>2848</v>
      </c>
      <c r="D531" s="6" t="s">
        <v>2849</v>
      </c>
      <c r="E531" s="6" t="s">
        <v>254</v>
      </c>
      <c r="F531" s="6">
        <v>8.1312799999999998E-4</v>
      </c>
      <c r="G531" s="6" t="s">
        <v>256</v>
      </c>
      <c r="H531" s="6" t="s">
        <v>254</v>
      </c>
      <c r="I531" s="6" t="s">
        <v>233</v>
      </c>
      <c r="J531" s="6" t="s">
        <v>234</v>
      </c>
      <c r="K531" s="6">
        <v>3</v>
      </c>
    </row>
    <row r="532" spans="1:11" x14ac:dyDescent="0.25">
      <c r="A532" s="6" t="s">
        <v>2850</v>
      </c>
      <c r="B532" s="5" t="s">
        <v>2851</v>
      </c>
      <c r="C532" s="5" t="s">
        <v>2851</v>
      </c>
      <c r="D532" s="6" t="s">
        <v>2852</v>
      </c>
      <c r="E532" s="6" t="s">
        <v>248</v>
      </c>
      <c r="F532" s="6">
        <v>4.3868599999999998E-4</v>
      </c>
      <c r="G532" s="6" t="s">
        <v>250</v>
      </c>
      <c r="H532" s="6" t="s">
        <v>248</v>
      </c>
      <c r="I532" s="6" t="s">
        <v>233</v>
      </c>
      <c r="J532" s="6" t="s">
        <v>234</v>
      </c>
      <c r="K532" s="6">
        <v>3</v>
      </c>
    </row>
    <row r="533" spans="1:11" ht="30" x14ac:dyDescent="0.25">
      <c r="A533" s="6" t="s">
        <v>2853</v>
      </c>
      <c r="B533" s="5" t="s">
        <v>2854</v>
      </c>
      <c r="C533" s="5" t="s">
        <v>2854</v>
      </c>
      <c r="D533" s="6" t="s">
        <v>2855</v>
      </c>
      <c r="E533" s="6" t="s">
        <v>278</v>
      </c>
      <c r="F533" s="6">
        <v>6.2829699999999999E-4</v>
      </c>
      <c r="G533" s="6" t="s">
        <v>280</v>
      </c>
      <c r="H533" s="6" t="s">
        <v>278</v>
      </c>
      <c r="I533" s="6" t="s">
        <v>233</v>
      </c>
      <c r="J533" s="6" t="s">
        <v>234</v>
      </c>
      <c r="K533" s="6">
        <v>3</v>
      </c>
    </row>
    <row r="534" spans="1:11" x14ac:dyDescent="0.25">
      <c r="A534" s="6" t="s">
        <v>2856</v>
      </c>
      <c r="B534" s="5" t="s">
        <v>2857</v>
      </c>
      <c r="C534" s="5" t="s">
        <v>2857</v>
      </c>
      <c r="D534" s="6" t="s">
        <v>2858</v>
      </c>
      <c r="E534" s="6" t="s">
        <v>248</v>
      </c>
      <c r="F534" s="6">
        <v>4.3868599999999998E-4</v>
      </c>
      <c r="G534" s="6" t="s">
        <v>250</v>
      </c>
      <c r="H534" s="6" t="s">
        <v>248</v>
      </c>
      <c r="I534" s="6" t="s">
        <v>233</v>
      </c>
      <c r="J534" s="6" t="s">
        <v>234</v>
      </c>
      <c r="K534" s="6">
        <v>3</v>
      </c>
    </row>
    <row r="535" spans="1:11" x14ac:dyDescent="0.25">
      <c r="A535" s="6" t="s">
        <v>2859</v>
      </c>
      <c r="B535" s="5" t="s">
        <v>2860</v>
      </c>
      <c r="C535" s="5" t="s">
        <v>2860</v>
      </c>
      <c r="D535" s="6" t="s">
        <v>2861</v>
      </c>
      <c r="E535" s="6" t="s">
        <v>254</v>
      </c>
      <c r="F535" s="6">
        <v>8.1312799999999998E-4</v>
      </c>
      <c r="G535" s="6" t="s">
        <v>256</v>
      </c>
      <c r="H535" s="6" t="s">
        <v>254</v>
      </c>
      <c r="I535" s="6" t="s">
        <v>233</v>
      </c>
      <c r="J535" s="6" t="s">
        <v>234</v>
      </c>
      <c r="K535" s="6">
        <v>3</v>
      </c>
    </row>
    <row r="536" spans="1:11" x14ac:dyDescent="0.25">
      <c r="A536" s="6" t="s">
        <v>2862</v>
      </c>
      <c r="B536" s="5" t="s">
        <v>2863</v>
      </c>
      <c r="C536" s="5" t="s">
        <v>2863</v>
      </c>
      <c r="D536" s="6" t="s">
        <v>2864</v>
      </c>
      <c r="E536" s="6" t="s">
        <v>248</v>
      </c>
      <c r="F536" s="6">
        <v>4.3868599999999998E-4</v>
      </c>
      <c r="G536" s="6" t="s">
        <v>250</v>
      </c>
      <c r="H536" s="6" t="s">
        <v>248</v>
      </c>
      <c r="I536" s="6" t="s">
        <v>233</v>
      </c>
      <c r="J536" s="6" t="s">
        <v>234</v>
      </c>
      <c r="K536" s="6">
        <v>3</v>
      </c>
    </row>
    <row r="537" spans="1:11" x14ac:dyDescent="0.25">
      <c r="A537" s="6" t="s">
        <v>2865</v>
      </c>
      <c r="B537" s="5" t="s">
        <v>2866</v>
      </c>
      <c r="C537" s="5" t="s">
        <v>2866</v>
      </c>
      <c r="D537" s="6" t="s">
        <v>2867</v>
      </c>
      <c r="E537" s="6" t="s">
        <v>347</v>
      </c>
      <c r="F537" s="6">
        <v>2.1065654610590999E-4</v>
      </c>
      <c r="G537" s="6" t="s">
        <v>346</v>
      </c>
      <c r="H537" s="6" t="s">
        <v>347</v>
      </c>
      <c r="I537" s="6" t="s">
        <v>233</v>
      </c>
      <c r="J537" s="6" t="s">
        <v>234</v>
      </c>
      <c r="K537" s="6">
        <v>3</v>
      </c>
    </row>
    <row r="538" spans="1:11" x14ac:dyDescent="0.25">
      <c r="A538" s="6" t="s">
        <v>2868</v>
      </c>
      <c r="B538" s="5" t="s">
        <v>2869</v>
      </c>
      <c r="C538" s="5" t="s">
        <v>2869</v>
      </c>
      <c r="D538" s="6" t="s">
        <v>2870</v>
      </c>
      <c r="E538" s="6" t="s">
        <v>347</v>
      </c>
      <c r="F538" s="6">
        <v>2.1065654610590999E-4</v>
      </c>
      <c r="G538" s="6" t="s">
        <v>346</v>
      </c>
      <c r="H538" s="6" t="s">
        <v>347</v>
      </c>
      <c r="I538" s="6" t="s">
        <v>233</v>
      </c>
      <c r="J538" s="6" t="s">
        <v>234</v>
      </c>
      <c r="K538" s="6">
        <v>3</v>
      </c>
    </row>
    <row r="539" spans="1:11" x14ac:dyDescent="0.25">
      <c r="A539" s="6" t="s">
        <v>2871</v>
      </c>
      <c r="B539" s="5" t="s">
        <v>2872</v>
      </c>
      <c r="C539" s="5" t="s">
        <v>2872</v>
      </c>
      <c r="D539" s="6" t="s">
        <v>1639</v>
      </c>
      <c r="E539" s="6" t="s">
        <v>248</v>
      </c>
      <c r="F539" s="6">
        <v>4.3868599999999998E-4</v>
      </c>
      <c r="G539" s="6" t="s">
        <v>250</v>
      </c>
      <c r="H539" s="6" t="s">
        <v>248</v>
      </c>
      <c r="I539" s="6" t="s">
        <v>233</v>
      </c>
      <c r="J539" s="6" t="s">
        <v>234</v>
      </c>
      <c r="K539" s="6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D2CDAF5B18A4B8A6AE5B8E165DD14" ma:contentTypeVersion="12" ma:contentTypeDescription="Create a new document." ma:contentTypeScope="" ma:versionID="f28c5a9c0dd341a711c2575caaa6426f">
  <xsd:schema xmlns:xsd="http://www.w3.org/2001/XMLSchema" xmlns:xs="http://www.w3.org/2001/XMLSchema" xmlns:p="http://schemas.microsoft.com/office/2006/metadata/properties" xmlns:ns2="dd3c5332-ddb3-40a9-8f41-e4a5c6305614" xmlns:ns3="b8696ab6-aa32-4caf-a16c-97f6b7a1f625" targetNamespace="http://schemas.microsoft.com/office/2006/metadata/properties" ma:root="true" ma:fieldsID="4e07d70c3f8f0ee996be1afd4299a1ad" ns2:_="" ns3:_="">
    <xsd:import namespace="dd3c5332-ddb3-40a9-8f41-e4a5c6305614"/>
    <xsd:import namespace="b8696ab6-aa32-4caf-a16c-97f6b7a1f6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c5332-ddb3-40a9-8f41-e4a5c6305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3fd3d4-06f0-45f7-9678-4764454fa7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96ab6-aa32-4caf-a16c-97f6b7a1f6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700031-e2ea-4b28-baed-bd872da55cf6}" ma:internalName="TaxCatchAll" ma:showField="CatchAllData" ma:web="b8696ab6-aa32-4caf-a16c-97f6b7a1f6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696ab6-aa32-4caf-a16c-97f6b7a1f625" xsi:nil="true"/>
    <lcf76f155ced4ddcb4097134ff3c332f xmlns="dd3c5332-ddb3-40a9-8f41-e4a5c63056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EFD18B-D689-425E-A84C-83C6C006C6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05AC18-FB8F-4096-880C-9B9417D80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3c5332-ddb3-40a9-8f41-e4a5c6305614"/>
    <ds:schemaRef ds:uri="b8696ab6-aa32-4caf-a16c-97f6b7a1f6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AD25B3-D0CE-4561-8D85-5215284F4524}">
  <ds:schemaRefs>
    <ds:schemaRef ds:uri="http://schemas.microsoft.com/office/2006/metadata/properties"/>
    <ds:schemaRef ds:uri="http://schemas.microsoft.com/office/infopath/2007/PartnerControls"/>
    <ds:schemaRef ds:uri="b8696ab6-aa32-4caf-a16c-97f6b7a1f625"/>
    <ds:schemaRef ds:uri="dd3c5332-ddb3-40a9-8f41-e4a5c63056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Scope 1 Fuel Activity</vt:lpstr>
      <vt:lpstr> Scope 1 Fugitive Gas</vt:lpstr>
      <vt:lpstr> Scope 1 Gas Usage</vt:lpstr>
      <vt:lpstr> Scope 1 Fuel Spend</vt:lpstr>
      <vt:lpstr>Scope 1 Fuel Distance</vt:lpstr>
      <vt:lpstr>Scope 2 Electricity</vt:lpstr>
      <vt:lpstr>Scope 3 Purchased Goods Spend</vt:lpstr>
      <vt:lpstr>Subcat Scope 3 Cat 1 Goods </vt:lpstr>
      <vt:lpstr>Scope 3 Purchased Service Spend</vt:lpstr>
      <vt:lpstr>Subcat Scope 3 Cat 1 Services</vt:lpstr>
      <vt:lpstr>Scope 3 Category 2 Capital Good</vt:lpstr>
      <vt:lpstr>Scope 3 Category 3 FERA Fuel</vt:lpstr>
      <vt:lpstr>Scope 3 Category 3 FERA Fuel D</vt:lpstr>
      <vt:lpstr>Scope 3 Cat 3 FERA Fuel S</vt:lpstr>
      <vt:lpstr>Scope 3 Category 3 FERA Electri</vt:lpstr>
      <vt:lpstr>Scope 3 Category 4 Transport</vt:lpstr>
      <vt:lpstr>Transportation General</vt:lpstr>
      <vt:lpstr>Scope 3 Cat 5 Waste</vt:lpstr>
      <vt:lpstr>Scope 3 Category 6 Air</vt:lpstr>
      <vt:lpstr>Scope 3 Cat 6 Business Travel</vt:lpstr>
      <vt:lpstr>Scope 3 Cat 7 Employee Commutin</vt:lpstr>
      <vt:lpstr>Scope 3 Cat 8 District E</vt:lpstr>
      <vt:lpstr>Scope 3 Cat 8 District H</vt:lpstr>
      <vt:lpstr>Scope 3 Cat 11 Products Indirec</vt:lpstr>
      <vt:lpstr>Scope 3 Cat 15 Pensions</vt:lpstr>
      <vt:lpstr>Klarakarbon Emission Factors</vt:lpstr>
      <vt:lpstr>All together</vt:lpstr>
      <vt:lpstr>All together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Demir</dc:creator>
  <cp:keywords/>
  <dc:description/>
  <cp:lastModifiedBy>Florian Demir</cp:lastModifiedBy>
  <cp:revision/>
  <dcterms:created xsi:type="dcterms:W3CDTF">2025-09-23T08:37:32Z</dcterms:created>
  <dcterms:modified xsi:type="dcterms:W3CDTF">2026-05-06T13:00:45Z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0x010100935D2CDAF5B18A4B8A6AE5B8E165DD14</vt:lpwstr>
  </property>
  <property fmtid="{D5CDD505-2E9C-101B-9397-08002B2CF9AE}" pid="3" name="MediaServiceImageTags">
    <vt:lpwstr/>
  </property>
</Properties>
</file>